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icagogov.sharepoint.com/sites/CDOTx/completestreets/Shared Documents/_Programming/Dashboard/"/>
    </mc:Choice>
  </mc:AlternateContent>
  <xr:revisionPtr revIDLastSave="3012" documentId="8_{7F46464D-29EA-4FED-92A3-54E04F7B24E4}" xr6:coauthVersionLast="47" xr6:coauthVersionMax="47" xr10:uidLastSave="{780DB16A-A11D-4DB4-8E8C-2BC138EAD4BA}"/>
  <bookViews>
    <workbookView minimized="1" xWindow="5052" yWindow="3456" windowWidth="17280" windowHeight="8880" tabRatio="827" xr2:uid="{00000000-000D-0000-FFFF-FFFF00000000}"/>
  </bookViews>
  <sheets>
    <sheet name="Dashboard" sheetId="19" r:id="rId1"/>
    <sheet name="R_Dashboard" sheetId="38" state="hidden" r:id="rId2"/>
    <sheet name="Equity" sheetId="12" r:id="rId3"/>
    <sheet name="Geographies" sheetId="21" r:id="rId4"/>
    <sheet name="Tract_2000" sheetId="35" r:id="rId5"/>
    <sheet name="Tract_2010" sheetId="36" r:id="rId6"/>
    <sheet name="Tract_2020" sheetId="37" r:id="rId7"/>
    <sheet name="CA" sheetId="22" r:id="rId8"/>
    <sheet name="ACS Mode Share" sheetId="23" r:id="rId9"/>
    <sheet name="ACS Vehicles" sheetId="24" r:id="rId10"/>
    <sheet name="ACS Car Households" sheetId="25" r:id="rId11"/>
    <sheet name="Bus Ridership" sheetId="26" r:id="rId12"/>
    <sheet name="Rail Ridership" sheetId="27" r:id="rId13"/>
    <sheet name="NTD" sheetId="33" r:id="rId14"/>
    <sheet name="Network_Bikeways" sheetId="20" r:id="rId15"/>
    <sheet name="Network_Bus Lanes" sheetId="29" r:id="rId16"/>
    <sheet name="Network_Bus Bulbs" sheetId="30" r:id="rId17"/>
    <sheet name="Crashes_Citywide" sheetId="31" r:id="rId18"/>
    <sheet name="Divvy" sheetId="32" r:id="rId19"/>
  </sheets>
  <definedNames>
    <definedName name="_xlnm._FilterDatabase" localSheetId="14" hidden="1">Network_Bikeways!$A$10:$AZ$10</definedName>
    <definedName name="Date_End">Dashboard!$A$6</definedName>
    <definedName name="Date_Start">Dashboard!$A$5</definedName>
    <definedName name="R_Bike_Install_BBL">_xlfn.ANCHORARRAY(R_Dashboard!$B$41)</definedName>
    <definedName name="R_Bike_Install_BL">_xlfn.ANCHORARRAY(R_Dashboard!$B$42)</definedName>
    <definedName name="R_Bike_Install_LS">_xlfn.ANCHORARRAY(R_Dashboard!$B$60)</definedName>
    <definedName name="R_Bike_Install_LS_Per">_xlfn.ANCHORARRAY(R_Dashboard!$B$63)</definedName>
    <definedName name="R_Bike_Install_NG">_xlfn.ANCHORARRAY(R_Dashboard!$B$43)</definedName>
    <definedName name="R_Bike_Install_Off_T">_xlfn.ANCHORARRAY(R_Dashboard!$B$49)</definedName>
    <definedName name="R_Bike_Install_On_T">_xlfn.ANCHORARRAY(R_Dashboard!$B$45)</definedName>
    <definedName name="R_Bike_Install_Other">_xlfn.ANCHORARRAY(R_Dashboard!$B$57)</definedName>
    <definedName name="R_Bike_Install_Path">_xlfn.ANCHORARRAY(R_Dashboard!$B$47)</definedName>
    <definedName name="R_Bike_Install_PBL">_xlfn.ANCHORARRAY(R_Dashboard!$B$40)</definedName>
    <definedName name="R_Bike_Install_PBLA">_xlfn.ANCHORARRAY(R_Dashboard!$B$54)</definedName>
    <definedName name="R_Bike_Install_PBLC">_xlfn.ANCHORARRAY(R_Dashboard!$B$39)</definedName>
    <definedName name="R_Bike_Install_SL">_xlfn.ANCHORARRAY(R_Dashboard!$B$44)</definedName>
    <definedName name="R_Bike_Install_T">_xlfn.ANCHORARRAY(R_Dashboard!$B$51)</definedName>
    <definedName name="R_Bike_Install_Trail">_xlfn.ANCHORARRAY(R_Dashboard!$B$48)</definedName>
    <definedName name="R_Bike_Net_BBL">_xlfn.ANCHORARRAY(R_Dashboard!$B$12)</definedName>
    <definedName name="R_Bike_Net_BL">_xlfn.ANCHORARRAY(R_Dashboard!$B$13)</definedName>
    <definedName name="R_Bike_Net_Growth">_xlfn.ANCHORARRAY(R_Dashboard!$B$24)</definedName>
    <definedName name="R_Bike_Net_LS">_xlfn.ANCHORARRAY(R_Dashboard!$B$32)</definedName>
    <definedName name="R_Bike_Net_LS_Per">_xlfn.ANCHORARRAY(R_Dashboard!$B$35)</definedName>
    <definedName name="R_Bike_Net_NG">_xlfn.ANCHORARRAY(R_Dashboard!$B$14)</definedName>
    <definedName name="R_Bike_Net_Off_T">_xlfn.ANCHORARRAY(R_Dashboard!$B$20)</definedName>
    <definedName name="R_Bike_Net_On_T">_xlfn.ANCHORARRAY(R_Dashboard!$B$16)</definedName>
    <definedName name="R_Bike_Net_Other">_xlfn.ANCHORARRAY(R_Dashboard!$B$29)</definedName>
    <definedName name="R_Bike_Net_Path">_xlfn.ANCHORARRAY(R_Dashboard!$B$18)</definedName>
    <definedName name="R_Bike_Net_PBL">_xlfn.ANCHORARRAY(R_Dashboard!$B$11)</definedName>
    <definedName name="R_Bike_Net_SL">_xlfn.ANCHORARRAY(R_Dashboard!$B$15)</definedName>
    <definedName name="R_Bike_Net_T">_xlfn.ANCHORARRAY(R_Dashboard!$B$22)</definedName>
    <definedName name="R_Bike_Net_Trail">_xlfn.ANCHORARRAY(R_Dashboard!$B$19)</definedName>
    <definedName name="R_Date">_xlfn.ANCHORARRAY(R_Dashboard!$B$8)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7" i="19" l="1"/>
  <c r="S56" i="19"/>
  <c r="S53" i="19"/>
  <c r="S52" i="19"/>
  <c r="S51" i="19"/>
  <c r="S50" i="19"/>
  <c r="S49" i="19"/>
  <c r="S48" i="19"/>
  <c r="S19" i="19"/>
  <c r="S18" i="19"/>
  <c r="S15" i="19"/>
  <c r="S14" i="19"/>
  <c r="S13" i="19"/>
  <c r="S12" i="19"/>
  <c r="S11" i="19"/>
  <c r="X100" i="19"/>
  <c r="W100" i="19"/>
  <c r="V100" i="19"/>
  <c r="U100" i="19"/>
  <c r="T100" i="19"/>
  <c r="R100" i="19"/>
  <c r="X98" i="19"/>
  <c r="W98" i="19"/>
  <c r="X97" i="19"/>
  <c r="W97" i="19"/>
  <c r="V97" i="19"/>
  <c r="U97" i="19"/>
  <c r="T97" i="19"/>
  <c r="R97" i="19"/>
  <c r="X94" i="19"/>
  <c r="W94" i="19"/>
  <c r="V94" i="19"/>
  <c r="V98" i="19" s="1"/>
  <c r="U94" i="19"/>
  <c r="U98" i="19" s="1"/>
  <c r="T94" i="19"/>
  <c r="T98" i="19" s="1"/>
  <c r="R94" i="19"/>
  <c r="R98" i="19" s="1"/>
  <c r="X93" i="19"/>
  <c r="W93" i="19"/>
  <c r="V93" i="19"/>
  <c r="U93" i="19"/>
  <c r="T93" i="19"/>
  <c r="R93" i="19"/>
  <c r="Q93" i="19"/>
  <c r="P93" i="19"/>
  <c r="L93" i="19"/>
  <c r="I93" i="19"/>
  <c r="H93" i="19"/>
  <c r="D93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W91" i="19"/>
  <c r="V91" i="19"/>
  <c r="U91" i="19"/>
  <c r="T91" i="19"/>
  <c r="S91" i="19"/>
  <c r="R91" i="19"/>
  <c r="Q91" i="19"/>
  <c r="Q97" i="19" s="1"/>
  <c r="P91" i="19"/>
  <c r="P97" i="19" s="1"/>
  <c r="O91" i="19"/>
  <c r="N91" i="19"/>
  <c r="M91" i="19"/>
  <c r="L91" i="19"/>
  <c r="L97" i="19" s="1"/>
  <c r="L100" i="19" s="1"/>
  <c r="K91" i="19"/>
  <c r="K97" i="19" s="1"/>
  <c r="K100" i="19" s="1"/>
  <c r="J91" i="19"/>
  <c r="J97" i="19" s="1"/>
  <c r="J100" i="19" s="1"/>
  <c r="I91" i="19"/>
  <c r="I97" i="19" s="1"/>
  <c r="H91" i="19"/>
  <c r="H97" i="19" s="1"/>
  <c r="G91" i="19"/>
  <c r="F91" i="19"/>
  <c r="E91" i="19"/>
  <c r="D91" i="19"/>
  <c r="D97" i="19" s="1"/>
  <c r="D100" i="19" s="1"/>
  <c r="C91" i="19"/>
  <c r="C97" i="19" s="1"/>
  <c r="C100" i="19" s="1"/>
  <c r="X88" i="19"/>
  <c r="W88" i="19"/>
  <c r="V88" i="19"/>
  <c r="U88" i="19"/>
  <c r="T88" i="19"/>
  <c r="R88" i="19"/>
  <c r="N88" i="19"/>
  <c r="L88" i="19"/>
  <c r="L94" i="19" s="1"/>
  <c r="L98" i="19" s="1"/>
  <c r="K88" i="19"/>
  <c r="F88" i="19"/>
  <c r="D88" i="19"/>
  <c r="D94" i="19" s="1"/>
  <c r="D98" i="19" s="1"/>
  <c r="C88" i="19"/>
  <c r="C94" i="19" s="1"/>
  <c r="C98" i="19" s="1"/>
  <c r="B88" i="19"/>
  <c r="W86" i="19"/>
  <c r="V86" i="19"/>
  <c r="U86" i="19"/>
  <c r="T86" i="19"/>
  <c r="S86" i="19"/>
  <c r="S93" i="19" s="1"/>
  <c r="S97" i="19" s="1"/>
  <c r="S100" i="19" s="1"/>
  <c r="R86" i="19"/>
  <c r="Q86" i="19"/>
  <c r="P86" i="19"/>
  <c r="O86" i="19"/>
  <c r="O93" i="19" s="1"/>
  <c r="N86" i="19"/>
  <c r="N93" i="19" s="1"/>
  <c r="M86" i="19"/>
  <c r="M93" i="19" s="1"/>
  <c r="L86" i="19"/>
  <c r="K86" i="19"/>
  <c r="K93" i="19" s="1"/>
  <c r="J86" i="19"/>
  <c r="J93" i="19" s="1"/>
  <c r="I86" i="19"/>
  <c r="H86" i="19"/>
  <c r="G86" i="19"/>
  <c r="G93" i="19" s="1"/>
  <c r="F86" i="19"/>
  <c r="F93" i="19" s="1"/>
  <c r="E86" i="19"/>
  <c r="E93" i="19" s="1"/>
  <c r="D86" i="19"/>
  <c r="C86" i="19"/>
  <c r="C93" i="19" s="1"/>
  <c r="X85" i="19"/>
  <c r="X84" i="19"/>
  <c r="W82" i="19"/>
  <c r="V82" i="19"/>
  <c r="U82" i="19"/>
  <c r="T82" i="19"/>
  <c r="S82" i="19"/>
  <c r="S88" i="19" s="1"/>
  <c r="R82" i="19"/>
  <c r="Q82" i="19"/>
  <c r="Q88" i="19" s="1"/>
  <c r="Q94" i="19" s="1"/>
  <c r="Q98" i="19" s="1"/>
  <c r="P82" i="19"/>
  <c r="P88" i="19" s="1"/>
  <c r="P94" i="19" s="1"/>
  <c r="P98" i="19" s="1"/>
  <c r="O82" i="19"/>
  <c r="X82" i="19" s="1"/>
  <c r="N82" i="19"/>
  <c r="M82" i="19"/>
  <c r="M88" i="19" s="1"/>
  <c r="L82" i="19"/>
  <c r="K82" i="19"/>
  <c r="J82" i="19"/>
  <c r="J88" i="19" s="1"/>
  <c r="I82" i="19"/>
  <c r="I88" i="19" s="1"/>
  <c r="I94" i="19" s="1"/>
  <c r="I98" i="19" s="1"/>
  <c r="H82" i="19"/>
  <c r="H88" i="19" s="1"/>
  <c r="H94" i="19" s="1"/>
  <c r="H98" i="19" s="1"/>
  <c r="G82" i="19"/>
  <c r="G88" i="19" s="1"/>
  <c r="F82" i="19"/>
  <c r="E82" i="19"/>
  <c r="E88" i="19" s="1"/>
  <c r="D82" i="19"/>
  <c r="C82" i="19"/>
  <c r="X81" i="19"/>
  <c r="X80" i="19"/>
  <c r="X79" i="19"/>
  <c r="X78" i="19"/>
  <c r="X77" i="19"/>
  <c r="X76" i="19"/>
  <c r="X91" i="19" s="1"/>
  <c r="S94" i="19" l="1"/>
  <c r="S98" i="19" s="1"/>
  <c r="E94" i="19"/>
  <c r="E98" i="19" s="1"/>
  <c r="N94" i="19"/>
  <c r="N98" i="19" s="1"/>
  <c r="E97" i="19"/>
  <c r="E100" i="19" s="1"/>
  <c r="F97" i="19"/>
  <c r="F100" i="19" s="1"/>
  <c r="N97" i="19"/>
  <c r="N100" i="19" s="1"/>
  <c r="G97" i="19"/>
  <c r="G100" i="19" s="1"/>
  <c r="O97" i="19"/>
  <c r="O100" i="19" s="1"/>
  <c r="F94" i="19"/>
  <c r="F98" i="19" s="1"/>
  <c r="H100" i="19"/>
  <c r="P100" i="19"/>
  <c r="M94" i="19"/>
  <c r="M98" i="19" s="1"/>
  <c r="G94" i="19"/>
  <c r="G98" i="19" s="1"/>
  <c r="M97" i="19"/>
  <c r="M100" i="19" s="1"/>
  <c r="J94" i="19"/>
  <c r="J98" i="19" s="1"/>
  <c r="K94" i="19"/>
  <c r="K98" i="19" s="1"/>
  <c r="I100" i="19"/>
  <c r="Q100" i="19"/>
  <c r="O88" i="19"/>
  <c r="O94" i="19" s="1"/>
  <c r="O98" i="19" s="1"/>
  <c r="X86" i="19"/>
  <c r="B85" i="38" a="1"/>
  <c r="B85" i="38" s="1"/>
  <c r="P235" i="19"/>
  <c r="X162" i="19"/>
  <c r="W162" i="19"/>
  <c r="V162" i="19"/>
  <c r="U162" i="19"/>
  <c r="T162" i="19"/>
  <c r="R162" i="19"/>
  <c r="X40" i="19"/>
  <c r="W40" i="19"/>
  <c r="V40" i="19"/>
  <c r="V44" i="19" s="1"/>
  <c r="U40" i="19"/>
  <c r="U44" i="19" s="1"/>
  <c r="T40" i="19"/>
  <c r="T44" i="19" s="1"/>
  <c r="R40" i="19"/>
  <c r="R44" i="19" s="1"/>
  <c r="X39" i="19"/>
  <c r="W39" i="19"/>
  <c r="V39" i="19"/>
  <c r="U39" i="19"/>
  <c r="T39" i="19"/>
  <c r="R39" i="19"/>
  <c r="X38" i="19"/>
  <c r="W38" i="19"/>
  <c r="V38" i="19"/>
  <c r="U38" i="19"/>
  <c r="T38" i="19"/>
  <c r="R38" i="19"/>
  <c r="X37" i="19"/>
  <c r="W37" i="19"/>
  <c r="V37" i="19"/>
  <c r="U37" i="19"/>
  <c r="T37" i="19"/>
  <c r="R37" i="19"/>
  <c r="W43" i="19"/>
  <c r="V43" i="19"/>
  <c r="U43" i="19"/>
  <c r="T43" i="19"/>
  <c r="R43" i="19"/>
  <c r="W44" i="19"/>
  <c r="Q16" i="19"/>
  <c r="X57" i="19"/>
  <c r="X56" i="19"/>
  <c r="X53" i="19"/>
  <c r="X52" i="19"/>
  <c r="X64" i="19" s="1"/>
  <c r="X51" i="19"/>
  <c r="X50" i="19"/>
  <c r="X49" i="19"/>
  <c r="X48" i="19"/>
  <c r="G115" i="19"/>
  <c r="H115" i="19" s="1"/>
  <c r="I115" i="19" s="1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9" i="19"/>
  <c r="C168" i="19"/>
  <c r="C167" i="19"/>
  <c r="C166" i="19"/>
  <c r="C165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B160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X138" i="19"/>
  <c r="W138" i="19"/>
  <c r="V138" i="19"/>
  <c r="U138" i="19"/>
  <c r="T138" i="19"/>
  <c r="S138" i="19"/>
  <c r="S162" i="19" s="1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Q20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B191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B190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1" i="19"/>
  <c r="B180" i="19"/>
  <c r="F258" i="19"/>
  <c r="X258" i="19"/>
  <c r="W258" i="19"/>
  <c r="V258" i="19"/>
  <c r="U258" i="19"/>
  <c r="T258" i="19"/>
  <c r="S258" i="19"/>
  <c r="R258" i="19"/>
  <c r="Q258" i="19"/>
  <c r="P258" i="19"/>
  <c r="O258" i="19"/>
  <c r="N258" i="19"/>
  <c r="M258" i="19"/>
  <c r="L258" i="19"/>
  <c r="K258" i="19"/>
  <c r="J258" i="19"/>
  <c r="I258" i="19"/>
  <c r="H258" i="19"/>
  <c r="G258" i="19"/>
  <c r="E258" i="19"/>
  <c r="D258" i="19"/>
  <c r="C258" i="19"/>
  <c r="B258" i="19"/>
  <c r="X248" i="19"/>
  <c r="W248" i="19"/>
  <c r="V248" i="19"/>
  <c r="U248" i="19"/>
  <c r="T248" i="19"/>
  <c r="S248" i="19"/>
  <c r="R248" i="19"/>
  <c r="Q248" i="19"/>
  <c r="P248" i="19"/>
  <c r="O248" i="19"/>
  <c r="N248" i="19"/>
  <c r="M248" i="19"/>
  <c r="L248" i="19"/>
  <c r="K248" i="19"/>
  <c r="J248" i="19"/>
  <c r="I248" i="19"/>
  <c r="H248" i="19"/>
  <c r="G248" i="19"/>
  <c r="E248" i="19"/>
  <c r="D248" i="19"/>
  <c r="C248" i="19"/>
  <c r="B248" i="19"/>
  <c r="F248" i="19"/>
  <c r="X123" i="19"/>
  <c r="W123" i="19"/>
  <c r="X208" i="19"/>
  <c r="W208" i="19"/>
  <c r="X198" i="19"/>
  <c r="W198" i="19"/>
  <c r="X188" i="19"/>
  <c r="W188" i="19"/>
  <c r="X178" i="19"/>
  <c r="W178" i="19"/>
  <c r="X233" i="19"/>
  <c r="W233" i="19"/>
  <c r="X228" i="19"/>
  <c r="W228" i="19"/>
  <c r="X229" i="19"/>
  <c r="W229" i="19"/>
  <c r="X231" i="19"/>
  <c r="W231" i="19"/>
  <c r="X230" i="19"/>
  <c r="W230" i="19"/>
  <c r="W64" i="19"/>
  <c r="W63" i="19"/>
  <c r="W58" i="19"/>
  <c r="W65" i="19" s="1"/>
  <c r="W54" i="19"/>
  <c r="X27" i="19"/>
  <c r="W27" i="19"/>
  <c r="X26" i="19"/>
  <c r="W26" i="19"/>
  <c r="X20" i="19"/>
  <c r="X28" i="19" s="1"/>
  <c r="W20" i="19"/>
  <c r="W28" i="19" s="1"/>
  <c r="X16" i="19"/>
  <c r="W16" i="19"/>
  <c r="V123" i="19"/>
  <c r="V208" i="19"/>
  <c r="V198" i="19"/>
  <c r="V188" i="19"/>
  <c r="V178" i="19"/>
  <c r="V233" i="19"/>
  <c r="V228" i="19"/>
  <c r="V229" i="19"/>
  <c r="V231" i="19"/>
  <c r="V230" i="19"/>
  <c r="V64" i="19"/>
  <c r="V63" i="19"/>
  <c r="V58" i="19"/>
  <c r="V65" i="19" s="1"/>
  <c r="V54" i="19"/>
  <c r="V27" i="19"/>
  <c r="V26" i="19"/>
  <c r="V20" i="19"/>
  <c r="V28" i="19" s="1"/>
  <c r="V16" i="19"/>
  <c r="U123" i="19"/>
  <c r="U208" i="19"/>
  <c r="U198" i="19"/>
  <c r="U188" i="19"/>
  <c r="U178" i="19"/>
  <c r="U233" i="19"/>
  <c r="U228" i="19"/>
  <c r="U229" i="19"/>
  <c r="U231" i="19"/>
  <c r="U230" i="19"/>
  <c r="U64" i="19"/>
  <c r="U63" i="19"/>
  <c r="U58" i="19"/>
  <c r="U65" i="19" s="1"/>
  <c r="U54" i="19"/>
  <c r="U60" i="19" s="1"/>
  <c r="U27" i="19"/>
  <c r="U26" i="19"/>
  <c r="U20" i="19"/>
  <c r="U28" i="19" s="1"/>
  <c r="U16" i="19"/>
  <c r="A61" i="38"/>
  <c r="A56" i="38"/>
  <c r="A55" i="38"/>
  <c r="A33" i="38"/>
  <c r="A28" i="38"/>
  <c r="A27" i="38"/>
  <c r="A26" i="38"/>
  <c r="B144" i="38" a="1"/>
  <c r="B144" i="38" s="1"/>
  <c r="B143" i="38" a="1"/>
  <c r="B143" i="38" s="1"/>
  <c r="B142" i="38" a="1"/>
  <c r="B142" i="38" s="1"/>
  <c r="B141" i="38" a="1"/>
  <c r="B141" i="38" s="1"/>
  <c r="B140" i="38" a="1"/>
  <c r="B140" i="38" s="1"/>
  <c r="B137" i="38" a="1"/>
  <c r="B137" i="38" s="1"/>
  <c r="B135" i="38" a="1"/>
  <c r="B135" i="38" s="1"/>
  <c r="B134" i="38" a="1"/>
  <c r="B134" i="38" s="1"/>
  <c r="B133" i="38" a="1"/>
  <c r="B133" i="38" s="1"/>
  <c r="B132" i="38" a="1"/>
  <c r="B132" i="38" s="1"/>
  <c r="B131" i="38" a="1"/>
  <c r="B131" i="38" s="1"/>
  <c r="B130" i="38" a="1"/>
  <c r="B130" i="38" s="1"/>
  <c r="B128" i="38" a="1"/>
  <c r="B128" i="38" s="1"/>
  <c r="B127" i="38" a="1"/>
  <c r="B127" i="38" s="1"/>
  <c r="B126" i="38" a="1"/>
  <c r="B126" i="38" s="1"/>
  <c r="B125" i="38" a="1"/>
  <c r="B125" i="38" s="1"/>
  <c r="B124" i="38" a="1"/>
  <c r="B124" i="38" s="1"/>
  <c r="B122" i="38" a="1"/>
  <c r="B122" i="38" s="1"/>
  <c r="B121" i="38" a="1"/>
  <c r="B121" i="38" s="1"/>
  <c r="B120" i="38" a="1"/>
  <c r="B120" i="38" s="1"/>
  <c r="B119" i="38" a="1"/>
  <c r="B119" i="38" s="1"/>
  <c r="B118" i="38" a="1"/>
  <c r="B118" i="38" s="1"/>
  <c r="B116" i="38" a="1"/>
  <c r="B116" i="38" s="1"/>
  <c r="B115" i="38" a="1"/>
  <c r="B115" i="38" s="1"/>
  <c r="B114" i="38" a="1"/>
  <c r="B114" i="38" s="1"/>
  <c r="B113" i="38" a="1"/>
  <c r="B113" i="38" s="1"/>
  <c r="B112" i="38" a="1"/>
  <c r="B112" i="38" s="1"/>
  <c r="B110" i="38" a="1"/>
  <c r="B110" i="38" s="1"/>
  <c r="B109" i="38" a="1"/>
  <c r="B109" i="38" s="1"/>
  <c r="B108" i="38" a="1"/>
  <c r="B108" i="38" s="1"/>
  <c r="B107" i="38" a="1"/>
  <c r="B107" i="38" s="1"/>
  <c r="B106" i="38" a="1"/>
  <c r="B106" i="38" s="1"/>
  <c r="B105" i="38" a="1"/>
  <c r="B105" i="38" s="1"/>
  <c r="B104" i="38" a="1"/>
  <c r="B104" i="38" s="1"/>
  <c r="B103" i="38" a="1"/>
  <c r="B103" i="38" s="1"/>
  <c r="B101" i="38" a="1"/>
  <c r="B101" i="38" s="1"/>
  <c r="B94" i="38" a="1"/>
  <c r="B94" i="38" s="1"/>
  <c r="B93" i="38" a="1"/>
  <c r="B93" i="38" s="1"/>
  <c r="B91" i="38" a="1"/>
  <c r="B91" i="38" s="1"/>
  <c r="B90" i="38" a="1"/>
  <c r="B90" i="38" s="1"/>
  <c r="B89" i="38" a="1"/>
  <c r="B89" i="38" s="1"/>
  <c r="B88" i="38" a="1"/>
  <c r="B88" i="38" s="1"/>
  <c r="B87" i="38" a="1"/>
  <c r="B87" i="38" s="1"/>
  <c r="B86" i="38" a="1"/>
  <c r="B86" i="38" s="1"/>
  <c r="B84" i="38" a="1"/>
  <c r="B84" i="38" s="1"/>
  <c r="B83" i="38" a="1"/>
  <c r="B83" i="38" s="1"/>
  <c r="B82" i="38" a="1"/>
  <c r="B82" i="38" s="1"/>
  <c r="B81" i="38" a="1"/>
  <c r="B81" i="38" s="1"/>
  <c r="B80" i="38" a="1"/>
  <c r="B80" i="38" s="1"/>
  <c r="B79" i="38" a="1"/>
  <c r="B79" i="38" s="1"/>
  <c r="B78" i="38" a="1"/>
  <c r="B78" i="38" s="1"/>
  <c r="B77" i="38" a="1"/>
  <c r="B77" i="38" s="1"/>
  <c r="B75" i="38" a="1"/>
  <c r="B75" i="38" s="1"/>
  <c r="B74" i="38" a="1"/>
  <c r="B74" i="38" s="1"/>
  <c r="B73" i="38" a="1"/>
  <c r="B73" i="38" s="1"/>
  <c r="B72" i="38" a="1"/>
  <c r="B72" i="38" s="1"/>
  <c r="B71" i="38" a="1"/>
  <c r="B71" i="38" s="1"/>
  <c r="B70" i="38" a="1"/>
  <c r="B70" i="38" s="1"/>
  <c r="B48" i="38" a="1"/>
  <c r="B48" i="38" s="1"/>
  <c r="B47" i="38" a="1"/>
  <c r="B47" i="38" s="1"/>
  <c r="B44" i="38" a="1"/>
  <c r="B44" i="38" s="1"/>
  <c r="B43" i="38" a="1"/>
  <c r="B43" i="38" s="1"/>
  <c r="B42" i="38" a="1"/>
  <c r="B42" i="38" s="1"/>
  <c r="B41" i="38" a="1"/>
  <c r="B41" i="38" s="1"/>
  <c r="B40" i="38" a="1"/>
  <c r="B40" i="38" s="1"/>
  <c r="B39" i="38" a="1"/>
  <c r="B39" i="38" s="1"/>
  <c r="B19" i="38" a="1"/>
  <c r="B19" i="38" s="1"/>
  <c r="B18" i="38" a="1"/>
  <c r="B18" i="38" s="1"/>
  <c r="B15" i="38" a="1"/>
  <c r="B15" i="38" s="1"/>
  <c r="B14" i="38" a="1"/>
  <c r="B14" i="38" s="1"/>
  <c r="B13" i="38" a="1"/>
  <c r="B13" i="38" s="1"/>
  <c r="B12" i="38" a="1"/>
  <c r="B12" i="38" s="1"/>
  <c r="B11" i="38" a="1"/>
  <c r="B11" i="38" s="1"/>
  <c r="B8" i="38" a="1"/>
  <c r="B8" i="38" s="1"/>
  <c r="D162" i="19" l="1"/>
  <c r="P224" i="19"/>
  <c r="H162" i="19"/>
  <c r="L162" i="19"/>
  <c r="C162" i="19"/>
  <c r="G162" i="19"/>
  <c r="K162" i="19"/>
  <c r="E162" i="19"/>
  <c r="I162" i="19"/>
  <c r="M162" i="19"/>
  <c r="Q162" i="19"/>
  <c r="N162" i="19"/>
  <c r="B162" i="19"/>
  <c r="F162" i="19"/>
  <c r="J162" i="19"/>
  <c r="P162" i="19"/>
  <c r="O162" i="19"/>
  <c r="X63" i="19"/>
  <c r="J115" i="19"/>
  <c r="K115" i="19" s="1"/>
  <c r="L115" i="19" s="1"/>
  <c r="M115" i="19" s="1"/>
  <c r="N115" i="19" s="1"/>
  <c r="O115" i="19" s="1"/>
  <c r="P115" i="19" s="1"/>
  <c r="Q115" i="19" s="1"/>
  <c r="W22" i="19"/>
  <c r="W29" i="19" s="1"/>
  <c r="W33" i="19" s="1"/>
  <c r="W32" i="19"/>
  <c r="W60" i="19"/>
  <c r="U235" i="19"/>
  <c r="W235" i="19"/>
  <c r="X235" i="19"/>
  <c r="X22" i="19"/>
  <c r="X43" i="19" s="1"/>
  <c r="W69" i="19"/>
  <c r="W66" i="19"/>
  <c r="W70" i="19" s="1"/>
  <c r="W35" i="19"/>
  <c r="X32" i="19"/>
  <c r="V22" i="19"/>
  <c r="V29" i="19" s="1"/>
  <c r="V33" i="19" s="1"/>
  <c r="V60" i="19"/>
  <c r="V66" i="19" s="1"/>
  <c r="V70" i="19" s="1"/>
  <c r="V235" i="19"/>
  <c r="V32" i="19"/>
  <c r="V69" i="19"/>
  <c r="U32" i="19"/>
  <c r="U66" i="19"/>
  <c r="U70" i="19" s="1"/>
  <c r="U69" i="19"/>
  <c r="U72" i="19" s="1"/>
  <c r="U22" i="19"/>
  <c r="T63" i="19"/>
  <c r="S63" i="19"/>
  <c r="R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T54" i="19"/>
  <c r="S54" i="19"/>
  <c r="R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X24" i="19" l="1"/>
  <c r="B76" i="38" a="1"/>
  <c r="B76" i="38" s="1"/>
  <c r="X35" i="19"/>
  <c r="X29" i="19"/>
  <c r="X33" i="19" s="1"/>
  <c r="X44" i="19" s="1"/>
  <c r="W72" i="19"/>
  <c r="V72" i="19"/>
  <c r="V35" i="19"/>
  <c r="V24" i="19"/>
  <c r="W24" i="19"/>
  <c r="U29" i="19"/>
  <c r="U33" i="19" s="1"/>
  <c r="U35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T178" i="19"/>
  <c r="S178" i="19"/>
  <c r="R178" i="19"/>
  <c r="Q178" i="19"/>
  <c r="P178" i="19"/>
  <c r="O178" i="19"/>
  <c r="N178" i="19"/>
  <c r="M178" i="19"/>
  <c r="L178" i="19"/>
  <c r="K178" i="19"/>
  <c r="J178" i="19"/>
  <c r="I178" i="19"/>
  <c r="H178" i="19"/>
  <c r="G178" i="19"/>
  <c r="F178" i="19"/>
  <c r="E178" i="19"/>
  <c r="D178" i="19"/>
  <c r="C178" i="19"/>
  <c r="B178" i="19"/>
  <c r="T64" i="19"/>
  <c r="S64" i="19"/>
  <c r="R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T27" i="19"/>
  <c r="S27" i="19"/>
  <c r="R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T26" i="19"/>
  <c r="S26" i="19"/>
  <c r="R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7" i="19"/>
  <c r="B60" i="19"/>
  <c r="T58" i="19"/>
  <c r="S58" i="19"/>
  <c r="R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26" i="19"/>
  <c r="T20" i="19"/>
  <c r="T28" i="19" s="1"/>
  <c r="S20" i="19"/>
  <c r="S28" i="19" s="1"/>
  <c r="R20" i="19"/>
  <c r="R28" i="19" s="1"/>
  <c r="P20" i="19"/>
  <c r="P28" i="19" s="1"/>
  <c r="O20" i="19"/>
  <c r="O28" i="19" s="1"/>
  <c r="N20" i="19"/>
  <c r="N28" i="19" s="1"/>
  <c r="M20" i="19"/>
  <c r="M28" i="19" s="1"/>
  <c r="L20" i="19"/>
  <c r="L28" i="19" s="1"/>
  <c r="K20" i="19"/>
  <c r="K28" i="19" s="1"/>
  <c r="J20" i="19"/>
  <c r="I20" i="19"/>
  <c r="I28" i="19" s="1"/>
  <c r="H20" i="19"/>
  <c r="H28" i="19" s="1"/>
  <c r="G20" i="19"/>
  <c r="G28" i="19" s="1"/>
  <c r="F20" i="19"/>
  <c r="F28" i="19" s="1"/>
  <c r="E20" i="19"/>
  <c r="E28" i="19" s="1"/>
  <c r="D20" i="19"/>
  <c r="D28" i="19" s="1"/>
  <c r="C20" i="19"/>
  <c r="C28" i="19" s="1"/>
  <c r="B20" i="19"/>
  <c r="B28" i="19" s="1"/>
  <c r="T16" i="19"/>
  <c r="S16" i="19"/>
  <c r="R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T123" i="19"/>
  <c r="S123" i="19"/>
  <c r="R123" i="19"/>
  <c r="Q123" i="19"/>
  <c r="P123" i="19"/>
  <c r="O123" i="19"/>
  <c r="T233" i="19"/>
  <c r="S233" i="19"/>
  <c r="R233" i="19"/>
  <c r="Q233" i="19"/>
  <c r="T228" i="19"/>
  <c r="S228" i="19"/>
  <c r="R228" i="19"/>
  <c r="Q228" i="19"/>
  <c r="T229" i="19"/>
  <c r="S229" i="19"/>
  <c r="R229" i="19"/>
  <c r="Q229" i="19"/>
  <c r="T231" i="19"/>
  <c r="S231" i="19"/>
  <c r="R231" i="19"/>
  <c r="Q231" i="19"/>
  <c r="T230" i="19"/>
  <c r="S230" i="19"/>
  <c r="R230" i="19"/>
  <c r="Q230" i="19"/>
  <c r="E65" i="19" l="1"/>
  <c r="E69" i="19" s="1"/>
  <c r="I65" i="19"/>
  <c r="I69" i="19" s="1"/>
  <c r="M65" i="19"/>
  <c r="M69" i="19" s="1"/>
  <c r="R65" i="19"/>
  <c r="F65" i="19"/>
  <c r="F69" i="19" s="1"/>
  <c r="N65" i="19"/>
  <c r="N69" i="19" s="1"/>
  <c r="S65" i="19"/>
  <c r="S69" i="19" s="1"/>
  <c r="C65" i="19"/>
  <c r="C69" i="19" s="1"/>
  <c r="G65" i="19"/>
  <c r="G69" i="19" s="1"/>
  <c r="K65" i="19"/>
  <c r="K69" i="19" s="1"/>
  <c r="O65" i="19"/>
  <c r="O69" i="19" s="1"/>
  <c r="T65" i="19"/>
  <c r="D65" i="19"/>
  <c r="D69" i="19" s="1"/>
  <c r="H65" i="19"/>
  <c r="H69" i="19" s="1"/>
  <c r="L65" i="19"/>
  <c r="L69" i="19" s="1"/>
  <c r="P65" i="19"/>
  <c r="P69" i="19" s="1"/>
  <c r="R22" i="19"/>
  <c r="B111" i="38" a="1"/>
  <c r="B111" i="38" s="1"/>
  <c r="B129" i="38" a="1"/>
  <c r="B129" i="38" s="1"/>
  <c r="B16" i="38" a="1"/>
  <c r="B16" i="38" s="1"/>
  <c r="B123" i="38" a="1"/>
  <c r="B123" i="38" s="1"/>
  <c r="J65" i="19"/>
  <c r="J28" i="19"/>
  <c r="B20" i="38" a="1"/>
  <c r="B20" i="38" s="1"/>
  <c r="B117" i="38" a="1"/>
  <c r="B117" i="38" s="1"/>
  <c r="S22" i="19"/>
  <c r="S29" i="19" s="1"/>
  <c r="S40" i="19" s="1"/>
  <c r="S44" i="19" s="1"/>
  <c r="T22" i="19"/>
  <c r="S32" i="19"/>
  <c r="T32" i="19"/>
  <c r="R69" i="19"/>
  <c r="R60" i="19"/>
  <c r="R66" i="19" s="1"/>
  <c r="R70" i="19" s="1"/>
  <c r="T69" i="19"/>
  <c r="T60" i="19"/>
  <c r="T66" i="19" s="1"/>
  <c r="T70" i="19" s="1"/>
  <c r="S60" i="19"/>
  <c r="R29" i="19"/>
  <c r="R32" i="19"/>
  <c r="R35" i="19" s="1"/>
  <c r="M22" i="19"/>
  <c r="M38" i="19" s="1"/>
  <c r="E22" i="19"/>
  <c r="E39" i="19" s="1"/>
  <c r="O22" i="19"/>
  <c r="O38" i="19" s="1"/>
  <c r="G22" i="19"/>
  <c r="G39" i="19" s="1"/>
  <c r="J60" i="19"/>
  <c r="K60" i="19"/>
  <c r="C60" i="19"/>
  <c r="D60" i="19"/>
  <c r="D66" i="19" s="1"/>
  <c r="D70" i="19" s="1"/>
  <c r="L60" i="19"/>
  <c r="E60" i="19"/>
  <c r="F32" i="19"/>
  <c r="N32" i="19"/>
  <c r="G32" i="19"/>
  <c r="O32" i="19"/>
  <c r="C22" i="19"/>
  <c r="C37" i="19" s="1"/>
  <c r="K22" i="19"/>
  <c r="K37" i="19" s="1"/>
  <c r="M60" i="19"/>
  <c r="D22" i="19"/>
  <c r="D38" i="19" s="1"/>
  <c r="L22" i="19"/>
  <c r="L38" i="19" s="1"/>
  <c r="F60" i="19"/>
  <c r="F66" i="19" s="1"/>
  <c r="F70" i="19" s="1"/>
  <c r="N60" i="19"/>
  <c r="G60" i="19"/>
  <c r="O60" i="19"/>
  <c r="H22" i="19"/>
  <c r="H38" i="19" s="1"/>
  <c r="P22" i="19"/>
  <c r="P38" i="19" s="1"/>
  <c r="I22" i="19"/>
  <c r="I38" i="19" s="1"/>
  <c r="H60" i="19"/>
  <c r="P60" i="19"/>
  <c r="I32" i="19"/>
  <c r="B22" i="19"/>
  <c r="B39" i="19" s="1"/>
  <c r="J22" i="19"/>
  <c r="K32" i="19"/>
  <c r="L32" i="19"/>
  <c r="C32" i="19"/>
  <c r="D32" i="19"/>
  <c r="B32" i="19"/>
  <c r="H32" i="19"/>
  <c r="P32" i="19"/>
  <c r="E32" i="19"/>
  <c r="M32" i="19"/>
  <c r="I60" i="19"/>
  <c r="F22" i="19"/>
  <c r="F38" i="19" s="1"/>
  <c r="N22" i="19"/>
  <c r="N38" i="19" s="1"/>
  <c r="T235" i="19"/>
  <c r="Q235" i="19"/>
  <c r="S235" i="19"/>
  <c r="R235" i="19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1" i="20"/>
  <c r="AT42" i="20"/>
  <c r="AT43" i="20"/>
  <c r="AT44" i="20"/>
  <c r="AT45" i="20"/>
  <c r="AT46" i="20"/>
  <c r="AT47" i="20"/>
  <c r="AT48" i="20"/>
  <c r="AT49" i="20"/>
  <c r="AT50" i="20"/>
  <c r="AT51" i="20"/>
  <c r="AT52" i="20"/>
  <c r="AT53" i="20"/>
  <c r="AT54" i="20"/>
  <c r="AT55" i="20"/>
  <c r="AT56" i="20"/>
  <c r="AT57" i="20"/>
  <c r="AT58" i="20"/>
  <c r="AT59" i="20"/>
  <c r="AT60" i="20"/>
  <c r="AT61" i="20"/>
  <c r="AT62" i="20"/>
  <c r="AT63" i="20"/>
  <c r="AT64" i="20"/>
  <c r="AT65" i="20"/>
  <c r="AT66" i="20"/>
  <c r="AT67" i="20"/>
  <c r="AT68" i="20"/>
  <c r="AT69" i="20"/>
  <c r="AT70" i="20"/>
  <c r="AT71" i="20"/>
  <c r="AT72" i="20"/>
  <c r="AT73" i="20"/>
  <c r="AT74" i="20"/>
  <c r="AT75" i="20"/>
  <c r="AT76" i="20"/>
  <c r="AT77" i="20"/>
  <c r="AT78" i="20"/>
  <c r="AT79" i="20"/>
  <c r="AT80" i="20"/>
  <c r="AT81" i="20"/>
  <c r="AT82" i="20"/>
  <c r="AT83" i="20"/>
  <c r="AT84" i="20"/>
  <c r="AT85" i="20"/>
  <c r="AT86" i="20"/>
  <c r="AT87" i="20"/>
  <c r="AT88" i="20"/>
  <c r="AT89" i="20"/>
  <c r="AT90" i="20"/>
  <c r="AT91" i="20"/>
  <c r="AT92" i="20"/>
  <c r="AT93" i="20"/>
  <c r="AT94" i="20"/>
  <c r="AT95" i="20"/>
  <c r="AT96" i="20"/>
  <c r="AT97" i="20"/>
  <c r="AT98" i="20"/>
  <c r="AT99" i="20"/>
  <c r="AT100" i="20"/>
  <c r="AT101" i="20"/>
  <c r="AT102" i="20"/>
  <c r="AT103" i="20"/>
  <c r="AT104" i="20"/>
  <c r="AT105" i="20"/>
  <c r="AT106" i="20"/>
  <c r="AT107" i="20"/>
  <c r="AT108" i="20"/>
  <c r="AT109" i="20"/>
  <c r="AT110" i="20"/>
  <c r="AT111" i="20"/>
  <c r="AT112" i="20"/>
  <c r="AT113" i="20"/>
  <c r="AT114" i="20"/>
  <c r="AT115" i="20"/>
  <c r="AT116" i="20"/>
  <c r="AT117" i="20"/>
  <c r="AT118" i="20"/>
  <c r="AT119" i="20"/>
  <c r="AT120" i="20"/>
  <c r="AT121" i="20"/>
  <c r="AT122" i="20"/>
  <c r="AT123" i="20"/>
  <c r="AT124" i="20"/>
  <c r="AT125" i="20"/>
  <c r="AT126" i="20"/>
  <c r="AT127" i="20"/>
  <c r="AT128" i="20"/>
  <c r="AT129" i="20"/>
  <c r="AT130" i="20"/>
  <c r="AT131" i="20"/>
  <c r="AT132" i="20"/>
  <c r="AT133" i="20"/>
  <c r="AT134" i="20"/>
  <c r="AT135" i="20"/>
  <c r="AT136" i="20"/>
  <c r="AT137" i="20"/>
  <c r="AT138" i="20"/>
  <c r="AT139" i="20"/>
  <c r="AT140" i="20"/>
  <c r="AT141" i="20"/>
  <c r="AT142" i="20"/>
  <c r="AT143" i="20"/>
  <c r="AT144" i="20"/>
  <c r="AT145" i="20"/>
  <c r="AT146" i="20"/>
  <c r="AT147" i="20"/>
  <c r="AT148" i="20"/>
  <c r="AT149" i="20"/>
  <c r="AT150" i="20"/>
  <c r="AT151" i="20"/>
  <c r="AT152" i="20"/>
  <c r="AT153" i="20"/>
  <c r="AT154" i="20"/>
  <c r="AT155" i="20"/>
  <c r="AT156" i="20"/>
  <c r="AT157" i="20"/>
  <c r="AT158" i="20"/>
  <c r="AT159" i="20"/>
  <c r="AT160" i="20"/>
  <c r="AT161" i="20"/>
  <c r="AT162" i="20"/>
  <c r="AT163" i="20"/>
  <c r="AT164" i="20"/>
  <c r="AT165" i="20"/>
  <c r="AT166" i="20"/>
  <c r="AT167" i="20"/>
  <c r="AT168" i="20"/>
  <c r="AT169" i="20"/>
  <c r="AT170" i="20"/>
  <c r="AT171" i="20"/>
  <c r="AT172" i="20"/>
  <c r="AT173" i="20"/>
  <c r="AT174" i="20"/>
  <c r="AT175" i="20"/>
  <c r="AT176" i="20"/>
  <c r="AT177" i="20"/>
  <c r="AT178" i="20"/>
  <c r="AT179" i="20"/>
  <c r="AT180" i="20"/>
  <c r="AT181" i="20"/>
  <c r="AT182" i="20"/>
  <c r="AT183" i="20"/>
  <c r="AT184" i="20"/>
  <c r="AT185" i="20"/>
  <c r="AT186" i="20"/>
  <c r="AT187" i="20"/>
  <c r="AT188" i="20"/>
  <c r="AT189" i="20"/>
  <c r="AT190" i="20"/>
  <c r="AT191" i="20"/>
  <c r="AT192" i="20"/>
  <c r="AT193" i="20"/>
  <c r="AT194" i="20"/>
  <c r="AT195" i="20"/>
  <c r="AT196" i="20"/>
  <c r="AT197" i="20"/>
  <c r="AT198" i="20"/>
  <c r="AT199" i="20"/>
  <c r="AT200" i="20"/>
  <c r="AT201" i="20"/>
  <c r="AT202" i="20"/>
  <c r="AT203" i="20"/>
  <c r="AT204" i="20"/>
  <c r="AT205" i="20"/>
  <c r="AT206" i="20"/>
  <c r="AT207" i="20"/>
  <c r="AT208" i="20"/>
  <c r="AT209" i="20"/>
  <c r="AT210" i="20"/>
  <c r="AT211" i="20"/>
  <c r="AT212" i="20"/>
  <c r="AT213" i="20"/>
  <c r="AT214" i="20"/>
  <c r="AT215" i="20"/>
  <c r="AT216" i="20"/>
  <c r="AT217" i="20"/>
  <c r="AT218" i="20"/>
  <c r="AT219" i="20"/>
  <c r="AT220" i="20"/>
  <c r="AT221" i="20"/>
  <c r="AT222" i="20"/>
  <c r="AT223" i="20"/>
  <c r="AT224" i="20"/>
  <c r="AT225" i="20"/>
  <c r="AT226" i="20"/>
  <c r="AT227" i="20"/>
  <c r="AT228" i="20"/>
  <c r="AT229" i="20"/>
  <c r="AT230" i="20"/>
  <c r="AT231" i="20"/>
  <c r="AT232" i="20"/>
  <c r="AT233" i="20"/>
  <c r="AT234" i="20"/>
  <c r="AT235" i="20"/>
  <c r="AT236" i="20"/>
  <c r="AT237" i="20"/>
  <c r="AT238" i="20"/>
  <c r="AT239" i="20"/>
  <c r="AT240" i="20"/>
  <c r="AT241" i="20"/>
  <c r="AT242" i="20"/>
  <c r="AT243" i="20"/>
  <c r="AT244" i="20"/>
  <c r="AT245" i="20"/>
  <c r="AT246" i="20"/>
  <c r="AT247" i="20"/>
  <c r="AT248" i="20"/>
  <c r="AT249" i="20"/>
  <c r="AT250" i="20"/>
  <c r="AT251" i="20"/>
  <c r="AT252" i="20"/>
  <c r="AT253" i="20"/>
  <c r="AT254" i="20"/>
  <c r="AT255" i="20"/>
  <c r="AT256" i="20"/>
  <c r="AT257" i="20"/>
  <c r="AT258" i="20"/>
  <c r="AT259" i="20"/>
  <c r="AT260" i="20"/>
  <c r="AT261" i="20"/>
  <c r="AT262" i="20"/>
  <c r="AT263" i="20"/>
  <c r="AT264" i="20"/>
  <c r="AT265" i="20"/>
  <c r="AT266" i="20"/>
  <c r="AT267" i="20"/>
  <c r="AT268" i="20"/>
  <c r="AT269" i="20"/>
  <c r="AT270" i="20"/>
  <c r="AT271" i="20"/>
  <c r="AT272" i="20"/>
  <c r="AT273" i="20"/>
  <c r="AT274" i="20"/>
  <c r="AT275" i="20"/>
  <c r="AT276" i="20"/>
  <c r="AT277" i="20"/>
  <c r="AT278" i="20"/>
  <c r="AT279" i="20"/>
  <c r="AT280" i="20"/>
  <c r="AT281" i="20"/>
  <c r="AT282" i="20"/>
  <c r="AT283" i="20"/>
  <c r="AT284" i="20"/>
  <c r="AT285" i="20"/>
  <c r="AT286" i="20"/>
  <c r="AT287" i="20"/>
  <c r="AT288" i="20"/>
  <c r="AT289" i="20"/>
  <c r="AT290" i="20"/>
  <c r="AT291" i="20"/>
  <c r="AT292" i="20"/>
  <c r="AT293" i="20"/>
  <c r="AT294" i="20"/>
  <c r="AT295" i="20"/>
  <c r="AT296" i="20"/>
  <c r="AT297" i="20"/>
  <c r="AT298" i="20"/>
  <c r="AT299" i="20"/>
  <c r="AT300" i="20"/>
  <c r="AT301" i="20"/>
  <c r="AT302" i="20"/>
  <c r="AT303" i="20"/>
  <c r="AT304" i="20"/>
  <c r="AT305" i="20"/>
  <c r="AT306" i="20"/>
  <c r="AT307" i="20"/>
  <c r="AT308" i="20"/>
  <c r="AT309" i="20"/>
  <c r="AT310" i="20"/>
  <c r="AT311" i="20"/>
  <c r="AT312" i="20"/>
  <c r="AT313" i="20"/>
  <c r="AT314" i="20"/>
  <c r="AT315" i="20"/>
  <c r="AT316" i="20"/>
  <c r="AT317" i="20"/>
  <c r="AT318" i="20"/>
  <c r="AT319" i="20"/>
  <c r="AT320" i="20"/>
  <c r="AT321" i="20"/>
  <c r="AT322" i="20"/>
  <c r="AT323" i="20"/>
  <c r="AT324" i="20"/>
  <c r="AT325" i="20"/>
  <c r="AT326" i="20"/>
  <c r="AT327" i="20"/>
  <c r="AT328" i="20"/>
  <c r="AT329" i="20"/>
  <c r="AT330" i="20"/>
  <c r="AT331" i="20"/>
  <c r="AT332" i="20"/>
  <c r="AT333" i="20"/>
  <c r="AT334" i="20"/>
  <c r="AT335" i="20"/>
  <c r="AT336" i="20"/>
  <c r="AT337" i="20"/>
  <c r="AT338" i="20"/>
  <c r="AT339" i="20"/>
  <c r="AT340" i="20"/>
  <c r="AT341" i="20"/>
  <c r="AT342" i="20"/>
  <c r="AT343" i="20"/>
  <c r="AT344" i="20"/>
  <c r="AT345" i="20"/>
  <c r="AT346" i="20"/>
  <c r="AT347" i="20"/>
  <c r="AT348" i="20"/>
  <c r="AT349" i="20"/>
  <c r="AT350" i="20"/>
  <c r="AT351" i="20"/>
  <c r="AT352" i="20"/>
  <c r="AT353" i="20"/>
  <c r="AT354" i="20"/>
  <c r="AT355" i="20"/>
  <c r="AT356" i="20"/>
  <c r="AT357" i="20"/>
  <c r="AT358" i="20"/>
  <c r="AT359" i="20"/>
  <c r="AT360" i="20"/>
  <c r="AT361" i="20"/>
  <c r="AT362" i="20"/>
  <c r="AT363" i="20"/>
  <c r="AT364" i="20"/>
  <c r="AT365" i="20"/>
  <c r="AT366" i="20"/>
  <c r="AT367" i="20"/>
  <c r="AT368" i="20"/>
  <c r="AT369" i="20"/>
  <c r="AT370" i="20"/>
  <c r="AT371" i="20"/>
  <c r="AT372" i="20"/>
  <c r="AT373" i="20"/>
  <c r="AT374" i="20"/>
  <c r="AT375" i="20"/>
  <c r="AT376" i="20"/>
  <c r="AT377" i="20"/>
  <c r="AT378" i="20"/>
  <c r="AT379" i="20"/>
  <c r="AT380" i="20"/>
  <c r="AT381" i="20"/>
  <c r="AT382" i="20"/>
  <c r="AT383" i="20"/>
  <c r="AT384" i="20"/>
  <c r="AT385" i="20"/>
  <c r="AT386" i="20"/>
  <c r="AT387" i="20"/>
  <c r="AT388" i="20"/>
  <c r="AT389" i="20"/>
  <c r="AT390" i="20"/>
  <c r="AT391" i="20"/>
  <c r="AT392" i="20"/>
  <c r="AT393" i="20"/>
  <c r="AT394" i="20"/>
  <c r="AT395" i="20"/>
  <c r="AT396" i="20"/>
  <c r="AT397" i="20"/>
  <c r="AT398" i="20"/>
  <c r="AT399" i="20"/>
  <c r="AT400" i="20"/>
  <c r="AT401" i="20"/>
  <c r="AT402" i="20"/>
  <c r="AT403" i="20"/>
  <c r="AT404" i="20"/>
  <c r="AT405" i="20"/>
  <c r="AT406" i="20"/>
  <c r="AT407" i="20"/>
  <c r="AT408" i="20"/>
  <c r="AT409" i="20"/>
  <c r="AT410" i="20"/>
  <c r="AT411" i="20"/>
  <c r="AT412" i="20"/>
  <c r="AT413" i="20"/>
  <c r="AT414" i="20"/>
  <c r="AT415" i="20"/>
  <c r="AT416" i="20"/>
  <c r="AT417" i="20"/>
  <c r="AT418" i="20"/>
  <c r="AT419" i="20"/>
  <c r="AT420" i="20"/>
  <c r="AT421" i="20"/>
  <c r="AT422" i="20"/>
  <c r="AT423" i="20"/>
  <c r="AT424" i="20"/>
  <c r="AT425" i="20"/>
  <c r="AT426" i="20"/>
  <c r="AT427" i="20"/>
  <c r="AT428" i="20"/>
  <c r="AT429" i="20"/>
  <c r="AT430" i="20"/>
  <c r="AT431" i="20"/>
  <c r="AT432" i="20"/>
  <c r="AT433" i="20"/>
  <c r="AT434" i="20"/>
  <c r="AT435" i="20"/>
  <c r="AT436" i="20"/>
  <c r="AT437" i="20"/>
  <c r="AT438" i="20"/>
  <c r="AT439" i="20"/>
  <c r="AT440" i="20"/>
  <c r="AT441" i="20"/>
  <c r="AT442" i="20"/>
  <c r="AT443" i="20"/>
  <c r="AT444" i="20"/>
  <c r="AT445" i="20"/>
  <c r="AT446" i="20"/>
  <c r="AT447" i="20"/>
  <c r="AT448" i="20"/>
  <c r="AT449" i="20"/>
  <c r="AT450" i="20"/>
  <c r="AT451" i="20"/>
  <c r="AT452" i="20"/>
  <c r="AT453" i="20"/>
  <c r="AT454" i="20"/>
  <c r="AT455" i="20"/>
  <c r="AT456" i="20"/>
  <c r="AT457" i="20"/>
  <c r="AT458" i="20"/>
  <c r="AT459" i="20"/>
  <c r="AT460" i="20"/>
  <c r="AT461" i="20"/>
  <c r="AT462" i="20"/>
  <c r="AT463" i="20"/>
  <c r="AT464" i="20"/>
  <c r="AT465" i="20"/>
  <c r="AT466" i="20"/>
  <c r="AT467" i="20"/>
  <c r="AT468" i="20"/>
  <c r="AT469" i="20"/>
  <c r="AT470" i="20"/>
  <c r="AT471" i="20"/>
  <c r="AT472" i="20"/>
  <c r="AT473" i="20"/>
  <c r="AT474" i="20"/>
  <c r="AT475" i="20"/>
  <c r="AT476" i="20"/>
  <c r="AT477" i="20"/>
  <c r="AT478" i="20"/>
  <c r="AT479" i="20"/>
  <c r="AT480" i="20"/>
  <c r="AT481" i="20"/>
  <c r="AT482" i="20"/>
  <c r="AT483" i="20"/>
  <c r="AT484" i="20"/>
  <c r="AT485" i="20"/>
  <c r="AT486" i="20"/>
  <c r="AT487" i="20"/>
  <c r="AT488" i="20"/>
  <c r="AT489" i="20"/>
  <c r="AT490" i="20"/>
  <c r="AT491" i="20"/>
  <c r="AT492" i="20"/>
  <c r="AT493" i="20"/>
  <c r="AT494" i="20"/>
  <c r="AT495" i="20"/>
  <c r="AT496" i="20"/>
  <c r="AT497" i="20"/>
  <c r="AT498" i="20"/>
  <c r="AT499" i="20"/>
  <c r="AT500" i="20"/>
  <c r="AT501" i="20"/>
  <c r="AT502" i="20"/>
  <c r="AT503" i="20"/>
  <c r="AT504" i="20"/>
  <c r="AT505" i="20"/>
  <c r="AT506" i="20"/>
  <c r="AT507" i="20"/>
  <c r="AT508" i="20"/>
  <c r="AT509" i="20"/>
  <c r="AT510" i="20"/>
  <c r="AT511" i="20"/>
  <c r="AT512" i="20"/>
  <c r="AT513" i="20"/>
  <c r="AT514" i="20"/>
  <c r="AT515" i="20"/>
  <c r="AT516" i="20"/>
  <c r="AT517" i="20"/>
  <c r="AT518" i="20"/>
  <c r="AT519" i="20"/>
  <c r="AT520" i="20"/>
  <c r="AT521" i="20"/>
  <c r="AT522" i="20"/>
  <c r="AT523" i="20"/>
  <c r="AT524" i="20"/>
  <c r="AT525" i="20"/>
  <c r="AT526" i="20"/>
  <c r="AT527" i="20"/>
  <c r="AT528" i="20"/>
  <c r="AT529" i="20"/>
  <c r="AT530" i="20"/>
  <c r="AT531" i="20"/>
  <c r="AT532" i="20"/>
  <c r="AT533" i="20"/>
  <c r="AT534" i="20"/>
  <c r="AT535" i="20"/>
  <c r="AT536" i="20"/>
  <c r="AT537" i="20"/>
  <c r="AT538" i="20"/>
  <c r="AT539" i="20"/>
  <c r="AT540" i="20"/>
  <c r="AT541" i="20"/>
  <c r="AT542" i="20"/>
  <c r="AT543" i="20"/>
  <c r="AT544" i="20"/>
  <c r="AT545" i="20"/>
  <c r="AT546" i="20"/>
  <c r="AT547" i="20"/>
  <c r="AT548" i="20"/>
  <c r="AT549" i="20"/>
  <c r="AT550" i="20"/>
  <c r="AT551" i="20"/>
  <c r="AT552" i="20"/>
  <c r="AT553" i="20"/>
  <c r="AT554" i="20"/>
  <c r="AT555" i="20"/>
  <c r="AT556" i="20"/>
  <c r="AT557" i="20"/>
  <c r="AT558" i="20"/>
  <c r="AT559" i="20"/>
  <c r="AT560" i="20"/>
  <c r="AT561" i="20"/>
  <c r="AT562" i="20"/>
  <c r="AT563" i="20"/>
  <c r="AT564" i="20"/>
  <c r="AT565" i="20"/>
  <c r="AT566" i="20"/>
  <c r="AT567" i="20"/>
  <c r="AT568" i="20"/>
  <c r="AT569" i="20"/>
  <c r="AT570" i="20"/>
  <c r="AT571" i="20"/>
  <c r="AT572" i="20"/>
  <c r="AT573" i="20"/>
  <c r="AT574" i="20"/>
  <c r="AT575" i="20"/>
  <c r="AT576" i="20"/>
  <c r="AT577" i="20"/>
  <c r="AT578" i="20"/>
  <c r="AT579" i="20"/>
  <c r="AT580" i="20"/>
  <c r="AT581" i="20"/>
  <c r="AT582" i="20"/>
  <c r="AT583" i="20"/>
  <c r="AT584" i="20"/>
  <c r="AT585" i="20"/>
  <c r="AT586" i="20"/>
  <c r="AT587" i="20"/>
  <c r="AT588" i="20"/>
  <c r="AT589" i="20"/>
  <c r="AT590" i="20"/>
  <c r="AT591" i="20"/>
  <c r="AT592" i="20"/>
  <c r="AT593" i="20"/>
  <c r="AT594" i="20"/>
  <c r="AT595" i="20"/>
  <c r="AT596" i="20"/>
  <c r="AT597" i="20"/>
  <c r="AT598" i="20"/>
  <c r="AT599" i="20"/>
  <c r="AT600" i="20"/>
  <c r="AT601" i="20"/>
  <c r="AT602" i="20"/>
  <c r="AT603" i="20"/>
  <c r="AT604" i="20"/>
  <c r="AT605" i="20"/>
  <c r="AT606" i="20"/>
  <c r="AT607" i="20"/>
  <c r="AT608" i="20"/>
  <c r="AT609" i="20"/>
  <c r="AT610" i="20"/>
  <c r="AT611" i="20"/>
  <c r="AT612" i="20"/>
  <c r="AT613" i="20"/>
  <c r="AT614" i="20"/>
  <c r="AT615" i="20"/>
  <c r="AT616" i="20"/>
  <c r="AT617" i="20"/>
  <c r="AT618" i="20"/>
  <c r="AT619" i="20"/>
  <c r="AT620" i="20"/>
  <c r="AT621" i="20"/>
  <c r="AT622" i="20"/>
  <c r="AT623" i="20"/>
  <c r="AT624" i="20"/>
  <c r="AT625" i="20"/>
  <c r="AT626" i="20"/>
  <c r="AT627" i="20"/>
  <c r="AT628" i="20"/>
  <c r="AT629" i="20"/>
  <c r="AT630" i="20"/>
  <c r="AT631" i="20"/>
  <c r="AT632" i="20"/>
  <c r="AT633" i="20"/>
  <c r="AT634" i="20"/>
  <c r="AT635" i="20"/>
  <c r="AT636" i="20"/>
  <c r="AT637" i="20"/>
  <c r="AT638" i="20"/>
  <c r="AT639" i="20"/>
  <c r="AT640" i="20"/>
  <c r="AT641" i="20"/>
  <c r="AT642" i="20"/>
  <c r="AT643" i="20"/>
  <c r="AT644" i="20"/>
  <c r="AT645" i="20"/>
  <c r="AT646" i="20"/>
  <c r="AT647" i="20"/>
  <c r="AT648" i="20"/>
  <c r="AT649" i="20"/>
  <c r="AT650" i="20"/>
  <c r="AT651" i="20"/>
  <c r="AT652" i="20"/>
  <c r="AT653" i="20"/>
  <c r="AT654" i="20"/>
  <c r="AT655" i="20"/>
  <c r="AT656" i="20"/>
  <c r="AT657" i="20"/>
  <c r="AT658" i="20"/>
  <c r="AT659" i="20"/>
  <c r="AT660" i="20"/>
  <c r="AT661" i="20"/>
  <c r="AT662" i="20"/>
  <c r="AT663" i="20"/>
  <c r="AT664" i="20"/>
  <c r="AT665" i="20"/>
  <c r="AT666" i="20"/>
  <c r="AT667" i="20"/>
  <c r="AT668" i="20"/>
  <c r="AT669" i="20"/>
  <c r="AT670" i="20"/>
  <c r="AT671" i="20"/>
  <c r="AT672" i="20"/>
  <c r="AT673" i="20"/>
  <c r="AT674" i="20"/>
  <c r="AT675" i="20"/>
  <c r="AT676" i="20"/>
  <c r="AT677" i="20"/>
  <c r="AT678" i="20"/>
  <c r="AT679" i="20"/>
  <c r="AT680" i="20"/>
  <c r="AT681" i="20"/>
  <c r="AT682" i="20"/>
  <c r="AT683" i="20"/>
  <c r="AT684" i="20"/>
  <c r="AT685" i="20"/>
  <c r="AT686" i="20"/>
  <c r="AT687" i="20"/>
  <c r="AT688" i="20"/>
  <c r="AT689" i="20"/>
  <c r="AT690" i="20"/>
  <c r="AT691" i="20"/>
  <c r="AT692" i="20"/>
  <c r="AT693" i="20"/>
  <c r="AT694" i="20"/>
  <c r="AT695" i="20"/>
  <c r="AT696" i="20"/>
  <c r="AT697" i="20"/>
  <c r="AT698" i="20"/>
  <c r="AT699" i="20"/>
  <c r="AT700" i="20"/>
  <c r="AT701" i="20"/>
  <c r="AT702" i="20"/>
  <c r="AT703" i="20"/>
  <c r="AT704" i="20"/>
  <c r="AT705" i="20"/>
  <c r="AT706" i="20"/>
  <c r="AT707" i="20"/>
  <c r="AT708" i="20"/>
  <c r="AT709" i="20"/>
  <c r="AT710" i="20"/>
  <c r="AT711" i="20"/>
  <c r="AT712" i="20"/>
  <c r="AT713" i="20"/>
  <c r="AT714" i="20"/>
  <c r="AT715" i="20"/>
  <c r="AT716" i="20"/>
  <c r="AT717" i="20"/>
  <c r="AT718" i="20"/>
  <c r="AT719" i="20"/>
  <c r="AT720" i="20"/>
  <c r="AT721" i="20"/>
  <c r="AT722" i="20"/>
  <c r="AT723" i="20"/>
  <c r="AT724" i="20"/>
  <c r="AT725" i="20"/>
  <c r="AT726" i="20"/>
  <c r="AT727" i="20"/>
  <c r="AT728" i="20"/>
  <c r="AT729" i="20"/>
  <c r="AT730" i="20"/>
  <c r="AT731" i="20"/>
  <c r="AT732" i="20"/>
  <c r="AT733" i="20"/>
  <c r="AT734" i="20"/>
  <c r="AT735" i="20"/>
  <c r="AT736" i="20"/>
  <c r="AT737" i="20"/>
  <c r="AT738" i="20"/>
  <c r="AT739" i="20"/>
  <c r="AT740" i="20"/>
  <c r="AT741" i="20"/>
  <c r="AT742" i="20"/>
  <c r="AT743" i="20"/>
  <c r="AT744" i="20"/>
  <c r="AT745" i="20"/>
  <c r="AT746" i="20"/>
  <c r="AT747" i="20"/>
  <c r="AT748" i="20"/>
  <c r="AT749" i="20"/>
  <c r="AT750" i="20"/>
  <c r="AT751" i="20"/>
  <c r="AT752" i="20"/>
  <c r="AT753" i="20"/>
  <c r="AT754" i="20"/>
  <c r="AT755" i="20"/>
  <c r="AT756" i="20"/>
  <c r="AT757" i="20"/>
  <c r="AT758" i="20"/>
  <c r="AT759" i="20"/>
  <c r="AT760" i="20"/>
  <c r="AT761" i="20"/>
  <c r="AT762" i="20"/>
  <c r="AT763" i="20"/>
  <c r="AT764" i="20"/>
  <c r="AT765" i="20"/>
  <c r="AT766" i="20"/>
  <c r="AT767" i="20"/>
  <c r="AT768" i="20"/>
  <c r="AT769" i="20"/>
  <c r="AT770" i="20"/>
  <c r="AT771" i="20"/>
  <c r="AT772" i="20"/>
  <c r="AT773" i="20"/>
  <c r="AT774" i="20"/>
  <c r="AT775" i="20"/>
  <c r="AT776" i="20"/>
  <c r="AT777" i="20"/>
  <c r="AT778" i="20"/>
  <c r="AT779" i="20"/>
  <c r="AT780" i="20"/>
  <c r="AT781" i="20"/>
  <c r="AT782" i="20"/>
  <c r="AT783" i="20"/>
  <c r="AT784" i="20"/>
  <c r="AT785" i="20"/>
  <c r="AT786" i="20"/>
  <c r="AT787" i="20"/>
  <c r="AT788" i="20"/>
  <c r="AT789" i="20"/>
  <c r="AT790" i="20"/>
  <c r="AT791" i="20"/>
  <c r="AT792" i="20"/>
  <c r="AT793" i="20"/>
  <c r="AT794" i="20"/>
  <c r="AT795" i="20"/>
  <c r="AT796" i="20"/>
  <c r="AT797" i="20"/>
  <c r="AT798" i="20"/>
  <c r="AT799" i="20"/>
  <c r="AT800" i="20"/>
  <c r="AT801" i="20"/>
  <c r="AT802" i="20"/>
  <c r="AT803" i="20"/>
  <c r="AT804" i="20"/>
  <c r="AT805" i="20"/>
  <c r="AT806" i="20"/>
  <c r="AT807" i="20"/>
  <c r="AT808" i="20"/>
  <c r="AT809" i="20"/>
  <c r="AT810" i="20"/>
  <c r="AT811" i="20"/>
  <c r="AT812" i="20"/>
  <c r="AT813" i="20"/>
  <c r="AT814" i="20"/>
  <c r="AT815" i="20"/>
  <c r="AT816" i="20"/>
  <c r="AT817" i="20"/>
  <c r="AT818" i="20"/>
  <c r="AT819" i="20"/>
  <c r="AT820" i="20"/>
  <c r="AT821" i="20"/>
  <c r="AT822" i="20"/>
  <c r="AT823" i="20"/>
  <c r="AT824" i="20"/>
  <c r="AT825" i="20"/>
  <c r="AT826" i="20"/>
  <c r="AT827" i="20"/>
  <c r="AT828" i="20"/>
  <c r="AT829" i="20"/>
  <c r="AT830" i="20"/>
  <c r="AT831" i="20"/>
  <c r="AT832" i="20"/>
  <c r="AT833" i="20"/>
  <c r="AT834" i="20"/>
  <c r="AT835" i="20"/>
  <c r="AT836" i="20"/>
  <c r="AT837" i="20"/>
  <c r="AT838" i="20"/>
  <c r="AT839" i="20"/>
  <c r="AT840" i="20"/>
  <c r="AT841" i="20"/>
  <c r="AT842" i="20"/>
  <c r="AT843" i="20"/>
  <c r="AT844" i="20"/>
  <c r="AT845" i="20"/>
  <c r="AT846" i="20"/>
  <c r="AT847" i="20"/>
  <c r="AT848" i="20"/>
  <c r="AT849" i="20"/>
  <c r="AT850" i="20"/>
  <c r="AT851" i="20"/>
  <c r="AT852" i="20"/>
  <c r="AT853" i="20"/>
  <c r="AT854" i="20"/>
  <c r="AT855" i="20"/>
  <c r="AT856" i="20"/>
  <c r="AT857" i="20"/>
  <c r="AT858" i="20"/>
  <c r="AT859" i="20"/>
  <c r="AT860" i="20"/>
  <c r="AT861" i="20"/>
  <c r="AT862" i="20"/>
  <c r="AT863" i="20"/>
  <c r="AT864" i="20"/>
  <c r="AT865" i="20"/>
  <c r="AT866" i="20"/>
  <c r="AT867" i="20"/>
  <c r="AT868" i="20"/>
  <c r="AT869" i="20"/>
  <c r="AT870" i="20"/>
  <c r="AT871" i="20"/>
  <c r="AT872" i="20"/>
  <c r="AT873" i="20"/>
  <c r="AT874" i="20"/>
  <c r="AT875" i="20"/>
  <c r="AT876" i="20"/>
  <c r="AT877" i="20"/>
  <c r="AT878" i="20"/>
  <c r="AT879" i="20"/>
  <c r="AT880" i="20"/>
  <c r="AT881" i="20"/>
  <c r="AT882" i="20"/>
  <c r="AT883" i="20"/>
  <c r="AT884" i="20"/>
  <c r="AT885" i="20"/>
  <c r="AT886" i="20"/>
  <c r="AT887" i="20"/>
  <c r="AT888" i="20"/>
  <c r="AT889" i="20"/>
  <c r="AT890" i="20"/>
  <c r="AT891" i="20"/>
  <c r="AT892" i="20"/>
  <c r="AT893" i="20"/>
  <c r="AT894" i="20"/>
  <c r="AT895" i="20"/>
  <c r="AT896" i="20"/>
  <c r="AT897" i="20"/>
  <c r="AT898" i="20"/>
  <c r="AT899" i="20"/>
  <c r="AT900" i="20"/>
  <c r="AT901" i="20"/>
  <c r="AT902" i="20"/>
  <c r="AT903" i="20"/>
  <c r="S39" i="19" l="1"/>
  <c r="S66" i="19"/>
  <c r="S70" i="19" s="1"/>
  <c r="S38" i="19"/>
  <c r="S37" i="19"/>
  <c r="S43" i="19" s="1"/>
  <c r="M39" i="19"/>
  <c r="E66" i="19"/>
  <c r="E70" i="19" s="1"/>
  <c r="B37" i="19"/>
  <c r="G66" i="19"/>
  <c r="G70" i="19" s="1"/>
  <c r="P39" i="19"/>
  <c r="M37" i="19"/>
  <c r="E38" i="19"/>
  <c r="E37" i="19"/>
  <c r="E43" i="19" s="1"/>
  <c r="O66" i="19"/>
  <c r="O70" i="19" s="1"/>
  <c r="P37" i="19"/>
  <c r="B38" i="19"/>
  <c r="C39" i="19"/>
  <c r="J39" i="19"/>
  <c r="K38" i="19"/>
  <c r="L37" i="19"/>
  <c r="I39" i="19"/>
  <c r="I43" i="19" s="1"/>
  <c r="L39" i="19"/>
  <c r="F39" i="19"/>
  <c r="O37" i="19"/>
  <c r="H39" i="19"/>
  <c r="N39" i="19"/>
  <c r="N37" i="19"/>
  <c r="O39" i="19"/>
  <c r="G38" i="19"/>
  <c r="G43" i="19" s="1"/>
  <c r="H37" i="19"/>
  <c r="D39" i="19"/>
  <c r="G37" i="19"/>
  <c r="J37" i="19"/>
  <c r="K39" i="19"/>
  <c r="I37" i="19"/>
  <c r="C38" i="19"/>
  <c r="D37" i="19"/>
  <c r="J38" i="19"/>
  <c r="F37" i="19"/>
  <c r="F43" i="19" s="1"/>
  <c r="B29" i="19"/>
  <c r="B43" i="19"/>
  <c r="I29" i="19"/>
  <c r="I40" i="19" s="1"/>
  <c r="E24" i="19"/>
  <c r="E29" i="19"/>
  <c r="E40" i="19" s="1"/>
  <c r="M66" i="19"/>
  <c r="M70" i="19" s="1"/>
  <c r="L66" i="19"/>
  <c r="L70" i="19" s="1"/>
  <c r="M29" i="19"/>
  <c r="M40" i="19" s="1"/>
  <c r="M43" i="19"/>
  <c r="L29" i="19"/>
  <c r="C29" i="19"/>
  <c r="C40" i="19" s="1"/>
  <c r="O29" i="19"/>
  <c r="O40" i="19" s="1"/>
  <c r="O43" i="19"/>
  <c r="H29" i="19"/>
  <c r="H40" i="19" s="1"/>
  <c r="K29" i="19"/>
  <c r="G29" i="19"/>
  <c r="G40" i="19" s="1"/>
  <c r="H66" i="19"/>
  <c r="H70" i="19" s="1"/>
  <c r="N66" i="19"/>
  <c r="N70" i="19" s="1"/>
  <c r="C66" i="19"/>
  <c r="C70" i="19" s="1"/>
  <c r="I66" i="19"/>
  <c r="I70" i="19" s="1"/>
  <c r="P66" i="19"/>
  <c r="P70" i="19" s="1"/>
  <c r="K66" i="19"/>
  <c r="K70" i="19" s="1"/>
  <c r="E35" i="19"/>
  <c r="J69" i="19"/>
  <c r="T29" i="19"/>
  <c r="T33" i="19" s="1"/>
  <c r="U24" i="19"/>
  <c r="J29" i="19"/>
  <c r="J66" i="19"/>
  <c r="T24" i="19"/>
  <c r="S24" i="19"/>
  <c r="T35" i="19"/>
  <c r="J32" i="19"/>
  <c r="J35" i="19" s="1"/>
  <c r="S35" i="19"/>
  <c r="G35" i="19"/>
  <c r="R72" i="19"/>
  <c r="E72" i="19"/>
  <c r="M35" i="19"/>
  <c r="O35" i="19"/>
  <c r="T72" i="19"/>
  <c r="S72" i="19"/>
  <c r="P24" i="19"/>
  <c r="C35" i="19"/>
  <c r="G72" i="19"/>
  <c r="K72" i="19"/>
  <c r="O72" i="19"/>
  <c r="C72" i="19"/>
  <c r="K35" i="19"/>
  <c r="P35" i="19"/>
  <c r="D72" i="19"/>
  <c r="L72" i="19"/>
  <c r="H35" i="19"/>
  <c r="H24" i="19"/>
  <c r="L24" i="19"/>
  <c r="P29" i="19"/>
  <c r="M24" i="19"/>
  <c r="I24" i="19"/>
  <c r="L35" i="19"/>
  <c r="F72" i="19"/>
  <c r="I35" i="19"/>
  <c r="J24" i="19"/>
  <c r="B35" i="19"/>
  <c r="C24" i="19"/>
  <c r="D29" i="19"/>
  <c r="D24" i="19"/>
  <c r="M72" i="19"/>
  <c r="D35" i="19"/>
  <c r="K24" i="19"/>
  <c r="P72" i="19"/>
  <c r="N72" i="19"/>
  <c r="H72" i="19"/>
  <c r="N24" i="19"/>
  <c r="N29" i="19"/>
  <c r="F24" i="19"/>
  <c r="F29" i="19"/>
  <c r="I72" i="19"/>
  <c r="O24" i="19"/>
  <c r="G24" i="19"/>
  <c r="F35" i="19"/>
  <c r="N35" i="19"/>
  <c r="R33" i="19"/>
  <c r="H33" i="19"/>
  <c r="H44" i="19" s="1"/>
  <c r="S33" i="19"/>
  <c r="K224" i="19"/>
  <c r="C43" i="19" l="1"/>
  <c r="D43" i="19"/>
  <c r="K43" i="19"/>
  <c r="H43" i="19"/>
  <c r="N43" i="19"/>
  <c r="L43" i="19"/>
  <c r="P43" i="19"/>
  <c r="M33" i="19"/>
  <c r="M44" i="19" s="1"/>
  <c r="C33" i="19"/>
  <c r="C44" i="19" s="1"/>
  <c r="G33" i="19"/>
  <c r="G44" i="19" s="1"/>
  <c r="O33" i="19"/>
  <c r="O44" i="19" s="1"/>
  <c r="J43" i="19"/>
  <c r="E33" i="19"/>
  <c r="E44" i="19" s="1"/>
  <c r="I33" i="19"/>
  <c r="D33" i="19"/>
  <c r="D40" i="19"/>
  <c r="D44" i="19" s="1"/>
  <c r="J33" i="19"/>
  <c r="J40" i="19"/>
  <c r="B33" i="19"/>
  <c r="B40" i="19"/>
  <c r="B44" i="19" s="1"/>
  <c r="N33" i="19"/>
  <c r="N40" i="19"/>
  <c r="F33" i="19"/>
  <c r="F40" i="19"/>
  <c r="P33" i="19"/>
  <c r="P40" i="19"/>
  <c r="K33" i="19"/>
  <c r="K40" i="19"/>
  <c r="L33" i="19"/>
  <c r="L40" i="19"/>
  <c r="I44" i="19"/>
  <c r="J72" i="19"/>
  <c r="J70" i="19"/>
  <c r="AA809" i="21"/>
  <c r="AA808" i="21"/>
  <c r="Y807" i="21"/>
  <c r="AA805" i="21"/>
  <c r="Y802" i="21"/>
  <c r="AA800" i="21"/>
  <c r="Y799" i="21"/>
  <c r="AA797" i="21"/>
  <c r="Y794" i="21"/>
  <c r="AA792" i="21"/>
  <c r="Y791" i="21"/>
  <c r="AA789" i="21"/>
  <c r="Y786" i="21"/>
  <c r="AA784" i="21"/>
  <c r="Y783" i="21"/>
  <c r="AA781" i="21"/>
  <c r="Y778" i="21"/>
  <c r="AA776" i="21"/>
  <c r="Y775" i="21"/>
  <c r="AA773" i="21"/>
  <c r="Y770" i="21"/>
  <c r="AA768" i="21"/>
  <c r="Y767" i="21"/>
  <c r="AA765" i="21"/>
  <c r="Y762" i="21"/>
  <c r="AA760" i="21"/>
  <c r="Y759" i="21"/>
  <c r="AA757" i="21"/>
  <c r="Y754" i="21"/>
  <c r="AA752" i="21"/>
  <c r="Y751" i="21"/>
  <c r="AA749" i="21"/>
  <c r="Y746" i="21"/>
  <c r="AA744" i="21"/>
  <c r="Y743" i="21"/>
  <c r="AA741" i="21"/>
  <c r="Y738" i="21"/>
  <c r="AA736" i="21"/>
  <c r="Y735" i="21"/>
  <c r="AA733" i="21"/>
  <c r="Y730" i="21"/>
  <c r="AA728" i="21"/>
  <c r="Y727" i="21"/>
  <c r="AA725" i="21"/>
  <c r="Y722" i="21"/>
  <c r="AA720" i="21"/>
  <c r="Y719" i="21"/>
  <c r="AA717" i="21"/>
  <c r="Y714" i="21"/>
  <c r="AA712" i="21"/>
  <c r="AA709" i="21"/>
  <c r="Y708" i="21"/>
  <c r="Y707" i="21"/>
  <c r="Y706" i="21"/>
  <c r="AA704" i="21"/>
  <c r="AA703" i="21"/>
  <c r="AA701" i="21"/>
  <c r="Y698" i="21"/>
  <c r="AA697" i="21"/>
  <c r="Y695" i="21"/>
  <c r="AA693" i="21"/>
  <c r="AA692" i="21"/>
  <c r="AA690" i="21"/>
  <c r="AA689" i="21"/>
  <c r="AA688" i="21"/>
  <c r="AA685" i="21"/>
  <c r="AA681" i="21"/>
  <c r="AA680" i="21"/>
  <c r="Y679" i="21"/>
  <c r="AA677" i="21"/>
  <c r="AA675" i="21"/>
  <c r="AA674" i="21"/>
  <c r="AA673" i="21"/>
  <c r="AA672" i="21"/>
  <c r="AA669" i="21"/>
  <c r="AA668" i="21"/>
  <c r="AA665" i="21"/>
  <c r="AA664" i="21"/>
  <c r="Y663" i="21"/>
  <c r="AA661" i="21"/>
  <c r="Y660" i="21"/>
  <c r="AA658" i="21"/>
  <c r="AA657" i="21"/>
  <c r="AA656" i="21"/>
  <c r="AA653" i="21"/>
  <c r="AA651" i="21"/>
  <c r="AA650" i="21"/>
  <c r="AA649" i="21"/>
  <c r="AA648" i="21"/>
  <c r="Y647" i="21"/>
  <c r="AA645" i="21"/>
  <c r="AA642" i="21"/>
  <c r="AA641" i="21"/>
  <c r="AA640" i="21"/>
  <c r="AA637" i="21"/>
  <c r="AA633" i="21"/>
  <c r="AA632" i="21"/>
  <c r="Y631" i="21"/>
  <c r="AA629" i="21"/>
  <c r="AA628" i="21"/>
  <c r="AA626" i="21"/>
  <c r="AA625" i="21"/>
  <c r="AA624" i="21"/>
  <c r="AA621" i="21"/>
  <c r="Y619" i="21"/>
  <c r="Y618" i="21"/>
  <c r="AA617" i="21"/>
  <c r="AA616" i="21"/>
  <c r="Y615" i="21"/>
  <c r="AA613" i="21"/>
  <c r="AA611" i="21"/>
  <c r="AA610" i="21"/>
  <c r="AA609" i="21"/>
  <c r="AA608" i="21"/>
  <c r="AA605" i="21"/>
  <c r="AA604" i="21"/>
  <c r="AA601" i="21"/>
  <c r="AA600" i="21"/>
  <c r="Y599" i="21"/>
  <c r="AA597" i="21"/>
  <c r="Y596" i="21"/>
  <c r="AA594" i="21"/>
  <c r="AA593" i="21"/>
  <c r="AA592" i="21"/>
  <c r="AA589" i="21"/>
  <c r="AA587" i="21"/>
  <c r="AA586" i="21"/>
  <c r="AA585" i="21"/>
  <c r="AA584" i="21"/>
  <c r="Y583" i="21"/>
  <c r="AA581" i="21"/>
  <c r="AA578" i="21"/>
  <c r="AA577" i="21"/>
  <c r="AA576" i="21"/>
  <c r="AA573" i="21"/>
  <c r="AA570" i="21"/>
  <c r="AA569" i="21"/>
  <c r="AA568" i="21"/>
  <c r="Y567" i="21"/>
  <c r="AA565" i="21"/>
  <c r="AA564" i="21"/>
  <c r="AA562" i="21"/>
  <c r="AA561" i="21"/>
  <c r="AA560" i="21"/>
  <c r="AA557" i="21"/>
  <c r="Y556" i="21"/>
  <c r="Y555" i="21"/>
  <c r="Y554" i="21"/>
  <c r="AA553" i="21"/>
  <c r="AA552" i="21"/>
  <c r="Y551" i="21"/>
  <c r="AA549" i="21"/>
  <c r="AA548" i="21"/>
  <c r="AA547" i="21"/>
  <c r="AA546" i="21"/>
  <c r="AA545" i="21"/>
  <c r="AA544" i="21"/>
  <c r="AA541" i="21"/>
  <c r="AA540" i="21"/>
  <c r="Y538" i="21"/>
  <c r="AA537" i="21"/>
  <c r="AA536" i="21"/>
  <c r="Y535" i="21"/>
  <c r="AA533" i="21"/>
  <c r="Y532" i="21"/>
  <c r="AA530" i="21"/>
  <c r="AA529" i="21"/>
  <c r="AA528" i="21"/>
  <c r="AA525" i="21"/>
  <c r="AA524" i="21"/>
  <c r="AA523" i="21"/>
  <c r="AA522" i="21"/>
  <c r="AA521" i="21"/>
  <c r="AA520" i="21"/>
  <c r="Y519" i="21"/>
  <c r="AA517" i="21"/>
  <c r="Y516" i="21"/>
  <c r="AA514" i="21"/>
  <c r="AA513" i="21"/>
  <c r="AA512" i="21"/>
  <c r="AA509" i="21"/>
  <c r="AA508" i="21"/>
  <c r="AA506" i="21"/>
  <c r="AA505" i="21"/>
  <c r="AA504" i="21"/>
  <c r="Y503" i="21"/>
  <c r="AA501" i="21"/>
  <c r="AA500" i="21"/>
  <c r="AA498" i="21"/>
  <c r="AA497" i="21"/>
  <c r="AA496" i="21"/>
  <c r="AA493" i="21"/>
  <c r="Y492" i="21"/>
  <c r="Y491" i="21"/>
  <c r="Y490" i="21"/>
  <c r="AA489" i="21"/>
  <c r="AA488" i="21"/>
  <c r="Y487" i="21"/>
  <c r="AA485" i="21"/>
  <c r="AA484" i="21"/>
  <c r="AA483" i="21"/>
  <c r="AA482" i="21"/>
  <c r="AA481" i="21"/>
  <c r="AA480" i="21"/>
  <c r="AA477" i="21"/>
  <c r="AA476" i="21"/>
  <c r="AA474" i="21"/>
  <c r="AA473" i="21"/>
  <c r="AA472" i="21"/>
  <c r="Y471" i="21"/>
  <c r="AA469" i="21"/>
  <c r="Y468" i="21"/>
  <c r="AA466" i="21"/>
  <c r="AA465" i="21"/>
  <c r="AA464" i="21"/>
  <c r="AA461" i="21"/>
  <c r="AA460" i="21"/>
  <c r="AA459" i="21"/>
  <c r="AA458" i="21"/>
  <c r="AA457" i="21"/>
  <c r="AA456" i="21"/>
  <c r="Y455" i="21"/>
  <c r="AA453" i="21"/>
  <c r="AA452" i="21"/>
  <c r="AA450" i="21"/>
  <c r="AA449" i="21"/>
  <c r="AA448" i="21"/>
  <c r="AA445" i="21"/>
  <c r="Y444" i="21"/>
  <c r="AA443" i="21"/>
  <c r="AA442" i="21"/>
  <c r="AA441" i="21"/>
  <c r="AA440" i="21"/>
  <c r="Y439" i="21"/>
  <c r="AA437" i="21"/>
  <c r="AA436" i="21"/>
  <c r="AA434" i="21"/>
  <c r="AA433" i="21"/>
  <c r="AA432" i="21"/>
  <c r="AA429" i="21"/>
  <c r="Y428" i="21"/>
  <c r="Y427" i="21"/>
  <c r="Y426" i="21"/>
  <c r="AA425" i="21"/>
  <c r="AA424" i="21"/>
  <c r="Y423" i="21"/>
  <c r="AA421" i="21"/>
  <c r="AA420" i="21"/>
  <c r="AA419" i="21"/>
  <c r="AA418" i="21"/>
  <c r="AA417" i="21"/>
  <c r="AA416" i="21"/>
  <c r="AA413" i="21"/>
  <c r="AA412" i="21"/>
  <c r="AA410" i="21"/>
  <c r="AA409" i="21"/>
  <c r="AA408" i="21"/>
  <c r="Y407" i="21"/>
  <c r="AA405" i="21"/>
  <c r="Y404" i="21"/>
  <c r="AA403" i="21"/>
  <c r="AA402" i="21"/>
  <c r="AA401" i="21"/>
  <c r="AA400" i="21"/>
  <c r="AA397" i="21"/>
  <c r="AA396" i="21"/>
  <c r="AA395" i="21"/>
  <c r="AA394" i="21"/>
  <c r="AA393" i="21"/>
  <c r="AA392" i="21"/>
  <c r="Y391" i="21"/>
  <c r="AA389" i="21"/>
  <c r="AA388" i="21"/>
  <c r="Y387" i="21"/>
  <c r="AA386" i="21"/>
  <c r="AA385" i="21"/>
  <c r="AA384" i="21"/>
  <c r="AA381" i="21"/>
  <c r="Y380" i="21"/>
  <c r="Y379" i="21"/>
  <c r="AA378" i="21"/>
  <c r="AA377" i="21"/>
  <c r="AA376" i="21"/>
  <c r="AA375" i="21"/>
  <c r="Y373" i="21"/>
  <c r="Y370" i="21"/>
  <c r="AA369" i="21"/>
  <c r="AA367" i="21"/>
  <c r="AA366" i="21"/>
  <c r="AA365" i="21"/>
  <c r="AA360" i="21"/>
  <c r="Y359" i="21"/>
  <c r="AA358" i="21"/>
  <c r="Y357" i="21"/>
  <c r="Y356" i="21"/>
  <c r="AA355" i="21"/>
  <c r="AA354" i="21"/>
  <c r="AA353" i="21"/>
  <c r="Y352" i="21"/>
  <c r="AA350" i="21"/>
  <c r="AA349" i="21"/>
  <c r="Y348" i="21"/>
  <c r="AA347" i="21"/>
  <c r="AA346" i="21"/>
  <c r="AA345" i="21"/>
  <c r="AA343" i="21"/>
  <c r="Y340" i="21"/>
  <c r="AA339" i="21"/>
  <c r="AA338" i="21"/>
  <c r="AA337" i="21"/>
  <c r="Y336" i="21"/>
  <c r="Y335" i="21"/>
  <c r="AA334" i="21"/>
  <c r="AA333" i="21"/>
  <c r="Y332" i="21"/>
  <c r="AA329" i="21"/>
  <c r="AA328" i="21"/>
  <c r="AA327" i="21"/>
  <c r="Y326" i="21"/>
  <c r="AA325" i="21"/>
  <c r="AA323" i="21"/>
  <c r="AA322" i="21"/>
  <c r="AA319" i="21"/>
  <c r="AA318" i="21"/>
  <c r="Y317" i="21"/>
  <c r="Y316" i="21"/>
  <c r="Y315" i="21"/>
  <c r="AA314" i="21"/>
  <c r="AA313" i="21"/>
  <c r="AA312" i="21"/>
  <c r="Y310" i="21"/>
  <c r="AA309" i="21"/>
  <c r="Y307" i="21"/>
  <c r="Y306" i="21"/>
  <c r="AA305" i="21"/>
  <c r="AA304" i="21"/>
  <c r="AA303" i="21"/>
  <c r="AA302" i="21"/>
  <c r="AA297" i="21"/>
  <c r="AA296" i="21"/>
  <c r="Y295" i="21"/>
  <c r="AA294" i="21"/>
  <c r="AA293" i="21"/>
  <c r="Y292" i="21"/>
  <c r="AA291" i="21"/>
  <c r="AA290" i="21"/>
  <c r="AA289" i="21"/>
  <c r="Y288" i="21"/>
  <c r="AA285" i="21"/>
  <c r="Y284" i="21"/>
  <c r="AA283" i="21"/>
  <c r="AA281" i="21"/>
  <c r="AA278" i="21"/>
  <c r="AA277" i="21"/>
  <c r="Y276" i="21"/>
  <c r="AA273" i="21"/>
  <c r="AA272" i="21"/>
  <c r="Y271" i="21"/>
  <c r="Y270" i="21"/>
  <c r="Y269" i="21"/>
  <c r="AA267" i="21"/>
  <c r="AA266" i="21"/>
  <c r="AA265" i="21"/>
  <c r="AA264" i="21"/>
  <c r="Y262" i="21"/>
  <c r="Y259" i="21"/>
  <c r="AA257" i="21"/>
  <c r="AA256" i="21"/>
  <c r="AA255" i="21"/>
  <c r="AA254" i="21"/>
  <c r="Y253" i="21"/>
  <c r="AA249" i="21"/>
  <c r="AA248" i="21"/>
  <c r="AA247" i="21"/>
  <c r="AA241" i="21"/>
  <c r="Y240" i="21"/>
  <c r="AA239" i="21"/>
  <c r="AA238" i="21"/>
  <c r="AA237" i="21"/>
  <c r="Y236" i="21"/>
  <c r="Y235" i="21"/>
  <c r="Y234" i="21"/>
  <c r="AA233" i="21"/>
  <c r="AA230" i="21"/>
  <c r="AA229" i="21"/>
  <c r="Y228" i="21"/>
  <c r="Y227" i="21"/>
  <c r="Y226" i="21"/>
  <c r="AA225" i="21"/>
  <c r="AA223" i="21"/>
  <c r="Y220" i="21"/>
  <c r="AA219" i="21"/>
  <c r="Y218" i="21"/>
  <c r="AA217" i="21"/>
  <c r="Y216" i="21"/>
  <c r="Y215" i="21"/>
  <c r="AA214" i="21"/>
  <c r="AA213" i="21"/>
  <c r="Y212" i="21"/>
  <c r="AA211" i="21"/>
  <c r="AA210" i="21"/>
  <c r="AA209" i="21"/>
  <c r="Y208" i="21"/>
  <c r="AA205" i="21"/>
  <c r="Y204" i="21"/>
  <c r="AA203" i="21"/>
  <c r="AA202" i="21"/>
  <c r="AA201" i="21"/>
  <c r="Y200" i="21"/>
  <c r="Y199" i="21"/>
  <c r="Y196" i="21"/>
  <c r="AA195" i="21"/>
  <c r="AA194" i="21"/>
  <c r="Y191" i="21"/>
  <c r="Y190" i="21"/>
  <c r="AA187" i="21"/>
  <c r="AA186" i="21"/>
  <c r="AA185" i="21"/>
  <c r="AA184" i="21"/>
  <c r="AA183" i="21"/>
  <c r="Y182" i="21"/>
  <c r="Y181" i="21"/>
  <c r="Y180" i="21"/>
  <c r="Y179" i="21"/>
  <c r="AA178" i="21"/>
  <c r="AA177" i="21"/>
  <c r="AA176" i="21"/>
  <c r="AA175" i="21"/>
  <c r="AA174" i="21"/>
  <c r="Y173" i="21"/>
  <c r="Y172" i="21"/>
  <c r="Y171" i="21"/>
  <c r="Y170" i="21"/>
  <c r="AA169" i="21"/>
  <c r="AA168" i="21"/>
  <c r="AA167" i="21"/>
  <c r="AA166" i="21"/>
  <c r="AA165" i="21"/>
  <c r="Y164" i="21"/>
  <c r="Y163" i="21"/>
  <c r="Y162" i="21"/>
  <c r="AA161" i="21"/>
  <c r="AA159" i="21"/>
  <c r="AA158" i="21"/>
  <c r="AA157" i="21"/>
  <c r="Y156" i="21"/>
  <c r="AA155" i="21"/>
  <c r="Y154" i="21"/>
  <c r="AA153" i="21"/>
  <c r="AA152" i="21"/>
  <c r="AA150" i="21"/>
  <c r="AA149" i="21"/>
  <c r="Y148" i="21"/>
  <c r="Y147" i="21"/>
  <c r="AA146" i="21"/>
  <c r="AA145" i="21"/>
  <c r="Y144" i="21"/>
  <c r="AA143" i="21"/>
  <c r="Y142" i="21"/>
  <c r="AA141" i="21"/>
  <c r="Y140" i="21"/>
  <c r="AA139" i="21"/>
  <c r="Y138" i="21"/>
  <c r="Y136" i="21"/>
  <c r="Y135" i="21"/>
  <c r="Y134" i="21"/>
  <c r="Y132" i="21"/>
  <c r="AA131" i="21"/>
  <c r="AA130" i="21"/>
  <c r="AA129" i="21"/>
  <c r="AA128" i="21"/>
  <c r="Y127" i="21"/>
  <c r="Y126" i="21"/>
  <c r="Y125" i="21"/>
  <c r="AA123" i="21"/>
  <c r="AA122" i="21"/>
  <c r="AA121" i="21"/>
  <c r="AA120" i="21"/>
  <c r="AA119" i="21"/>
  <c r="Y118" i="21"/>
  <c r="Y117" i="21"/>
  <c r="Y116" i="21"/>
  <c r="Y115" i="21"/>
  <c r="AA114" i="21"/>
  <c r="AA113" i="21"/>
  <c r="AA112" i="21"/>
  <c r="AA111" i="21"/>
  <c r="AA110" i="21"/>
  <c r="Y109" i="21"/>
  <c r="Y108" i="21"/>
  <c r="Y107" i="21"/>
  <c r="Y106" i="21"/>
  <c r="AA105" i="21"/>
  <c r="AA104" i="21"/>
  <c r="AA103" i="21"/>
  <c r="AA102" i="21"/>
  <c r="AA101" i="21"/>
  <c r="Y100" i="21"/>
  <c r="Y99" i="21"/>
  <c r="Y98" i="21"/>
  <c r="AA97" i="21"/>
  <c r="AA95" i="21"/>
  <c r="AA94" i="21"/>
  <c r="Y93" i="21"/>
  <c r="Y92" i="21"/>
  <c r="AA91" i="21"/>
  <c r="Y90" i="21"/>
  <c r="AA89" i="21"/>
  <c r="AA88" i="21"/>
  <c r="AA86" i="21"/>
  <c r="AA85" i="21"/>
  <c r="Y84" i="21"/>
  <c r="AA83" i="21"/>
  <c r="AA82" i="21"/>
  <c r="AA81" i="21"/>
  <c r="Y80" i="21"/>
  <c r="Y79" i="21"/>
  <c r="AA77" i="21"/>
  <c r="AA76" i="21"/>
  <c r="AA75" i="21"/>
  <c r="AA74" i="21"/>
  <c r="AA73" i="21"/>
  <c r="Y72" i="21"/>
  <c r="Y71" i="21"/>
  <c r="AA70" i="21"/>
  <c r="AA68" i="21"/>
  <c r="AA67" i="21"/>
  <c r="AA66" i="21"/>
  <c r="AA65" i="21"/>
  <c r="Y64" i="21"/>
  <c r="Y63" i="21"/>
  <c r="Y62" i="21"/>
  <c r="AA61" i="21"/>
  <c r="AA59" i="21"/>
  <c r="AA58" i="21"/>
  <c r="AA57" i="21"/>
  <c r="Y56" i="21"/>
  <c r="Y55" i="21"/>
  <c r="Y54" i="21"/>
  <c r="AA53" i="21"/>
  <c r="Y52" i="21"/>
  <c r="AA50" i="21"/>
  <c r="AA49" i="21"/>
  <c r="AA48" i="21"/>
  <c r="AA47" i="21"/>
  <c r="Y46" i="21"/>
  <c r="Y45" i="21"/>
  <c r="Y44" i="21"/>
  <c r="AA43" i="21"/>
  <c r="Y42" i="21"/>
  <c r="AA41" i="21"/>
  <c r="AA40" i="21"/>
  <c r="AA39" i="21"/>
  <c r="AA38" i="21"/>
  <c r="AA37" i="21"/>
  <c r="Y36" i="21"/>
  <c r="Y35" i="21"/>
  <c r="AA34" i="21"/>
  <c r="AA33" i="21"/>
  <c r="Y32" i="21"/>
  <c r="AA31" i="21"/>
  <c r="AA30" i="21"/>
  <c r="AA29" i="21"/>
  <c r="AA28" i="21"/>
  <c r="Y27" i="21"/>
  <c r="AA26" i="21"/>
  <c r="AA25" i="21"/>
  <c r="Y24" i="21"/>
  <c r="Y23" i="21"/>
  <c r="AA22" i="21"/>
  <c r="AA21" i="21"/>
  <c r="AA20" i="21"/>
  <c r="AA19" i="21"/>
  <c r="AA18" i="21"/>
  <c r="AA17" i="21"/>
  <c r="Y16" i="21"/>
  <c r="Y15" i="21"/>
  <c r="AA13" i="21"/>
  <c r="AA12" i="21"/>
  <c r="Y11" i="21"/>
  <c r="AA10" i="21"/>
  <c r="AA9" i="21"/>
  <c r="Y8" i="21"/>
  <c r="Y7" i="21"/>
  <c r="AA6" i="21"/>
  <c r="S813" i="21"/>
  <c r="Q813" i="21"/>
  <c r="AA807" i="21"/>
  <c r="AA804" i="21"/>
  <c r="AA803" i="21"/>
  <c r="AA802" i="21"/>
  <c r="AA799" i="21"/>
  <c r="AA796" i="21"/>
  <c r="AA795" i="21"/>
  <c r="AA794" i="21"/>
  <c r="AA791" i="21"/>
  <c r="AA788" i="21"/>
  <c r="AA787" i="21"/>
  <c r="AA786" i="21"/>
  <c r="AA783" i="21"/>
  <c r="AA780" i="21"/>
  <c r="AA779" i="21"/>
  <c r="AA778" i="21"/>
  <c r="AA775" i="21"/>
  <c r="AA772" i="21"/>
  <c r="AA771" i="21"/>
  <c r="AA770" i="21"/>
  <c r="AA767" i="21"/>
  <c r="AA764" i="21"/>
  <c r="AA763" i="21"/>
  <c r="AA762" i="21"/>
  <c r="AA759" i="21"/>
  <c r="AA756" i="21"/>
  <c r="AA755" i="21"/>
  <c r="AA754" i="21"/>
  <c r="AA751" i="21"/>
  <c r="AA748" i="21"/>
  <c r="AA747" i="21"/>
  <c r="AA746" i="21"/>
  <c r="AA743" i="21"/>
  <c r="AA740" i="21"/>
  <c r="AA739" i="21"/>
  <c r="AA738" i="21"/>
  <c r="AA732" i="21"/>
  <c r="AA731" i="21"/>
  <c r="AA730" i="21"/>
  <c r="AA727" i="21"/>
  <c r="AA724" i="21"/>
  <c r="AA723" i="21"/>
  <c r="AA716" i="21"/>
  <c r="AA715" i="21"/>
  <c r="AA714" i="21"/>
  <c r="AA711" i="21"/>
  <c r="AA708" i="21"/>
  <c r="AA707" i="21"/>
  <c r="AA700" i="21"/>
  <c r="AA699" i="21"/>
  <c r="AA698" i="21"/>
  <c r="AA695" i="21"/>
  <c r="AA691" i="21"/>
  <c r="AA684" i="21"/>
  <c r="AA683" i="21"/>
  <c r="AA682" i="21"/>
  <c r="AA679" i="21"/>
  <c r="AA676" i="21"/>
  <c r="AA667" i="21"/>
  <c r="AA666" i="21"/>
  <c r="AA663" i="21"/>
  <c r="AA660" i="21"/>
  <c r="AA659" i="21"/>
  <c r="AA652" i="21"/>
  <c r="AA647" i="21"/>
  <c r="AA644" i="21"/>
  <c r="AA643" i="21"/>
  <c r="AA636" i="21"/>
  <c r="AA635" i="21"/>
  <c r="AA634" i="21"/>
  <c r="AA627" i="21"/>
  <c r="AA620" i="21"/>
  <c r="AA619" i="21"/>
  <c r="AA618" i="21"/>
  <c r="AA615" i="21"/>
  <c r="AA612" i="21"/>
  <c r="AA603" i="21"/>
  <c r="AA602" i="21"/>
  <c r="AA599" i="21"/>
  <c r="AA596" i="21"/>
  <c r="AA595" i="21"/>
  <c r="AA588" i="21"/>
  <c r="AA583" i="21"/>
  <c r="AA580" i="21"/>
  <c r="AA579" i="21"/>
  <c r="AA572" i="21"/>
  <c r="AA571" i="21"/>
  <c r="AA563" i="21"/>
  <c r="AA556" i="21"/>
  <c r="AA555" i="21"/>
  <c r="AA551" i="21"/>
  <c r="AA539" i="21"/>
  <c r="AA538" i="21"/>
  <c r="AA535" i="21"/>
  <c r="AA531" i="21"/>
  <c r="AA519" i="21"/>
  <c r="AA516" i="21"/>
  <c r="AA515" i="21"/>
  <c r="AA507" i="21"/>
  <c r="AA499" i="21"/>
  <c r="AA491" i="21"/>
  <c r="AA487" i="21"/>
  <c r="AA475" i="21"/>
  <c r="AA471" i="21"/>
  <c r="AA467" i="21"/>
  <c r="AA455" i="21"/>
  <c r="AA451" i="21"/>
  <c r="AA435" i="21"/>
  <c r="AA427" i="21"/>
  <c r="AA411" i="21"/>
  <c r="AA407" i="21"/>
  <c r="AA391" i="21"/>
  <c r="AA387" i="21"/>
  <c r="AA368" i="21"/>
  <c r="AA357" i="21"/>
  <c r="AA336" i="21"/>
  <c r="AA332" i="21"/>
  <c r="AA310" i="21"/>
  <c r="AA306" i="21"/>
  <c r="AA282" i="21"/>
  <c r="AA235" i="21"/>
  <c r="AA142" i="21"/>
  <c r="Y808" i="21"/>
  <c r="Y805" i="21"/>
  <c r="Y804" i="21"/>
  <c r="Y803" i="21"/>
  <c r="Y800" i="21"/>
  <c r="Y797" i="21"/>
  <c r="Y796" i="21"/>
  <c r="Y795" i="21"/>
  <c r="Y792" i="21"/>
  <c r="Y789" i="21"/>
  <c r="Y788" i="21"/>
  <c r="Y787" i="21"/>
  <c r="Y784" i="21"/>
  <c r="Y781" i="21"/>
  <c r="Y780" i="21"/>
  <c r="Y779" i="21"/>
  <c r="Y776" i="21"/>
  <c r="Y773" i="21"/>
  <c r="Y772" i="21"/>
  <c r="Y771" i="21"/>
  <c r="Y768" i="21"/>
  <c r="Y765" i="21"/>
  <c r="Y764" i="21"/>
  <c r="Y763" i="21"/>
  <c r="Y760" i="21"/>
  <c r="Y757" i="21"/>
  <c r="Y756" i="21"/>
  <c r="Y755" i="21"/>
  <c r="Y752" i="21"/>
  <c r="Y749" i="21"/>
  <c r="Y748" i="21"/>
  <c r="Y747" i="21"/>
  <c r="Y744" i="21"/>
  <c r="Y741" i="21"/>
  <c r="Y740" i="21"/>
  <c r="Y739" i="21"/>
  <c r="Y736" i="21"/>
  <c r="Y733" i="21"/>
  <c r="Y732" i="21"/>
  <c r="Y731" i="21"/>
  <c r="Y728" i="21"/>
  <c r="Y725" i="21"/>
  <c r="Y724" i="21"/>
  <c r="Y723" i="21"/>
  <c r="Y717" i="21"/>
  <c r="Y716" i="21"/>
  <c r="Y715" i="21"/>
  <c r="Y712" i="21"/>
  <c r="Y711" i="21"/>
  <c r="Y709" i="21"/>
  <c r="Y704" i="21"/>
  <c r="Y703" i="21"/>
  <c r="Y701" i="21"/>
  <c r="Y700" i="21"/>
  <c r="Y699" i="21"/>
  <c r="Y697" i="21"/>
  <c r="Y693" i="21"/>
  <c r="Y692" i="21"/>
  <c r="Y691" i="21"/>
  <c r="Y690" i="21"/>
  <c r="Y689" i="21"/>
  <c r="Y688" i="21"/>
  <c r="Y685" i="21"/>
  <c r="Y684" i="21"/>
  <c r="Y683" i="21"/>
  <c r="Y682" i="21"/>
  <c r="Y681" i="21"/>
  <c r="Y680" i="21"/>
  <c r="Y677" i="21"/>
  <c r="Y676" i="21"/>
  <c r="Y675" i="21"/>
  <c r="Y674" i="21"/>
  <c r="Y673" i="21"/>
  <c r="Y669" i="21"/>
  <c r="Y668" i="21"/>
  <c r="Y667" i="21"/>
  <c r="Y666" i="21"/>
  <c r="Y665" i="21"/>
  <c r="Y664" i="21"/>
  <c r="Y659" i="21"/>
  <c r="Y658" i="21"/>
  <c r="Y657" i="21"/>
  <c r="Y656" i="21"/>
  <c r="Y653" i="21"/>
  <c r="Y652" i="21"/>
  <c r="Y649" i="21"/>
  <c r="Y648" i="21"/>
  <c r="Y645" i="21"/>
  <c r="Y644" i="21"/>
  <c r="Y643" i="21"/>
  <c r="Y642" i="21"/>
  <c r="Y637" i="21"/>
  <c r="Y636" i="21"/>
  <c r="Y635" i="21"/>
  <c r="Y634" i="21"/>
  <c r="Y633" i="21"/>
  <c r="Y632" i="21"/>
  <c r="Y627" i="21"/>
  <c r="Y626" i="21"/>
  <c r="Y625" i="21"/>
  <c r="Y624" i="21"/>
  <c r="Y621" i="21"/>
  <c r="Y620" i="21"/>
  <c r="Y617" i="21"/>
  <c r="Y616" i="21"/>
  <c r="Y613" i="21"/>
  <c r="Y612" i="21"/>
  <c r="Y611" i="21"/>
  <c r="Y610" i="21"/>
  <c r="Y605" i="21"/>
  <c r="Y604" i="21"/>
  <c r="Y603" i="21"/>
  <c r="Y602" i="21"/>
  <c r="Y601" i="21"/>
  <c r="Y600" i="21"/>
  <c r="Y595" i="21"/>
  <c r="Y594" i="21"/>
  <c r="Y593" i="21"/>
  <c r="Y592" i="21"/>
  <c r="Y589" i="21"/>
  <c r="Y588" i="21"/>
  <c r="Y585" i="21"/>
  <c r="Y584" i="21"/>
  <c r="Y581" i="21"/>
  <c r="Y580" i="21"/>
  <c r="Y579" i="21"/>
  <c r="Y578" i="21"/>
  <c r="Y573" i="21"/>
  <c r="Y572" i="21"/>
  <c r="Y571" i="21"/>
  <c r="Y570" i="21"/>
  <c r="Y569" i="21"/>
  <c r="Y568" i="21"/>
  <c r="Y563" i="21"/>
  <c r="Y562" i="21"/>
  <c r="Y561" i="21"/>
  <c r="Y560" i="21"/>
  <c r="Y557" i="21"/>
  <c r="Y553" i="21"/>
  <c r="Y552" i="21"/>
  <c r="Y549" i="21"/>
  <c r="Y547" i="21"/>
  <c r="Y541" i="21"/>
  <c r="Y540" i="21"/>
  <c r="Y539" i="21"/>
  <c r="Y537" i="21"/>
  <c r="Y531" i="21"/>
  <c r="Y530" i="21"/>
  <c r="Y529" i="21"/>
  <c r="Y525" i="21"/>
  <c r="Y521" i="21"/>
  <c r="Y520" i="21"/>
  <c r="Y517" i="21"/>
  <c r="Y515" i="21"/>
  <c r="Y509" i="21"/>
  <c r="Y508" i="21"/>
  <c r="Y507" i="21"/>
  <c r="Y505" i="21"/>
  <c r="Y499" i="21"/>
  <c r="Y498" i="21"/>
  <c r="Y497" i="21"/>
  <c r="Y493" i="21"/>
  <c r="Y489" i="21"/>
  <c r="Y488" i="21"/>
  <c r="Y485" i="21"/>
  <c r="Y483" i="21"/>
  <c r="Y477" i="21"/>
  <c r="Y476" i="21"/>
  <c r="Y475" i="21"/>
  <c r="Y473" i="21"/>
  <c r="Y467" i="21"/>
  <c r="Y465" i="21"/>
  <c r="Y461" i="21"/>
  <c r="Y457" i="21"/>
  <c r="Y453" i="21"/>
  <c r="Y451" i="21"/>
  <c r="Y445" i="21"/>
  <c r="Y443" i="21"/>
  <c r="Y435" i="21"/>
  <c r="Y433" i="21"/>
  <c r="Y425" i="21"/>
  <c r="Y421" i="21"/>
  <c r="Y413" i="21"/>
  <c r="Y411" i="21"/>
  <c r="Y403" i="21"/>
  <c r="Y401" i="21"/>
  <c r="Y393" i="21"/>
  <c r="Y389" i="21"/>
  <c r="Y381" i="21"/>
  <c r="Y378" i="21"/>
  <c r="Y368" i="21"/>
  <c r="Y366" i="21"/>
  <c r="Y355" i="21"/>
  <c r="Y350" i="21"/>
  <c r="Y339" i="21"/>
  <c r="Y337" i="21"/>
  <c r="Y327" i="21"/>
  <c r="Y323" i="21"/>
  <c r="Y313" i="21"/>
  <c r="Y309" i="21"/>
  <c r="Y296" i="21"/>
  <c r="Y294" i="21"/>
  <c r="Y282" i="21"/>
  <c r="Y278" i="21"/>
  <c r="Y265" i="21"/>
  <c r="Y239" i="21"/>
  <c r="Y211" i="21"/>
  <c r="Y165" i="21"/>
  <c r="Y82" i="21"/>
  <c r="H12" i="12" a="1"/>
  <c r="H12" i="12" s="1"/>
  <c r="G12" i="12" a="1"/>
  <c r="G12" i="12" s="1"/>
  <c r="F12" i="12" a="1"/>
  <c r="F12" i="12" s="1"/>
  <c r="E12" i="12" a="1"/>
  <c r="E12" i="12" s="1"/>
  <c r="D12" i="12" a="1"/>
  <c r="D12" i="12" s="1"/>
  <c r="C12" i="12" a="1"/>
  <c r="C12" i="12" s="1"/>
  <c r="B12" i="12" a="1"/>
  <c r="B12" i="12" s="1"/>
  <c r="H11" i="12" a="1"/>
  <c r="H11" i="12" s="1"/>
  <c r="G11" i="12" a="1"/>
  <c r="G11" i="12" s="1"/>
  <c r="F11" i="12" a="1"/>
  <c r="F11" i="12" s="1"/>
  <c r="E11" i="12" a="1"/>
  <c r="E11" i="12" s="1"/>
  <c r="D11" i="12" a="1"/>
  <c r="D11" i="12" s="1"/>
  <c r="C11" i="12" a="1"/>
  <c r="C11" i="12" s="1"/>
  <c r="B11" i="12" a="1"/>
  <c r="B11" i="12" s="1"/>
  <c r="H10" i="12" a="1"/>
  <c r="H10" i="12" s="1"/>
  <c r="G10" i="12" a="1"/>
  <c r="G10" i="12" s="1"/>
  <c r="F10" i="12" a="1"/>
  <c r="F10" i="12" s="1"/>
  <c r="E10" i="12" a="1"/>
  <c r="E10" i="12" s="1"/>
  <c r="D10" i="12" a="1"/>
  <c r="D10" i="12" s="1"/>
  <c r="C10" i="12" a="1"/>
  <c r="C10" i="12" s="1"/>
  <c r="B10" i="12" a="1"/>
  <c r="B10" i="12" s="1"/>
  <c r="H9" i="12" a="1"/>
  <c r="H9" i="12" s="1"/>
  <c r="G9" i="12" a="1"/>
  <c r="G9" i="12" s="1"/>
  <c r="F9" i="12" a="1"/>
  <c r="F9" i="12" s="1"/>
  <c r="E9" i="12" a="1"/>
  <c r="E9" i="12" s="1"/>
  <c r="D9" i="12" a="1"/>
  <c r="D9" i="12" s="1"/>
  <c r="C9" i="12" a="1"/>
  <c r="C9" i="12" s="1"/>
  <c r="B9" i="12" a="1"/>
  <c r="B9" i="12" s="1"/>
  <c r="H8" i="12" a="1"/>
  <c r="H8" i="12" s="1"/>
  <c r="G8" i="12" a="1"/>
  <c r="G8" i="12" s="1"/>
  <c r="F8" i="12" a="1"/>
  <c r="F8" i="12" s="1"/>
  <c r="E8" i="12" a="1"/>
  <c r="E8" i="12" s="1"/>
  <c r="D8" i="12" a="1"/>
  <c r="D8" i="12" s="1"/>
  <c r="C8" i="12" a="1"/>
  <c r="C8" i="12" s="1"/>
  <c r="B8" i="12" a="1"/>
  <c r="B8" i="12" s="1"/>
  <c r="L44" i="19" l="1"/>
  <c r="P44" i="19"/>
  <c r="N44" i="19"/>
  <c r="J44" i="19"/>
  <c r="K44" i="19"/>
  <c r="F44" i="19"/>
  <c r="Y18" i="21"/>
  <c r="Y50" i="21"/>
  <c r="Y119" i="21"/>
  <c r="Y184" i="21"/>
  <c r="Y230" i="21"/>
  <c r="Y255" i="21"/>
  <c r="Y273" i="21"/>
  <c r="Y291" i="21"/>
  <c r="Y305" i="21"/>
  <c r="Y319" i="21"/>
  <c r="Y334" i="21"/>
  <c r="Y347" i="21"/>
  <c r="Y360" i="21"/>
  <c r="Y376" i="21"/>
  <c r="Y397" i="21"/>
  <c r="Y409" i="21"/>
  <c r="Y419" i="21"/>
  <c r="Y429" i="21"/>
  <c r="Y441" i="21"/>
  <c r="AA32" i="21"/>
  <c r="AA215" i="21"/>
  <c r="AA262" i="21"/>
  <c r="AA295" i="21"/>
  <c r="AA326" i="21"/>
  <c r="AA352" i="21"/>
  <c r="AA379" i="21"/>
  <c r="AA423" i="21"/>
  <c r="Y58" i="21"/>
  <c r="Y128" i="21"/>
  <c r="Y201" i="21"/>
  <c r="Y256" i="21"/>
  <c r="Y277" i="21"/>
  <c r="Y293" i="21"/>
  <c r="Y322" i="21"/>
  <c r="Y349" i="21"/>
  <c r="Y365" i="21"/>
  <c r="Y377" i="21"/>
  <c r="Y388" i="21"/>
  <c r="Y400" i="21"/>
  <c r="Y410" i="21"/>
  <c r="Y420" i="21"/>
  <c r="Y432" i="21"/>
  <c r="Y442" i="21"/>
  <c r="Y452" i="21"/>
  <c r="Y464" i="21"/>
  <c r="Y474" i="21"/>
  <c r="Y484" i="21"/>
  <c r="Y496" i="21"/>
  <c r="Y506" i="21"/>
  <c r="Y528" i="21"/>
  <c r="Y548" i="21"/>
  <c r="AA42" i="21"/>
  <c r="AA216" i="21"/>
  <c r="AA269" i="21"/>
  <c r="AA356" i="21"/>
  <c r="AA380" i="21"/>
  <c r="AA404" i="21"/>
  <c r="AA426" i="21"/>
  <c r="AA444" i="21"/>
  <c r="AA468" i="21"/>
  <c r="AA490" i="21"/>
  <c r="AA532" i="21"/>
  <c r="AA554" i="21"/>
  <c r="Y66" i="21"/>
  <c r="Y146" i="21"/>
  <c r="Y202" i="21"/>
  <c r="Y237" i="21"/>
  <c r="Y257" i="21"/>
  <c r="AA106" i="21"/>
  <c r="AA226" i="21"/>
  <c r="AA270" i="21"/>
  <c r="R813" i="21"/>
  <c r="Y10" i="21"/>
  <c r="Y74" i="21"/>
  <c r="Y155" i="21"/>
  <c r="Y210" i="21"/>
  <c r="Y238" i="21"/>
  <c r="Y264" i="21"/>
  <c r="Y281" i="21"/>
  <c r="Y312" i="21"/>
  <c r="Y325" i="21"/>
  <c r="Y338" i="21"/>
  <c r="Y354" i="21"/>
  <c r="Y367" i="21"/>
  <c r="Y392" i="21"/>
  <c r="Y402" i="21"/>
  <c r="Y412" i="21"/>
  <c r="Y424" i="21"/>
  <c r="Y434" i="21"/>
  <c r="Y456" i="21"/>
  <c r="Y466" i="21"/>
  <c r="AA115" i="21"/>
  <c r="AA234" i="21"/>
  <c r="AA271" i="21"/>
  <c r="AA307" i="21"/>
  <c r="AA335" i="21"/>
  <c r="AA359" i="21"/>
  <c r="AA428" i="21"/>
  <c r="AA492" i="21"/>
  <c r="Y14" i="21"/>
  <c r="AA14" i="21"/>
  <c r="Y51" i="21"/>
  <c r="AA51" i="21"/>
  <c r="Y60" i="21"/>
  <c r="AA60" i="21"/>
  <c r="Y69" i="21"/>
  <c r="AA69" i="21"/>
  <c r="Y78" i="21"/>
  <c r="AA78" i="21"/>
  <c r="Y87" i="21"/>
  <c r="AA87" i="21"/>
  <c r="Y96" i="21"/>
  <c r="AA96" i="21"/>
  <c r="Y124" i="21"/>
  <c r="AA124" i="21"/>
  <c r="Y133" i="21"/>
  <c r="AA133" i="21"/>
  <c r="AA137" i="21"/>
  <c r="Y137" i="21"/>
  <c r="Y151" i="21"/>
  <c r="AA151" i="21"/>
  <c r="Y160" i="21"/>
  <c r="AA160" i="21"/>
  <c r="Y188" i="21"/>
  <c r="AA188" i="21"/>
  <c r="Y189" i="21"/>
  <c r="AA189" i="21"/>
  <c r="AA192" i="21"/>
  <c r="Y192" i="21"/>
  <c r="AA193" i="21"/>
  <c r="Y193" i="21"/>
  <c r="Y197" i="21"/>
  <c r="AA197" i="21"/>
  <c r="Y198" i="21"/>
  <c r="AA198" i="21"/>
  <c r="Y206" i="21"/>
  <c r="AA206" i="21"/>
  <c r="Y207" i="21"/>
  <c r="AA207" i="21"/>
  <c r="AA221" i="21"/>
  <c r="Y221" i="21"/>
  <c r="Y222" i="21"/>
  <c r="AA222" i="21"/>
  <c r="Y224" i="21"/>
  <c r="AA224" i="21"/>
  <c r="Y231" i="21"/>
  <c r="AA231" i="21"/>
  <c r="Y232" i="21"/>
  <c r="AA232" i="21"/>
  <c r="Y242" i="21"/>
  <c r="AA242" i="21"/>
  <c r="Y243" i="21"/>
  <c r="AA243" i="21"/>
  <c r="Y244" i="21"/>
  <c r="AA244" i="21"/>
  <c r="AA245" i="21"/>
  <c r="Y245" i="21"/>
  <c r="AA246" i="21"/>
  <c r="Y246" i="21"/>
  <c r="Y250" i="21"/>
  <c r="AA250" i="21"/>
  <c r="Y251" i="21"/>
  <c r="AA251" i="21"/>
  <c r="Y252" i="21"/>
  <c r="AA252" i="21"/>
  <c r="AA258" i="21"/>
  <c r="Y258" i="21"/>
  <c r="Y260" i="21"/>
  <c r="AA260" i="21"/>
  <c r="Y261" i="21"/>
  <c r="AA261" i="21"/>
  <c r="AA263" i="21"/>
  <c r="Y263" i="21"/>
  <c r="Y268" i="21"/>
  <c r="AA268" i="21"/>
  <c r="AA274" i="21"/>
  <c r="Y274" i="21"/>
  <c r="AA275" i="21"/>
  <c r="Y275" i="21"/>
  <c r="Y279" i="21"/>
  <c r="AA279" i="21"/>
  <c r="Y280" i="21"/>
  <c r="AA280" i="21"/>
  <c r="AA286" i="21"/>
  <c r="Y286" i="21"/>
  <c r="AA287" i="21"/>
  <c r="Y287" i="21"/>
  <c r="Y298" i="21"/>
  <c r="AA298" i="21"/>
  <c r="AA299" i="21"/>
  <c r="Y299" i="21"/>
  <c r="Y300" i="21"/>
  <c r="AA300" i="21"/>
  <c r="AA301" i="21"/>
  <c r="Y301" i="21"/>
  <c r="Y308" i="21"/>
  <c r="AA308" i="21"/>
  <c r="AA311" i="21"/>
  <c r="Y311" i="21"/>
  <c r="AA320" i="21"/>
  <c r="Y320" i="21"/>
  <c r="AA321" i="21"/>
  <c r="Y321" i="21"/>
  <c r="Y324" i="21"/>
  <c r="AA324" i="21"/>
  <c r="AA330" i="21"/>
  <c r="Y330" i="21"/>
  <c r="AA331" i="21"/>
  <c r="Y331" i="21"/>
  <c r="AA341" i="21"/>
  <c r="Y341" i="21"/>
  <c r="Y342" i="21"/>
  <c r="AA342" i="21"/>
  <c r="Y344" i="21"/>
  <c r="AA344" i="21"/>
  <c r="AA351" i="21"/>
  <c r="Y351" i="21"/>
  <c r="AA361" i="21"/>
  <c r="Y361" i="21"/>
  <c r="Y362" i="21"/>
  <c r="AA362" i="21"/>
  <c r="Y363" i="21"/>
  <c r="AA363" i="21"/>
  <c r="Y364" i="21"/>
  <c r="AA364" i="21"/>
  <c r="Y371" i="21"/>
  <c r="AA371" i="21"/>
  <c r="Y372" i="21"/>
  <c r="AA372" i="21"/>
  <c r="AA374" i="21"/>
  <c r="Y374" i="21"/>
  <c r="AA382" i="21"/>
  <c r="Y382" i="21"/>
  <c r="Y383" i="21"/>
  <c r="AA383" i="21"/>
  <c r="AA390" i="21"/>
  <c r="Y390" i="21"/>
  <c r="AA398" i="21"/>
  <c r="Y398" i="21"/>
  <c r="Y399" i="21"/>
  <c r="AA399" i="21"/>
  <c r="AA406" i="21"/>
  <c r="Y406" i="21"/>
  <c r="AA414" i="21"/>
  <c r="Y414" i="21"/>
  <c r="Y415" i="21"/>
  <c r="AA415" i="21"/>
  <c r="AA422" i="21"/>
  <c r="Y422" i="21"/>
  <c r="AA430" i="21"/>
  <c r="Y430" i="21"/>
  <c r="Y431" i="21"/>
  <c r="AA431" i="21"/>
  <c r="AA438" i="21"/>
  <c r="Y438" i="21"/>
  <c r="AA446" i="21"/>
  <c r="Y446" i="21"/>
  <c r="Y447" i="21"/>
  <c r="AA447" i="21"/>
  <c r="AA454" i="21"/>
  <c r="Y454" i="21"/>
  <c r="AA462" i="21"/>
  <c r="Y462" i="21"/>
  <c r="Y463" i="21"/>
  <c r="AA463" i="21"/>
  <c r="AA470" i="21"/>
  <c r="Y470" i="21"/>
  <c r="AA478" i="21"/>
  <c r="Y478" i="21"/>
  <c r="Y479" i="21"/>
  <c r="AA479" i="21"/>
  <c r="AA486" i="21"/>
  <c r="Y486" i="21"/>
  <c r="AA494" i="21"/>
  <c r="Y494" i="21"/>
  <c r="Y495" i="21"/>
  <c r="AA495" i="21"/>
  <c r="AA502" i="21"/>
  <c r="Y502" i="21"/>
  <c r="AA510" i="21"/>
  <c r="Y510" i="21"/>
  <c r="Y511" i="21"/>
  <c r="AA511" i="21"/>
  <c r="AA518" i="21"/>
  <c r="Y518" i="21"/>
  <c r="AA526" i="21"/>
  <c r="Y526" i="21"/>
  <c r="Y527" i="21"/>
  <c r="AA527" i="21"/>
  <c r="AA534" i="21"/>
  <c r="Y534" i="21"/>
  <c r="AA542" i="21"/>
  <c r="Y542" i="21"/>
  <c r="Y543" i="21"/>
  <c r="AA543" i="21"/>
  <c r="AA550" i="21"/>
  <c r="Y550" i="21"/>
  <c r="AA558" i="21"/>
  <c r="Y558" i="21"/>
  <c r="Y559" i="21"/>
  <c r="AA559" i="21"/>
  <c r="AA566" i="21"/>
  <c r="Y566" i="21"/>
  <c r="AA574" i="21"/>
  <c r="Y574" i="21"/>
  <c r="Y575" i="21"/>
  <c r="AA575" i="21"/>
  <c r="AA582" i="21"/>
  <c r="Y582" i="21"/>
  <c r="AA590" i="21"/>
  <c r="Y590" i="21"/>
  <c r="Y591" i="21"/>
  <c r="AA591" i="21"/>
  <c r="AA598" i="21"/>
  <c r="Y598" i="21"/>
  <c r="AA606" i="21"/>
  <c r="Y606" i="21"/>
  <c r="Y607" i="21"/>
  <c r="AA607" i="21"/>
  <c r="AA614" i="21"/>
  <c r="Y614" i="21"/>
  <c r="AA622" i="21"/>
  <c r="Y622" i="21"/>
  <c r="Y623" i="21"/>
  <c r="AA623" i="21"/>
  <c r="AA630" i="21"/>
  <c r="Y630" i="21"/>
  <c r="AA638" i="21"/>
  <c r="Y638" i="21"/>
  <c r="Y639" i="21"/>
  <c r="AA639" i="21"/>
  <c r="AA646" i="21"/>
  <c r="Y646" i="21"/>
  <c r="AA654" i="21"/>
  <c r="Y654" i="21"/>
  <c r="Y655" i="21"/>
  <c r="AA655" i="21"/>
  <c r="AA662" i="21"/>
  <c r="Y662" i="21"/>
  <c r="AA670" i="21"/>
  <c r="Y670" i="21"/>
  <c r="Y671" i="21"/>
  <c r="AA671" i="21"/>
  <c r="AA678" i="21"/>
  <c r="Y678" i="21"/>
  <c r="AA686" i="21"/>
  <c r="Y686" i="21"/>
  <c r="Y687" i="21"/>
  <c r="AA687" i="21"/>
  <c r="AA694" i="21"/>
  <c r="Y694" i="21"/>
  <c r="AA696" i="21"/>
  <c r="Y696" i="21"/>
  <c r="Y26" i="21"/>
  <c r="Y91" i="21"/>
  <c r="Y174" i="21"/>
  <c r="Y217" i="21"/>
  <c r="Y247" i="21"/>
  <c r="Y266" i="21"/>
  <c r="Y283" i="21"/>
  <c r="Y302" i="21"/>
  <c r="Y314" i="21"/>
  <c r="Y328" i="21"/>
  <c r="Y343" i="21"/>
  <c r="Y369" i="21"/>
  <c r="Y384" i="21"/>
  <c r="Y394" i="21"/>
  <c r="Y416" i="21"/>
  <c r="Y436" i="21"/>
  <c r="Y448" i="21"/>
  <c r="Y458" i="21"/>
  <c r="Y480" i="21"/>
  <c r="Y500" i="21"/>
  <c r="Y512" i="21"/>
  <c r="Y522" i="21"/>
  <c r="Y544" i="21"/>
  <c r="Y564" i="21"/>
  <c r="Y576" i="21"/>
  <c r="Y586" i="21"/>
  <c r="Y608" i="21"/>
  <c r="Y628" i="21"/>
  <c r="Y640" i="21"/>
  <c r="Y650" i="21"/>
  <c r="Y672" i="21"/>
  <c r="AA170" i="21"/>
  <c r="AA240" i="21"/>
  <c r="AA315" i="21"/>
  <c r="AA370" i="21"/>
  <c r="Y34" i="21"/>
  <c r="Y101" i="21"/>
  <c r="Y175" i="21"/>
  <c r="Y219" i="21"/>
  <c r="Y248" i="21"/>
  <c r="Y267" i="21"/>
  <c r="Y285" i="21"/>
  <c r="Y303" i="21"/>
  <c r="Y329" i="21"/>
  <c r="Y345" i="21"/>
  <c r="Y358" i="21"/>
  <c r="Y385" i="21"/>
  <c r="Y395" i="21"/>
  <c r="Y405" i="21"/>
  <c r="Y417" i="21"/>
  <c r="Y437" i="21"/>
  <c r="Y449" i="21"/>
  <c r="Y459" i="21"/>
  <c r="Y469" i="21"/>
  <c r="Y481" i="21"/>
  <c r="Y501" i="21"/>
  <c r="Y513" i="21"/>
  <c r="Y523" i="21"/>
  <c r="Y533" i="21"/>
  <c r="Y545" i="21"/>
  <c r="Y565" i="21"/>
  <c r="Y577" i="21"/>
  <c r="Y587" i="21"/>
  <c r="Y597" i="21"/>
  <c r="Y609" i="21"/>
  <c r="Y629" i="21"/>
  <c r="Y641" i="21"/>
  <c r="Y651" i="21"/>
  <c r="Y661" i="21"/>
  <c r="AA179" i="21"/>
  <c r="AA253" i="21"/>
  <c r="AA288" i="21"/>
  <c r="AA316" i="21"/>
  <c r="AA373" i="21"/>
  <c r="AA439" i="21"/>
  <c r="AA503" i="21"/>
  <c r="AA567" i="21"/>
  <c r="AA631" i="21"/>
  <c r="Y110" i="21"/>
  <c r="Y183" i="21"/>
  <c r="Y229" i="21"/>
  <c r="Y254" i="21"/>
  <c r="Y272" i="21"/>
  <c r="Y290" i="21"/>
  <c r="Y304" i="21"/>
  <c r="Y318" i="21"/>
  <c r="Y333" i="21"/>
  <c r="Y346" i="21"/>
  <c r="Y375" i="21"/>
  <c r="Y386" i="21"/>
  <c r="Y396" i="21"/>
  <c r="Y408" i="21"/>
  <c r="Y418" i="21"/>
  <c r="Y440" i="21"/>
  <c r="Y450" i="21"/>
  <c r="Y460" i="21"/>
  <c r="Y472" i="21"/>
  <c r="Y482" i="21"/>
  <c r="Y504" i="21"/>
  <c r="Y514" i="21"/>
  <c r="Y524" i="21"/>
  <c r="Y536" i="21"/>
  <c r="Y546" i="21"/>
  <c r="AA23" i="21"/>
  <c r="AA180" i="21"/>
  <c r="AA259" i="21"/>
  <c r="AA292" i="21"/>
  <c r="AA317" i="21"/>
  <c r="AA348" i="21"/>
  <c r="AA702" i="21"/>
  <c r="Y702" i="21"/>
  <c r="AA705" i="21"/>
  <c r="Y705" i="21"/>
  <c r="AA710" i="21"/>
  <c r="Y710" i="21"/>
  <c r="AA713" i="21"/>
  <c r="Y713" i="21"/>
  <c r="AA718" i="21"/>
  <c r="Y718" i="21"/>
  <c r="AA721" i="21"/>
  <c r="Y721" i="21"/>
  <c r="AA726" i="21"/>
  <c r="Y726" i="21"/>
  <c r="AA729" i="21"/>
  <c r="Y729" i="21"/>
  <c r="AA734" i="21"/>
  <c r="Y734" i="21"/>
  <c r="AA737" i="21"/>
  <c r="Y737" i="21"/>
  <c r="AA742" i="21"/>
  <c r="Y742" i="21"/>
  <c r="AA745" i="21"/>
  <c r="Y745" i="21"/>
  <c r="AA750" i="21"/>
  <c r="Y750" i="21"/>
  <c r="AA753" i="21"/>
  <c r="Y753" i="21"/>
  <c r="AA758" i="21"/>
  <c r="Y758" i="21"/>
  <c r="AA761" i="21"/>
  <c r="Y761" i="21"/>
  <c r="AA766" i="21"/>
  <c r="Y766" i="21"/>
  <c r="AA769" i="21"/>
  <c r="Y769" i="21"/>
  <c r="AA774" i="21"/>
  <c r="Y774" i="21"/>
  <c r="AA777" i="21"/>
  <c r="Y777" i="21"/>
  <c r="AA782" i="21"/>
  <c r="Y782" i="21"/>
  <c r="AA785" i="21"/>
  <c r="Y785" i="21"/>
  <c r="AA790" i="21"/>
  <c r="Y790" i="21"/>
  <c r="AA793" i="21"/>
  <c r="Y793" i="21"/>
  <c r="AA798" i="21"/>
  <c r="Y798" i="21"/>
  <c r="AA801" i="21"/>
  <c r="Y801" i="21"/>
  <c r="AA806" i="21"/>
  <c r="Y806" i="21"/>
  <c r="Y720" i="21"/>
  <c r="AA719" i="21"/>
  <c r="AA735" i="21"/>
  <c r="AA706" i="21"/>
  <c r="AA722" i="21"/>
  <c r="Y809" i="21"/>
  <c r="P813" i="21"/>
  <c r="N813" i="21"/>
  <c r="Y120" i="21"/>
  <c r="Y43" i="21"/>
  <c r="Y83" i="21"/>
  <c r="Y157" i="21"/>
  <c r="AA24" i="21"/>
  <c r="AA79" i="21"/>
  <c r="AA134" i="21"/>
  <c r="Y94" i="21"/>
  <c r="AA126" i="21"/>
  <c r="Y19" i="21"/>
  <c r="Y111" i="21"/>
  <c r="AA52" i="21"/>
  <c r="AA107" i="21"/>
  <c r="Y28" i="21"/>
  <c r="Y68" i="21"/>
  <c r="Y112" i="21"/>
  <c r="Y139" i="21"/>
  <c r="Y167" i="21"/>
  <c r="Y185" i="21"/>
  <c r="Y213" i="21"/>
  <c r="AA7" i="21"/>
  <c r="AA44" i="21"/>
  <c r="AA62" i="21"/>
  <c r="AA90" i="21"/>
  <c r="AA108" i="21"/>
  <c r="AA135" i="21"/>
  <c r="AA163" i="21"/>
  <c r="AA190" i="21"/>
  <c r="AA208" i="21"/>
  <c r="AA236" i="21"/>
  <c r="Y29" i="21"/>
  <c r="Y53" i="21"/>
  <c r="Y77" i="21"/>
  <c r="Y104" i="21"/>
  <c r="Y131" i="21"/>
  <c r="Y159" i="21"/>
  <c r="Y186" i="21"/>
  <c r="Y214" i="21"/>
  <c r="Y241" i="21"/>
  <c r="AA27" i="21"/>
  <c r="AA45" i="21"/>
  <c r="AA63" i="21"/>
  <c r="AA100" i="21"/>
  <c r="AA118" i="21"/>
  <c r="AA136" i="21"/>
  <c r="AA173" i="21"/>
  <c r="AA200" i="21"/>
  <c r="Y59" i="21"/>
  <c r="Y102" i="21"/>
  <c r="Y166" i="21"/>
  <c r="AA125" i="21"/>
  <c r="Y20" i="21"/>
  <c r="Y76" i="21"/>
  <c r="Y103" i="21"/>
  <c r="Y130" i="21"/>
  <c r="Y158" i="21"/>
  <c r="Y194" i="21"/>
  <c r="Y203" i="21"/>
  <c r="AA16" i="21"/>
  <c r="AA35" i="21"/>
  <c r="AA71" i="21"/>
  <c r="AA99" i="21"/>
  <c r="AA144" i="21"/>
  <c r="AA172" i="21"/>
  <c r="AA199" i="21"/>
  <c r="AA227" i="21"/>
  <c r="Y13" i="21"/>
  <c r="Y37" i="21"/>
  <c r="Y61" i="21"/>
  <c r="Y86" i="21"/>
  <c r="Y113" i="21"/>
  <c r="Y141" i="21"/>
  <c r="Y168" i="21"/>
  <c r="Y195" i="21"/>
  <c r="Y223" i="21"/>
  <c r="AA8" i="21"/>
  <c r="AA36" i="21"/>
  <c r="AA54" i="21"/>
  <c r="AA72" i="21"/>
  <c r="AA109" i="21"/>
  <c r="AA127" i="21"/>
  <c r="AA164" i="21"/>
  <c r="AA191" i="21"/>
  <c r="AA228" i="21"/>
  <c r="O813" i="21"/>
  <c r="U7" i="21"/>
  <c r="Y22" i="21"/>
  <c r="Y38" i="21"/>
  <c r="Y70" i="21"/>
  <c r="Y105" i="21"/>
  <c r="Y123" i="21"/>
  <c r="Y178" i="21"/>
  <c r="Y297" i="21"/>
  <c r="AA46" i="21"/>
  <c r="AA64" i="21"/>
  <c r="AA138" i="21"/>
  <c r="AA156" i="21"/>
  <c r="AA220" i="21"/>
  <c r="AA284" i="21"/>
  <c r="Y75" i="21"/>
  <c r="AA15" i="21"/>
  <c r="AA116" i="21"/>
  <c r="AA162" i="21"/>
  <c r="Y12" i="21"/>
  <c r="Y85" i="21"/>
  <c r="Y121" i="21"/>
  <c r="Y149" i="21"/>
  <c r="Y176" i="21"/>
  <c r="Y249" i="21"/>
  <c r="AA80" i="21"/>
  <c r="AA117" i="21"/>
  <c r="AA154" i="21"/>
  <c r="AA181" i="21"/>
  <c r="AA218" i="21"/>
  <c r="Y21" i="21"/>
  <c r="Y95" i="21"/>
  <c r="Y122" i="21"/>
  <c r="Y150" i="21"/>
  <c r="Y177" i="21"/>
  <c r="Y205" i="21"/>
  <c r="AA182" i="21"/>
  <c r="Y30" i="21"/>
  <c r="Y114" i="21"/>
  <c r="Y169" i="21"/>
  <c r="Y187" i="21"/>
  <c r="Y233" i="21"/>
  <c r="AA55" i="21"/>
  <c r="AA92" i="21"/>
  <c r="AA147" i="21"/>
  <c r="Y31" i="21"/>
  <c r="Y39" i="21"/>
  <c r="Y47" i="21"/>
  <c r="Y88" i="21"/>
  <c r="Y97" i="21"/>
  <c r="Y143" i="21"/>
  <c r="Y152" i="21"/>
  <c r="Y161" i="21"/>
  <c r="Y225" i="21"/>
  <c r="Y289" i="21"/>
  <c r="Y353" i="21"/>
  <c r="AA11" i="21"/>
  <c r="AA56" i="21"/>
  <c r="AA84" i="21"/>
  <c r="AA93" i="21"/>
  <c r="AA148" i="21"/>
  <c r="AA212" i="21"/>
  <c r="AA276" i="21"/>
  <c r="AA340" i="21"/>
  <c r="Y67" i="21"/>
  <c r="Y129" i="21"/>
  <c r="AA98" i="21"/>
  <c r="Y48" i="21"/>
  <c r="AA204" i="21"/>
  <c r="AA171" i="21"/>
  <c r="M813" i="21"/>
  <c r="Y40" i="21"/>
  <c r="Y89" i="21"/>
  <c r="Y153" i="21"/>
  <c r="AA140" i="21"/>
  <c r="Y9" i="21"/>
  <c r="Y17" i="21"/>
  <c r="Y25" i="21"/>
  <c r="Y33" i="21"/>
  <c r="Y41" i="21"/>
  <c r="Y49" i="21"/>
  <c r="Y57" i="21"/>
  <c r="Y65" i="21"/>
  <c r="Y73" i="21"/>
  <c r="Y81" i="21"/>
  <c r="Y145" i="21"/>
  <c r="Y209" i="21"/>
  <c r="AA132" i="21"/>
  <c r="AA196" i="21"/>
  <c r="L813" i="21"/>
  <c r="Y6" i="21"/>
  <c r="N123" i="19"/>
  <c r="M123" i="19"/>
  <c r="L123" i="19"/>
  <c r="K123" i="19"/>
  <c r="J123" i="19"/>
  <c r="I123" i="19"/>
  <c r="H123" i="19"/>
  <c r="G123" i="19"/>
  <c r="F123" i="19"/>
  <c r="E123" i="19"/>
  <c r="B136" i="38" l="1" a="1"/>
  <c r="B136" i="38" s="1"/>
  <c r="J125" i="19"/>
  <c r="N125" i="19"/>
  <c r="J126" i="19"/>
  <c r="B139" i="38" s="1" a="1"/>
  <c r="B139" i="38" s="1"/>
  <c r="F125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O228" i="19"/>
  <c r="N228" i="19"/>
  <c r="M228" i="19"/>
  <c r="L228" i="19"/>
  <c r="K228" i="19"/>
  <c r="J228" i="19"/>
  <c r="I228" i="19"/>
  <c r="H228" i="19"/>
  <c r="G228" i="19"/>
  <c r="F228" i="19"/>
  <c r="E228" i="19"/>
  <c r="D228" i="19"/>
  <c r="C228" i="19"/>
  <c r="B228" i="19"/>
  <c r="O229" i="19"/>
  <c r="N229" i="19"/>
  <c r="M229" i="19"/>
  <c r="L229" i="19"/>
  <c r="K229" i="19"/>
  <c r="J229" i="19"/>
  <c r="I229" i="19"/>
  <c r="H229" i="19"/>
  <c r="G229" i="19"/>
  <c r="F229" i="19"/>
  <c r="E229" i="19"/>
  <c r="D229" i="19"/>
  <c r="C229" i="19"/>
  <c r="B229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B97" i="38" l="1" a="1"/>
  <c r="B97" i="38" s="1"/>
  <c r="B99" i="38" a="1"/>
  <c r="B99" i="38" s="1"/>
  <c r="B100" i="38" a="1"/>
  <c r="B100" i="38" s="1"/>
  <c r="B96" i="38" a="1"/>
  <c r="B96" i="38" s="1"/>
  <c r="B95" i="38" a="1"/>
  <c r="B95" i="38" s="1"/>
  <c r="B98" i="38" a="1"/>
  <c r="B98" i="38" s="1"/>
  <c r="B138" i="38" a="1"/>
  <c r="B138" i="38" s="1"/>
  <c r="L235" i="19"/>
  <c r="O235" i="19"/>
  <c r="M235" i="19"/>
  <c r="N235" i="19"/>
  <c r="K235" i="19"/>
  <c r="J235" i="19"/>
  <c r="I235" i="19"/>
  <c r="H235" i="19"/>
  <c r="G235" i="19"/>
  <c r="F235" i="19"/>
  <c r="E235" i="19"/>
  <c r="D235" i="19"/>
  <c r="C235" i="19"/>
  <c r="B235" i="19"/>
  <c r="J224" i="19"/>
  <c r="I224" i="19"/>
  <c r="H224" i="19"/>
  <c r="G224" i="19"/>
  <c r="F224" i="19"/>
  <c r="E224" i="19"/>
  <c r="D224" i="19"/>
  <c r="C224" i="19"/>
  <c r="B224" i="19"/>
  <c r="B92" i="38" l="1" a="1"/>
  <c r="B92" i="38" s="1"/>
  <c r="B102" i="38" a="1"/>
  <c r="B102" i="38" s="1"/>
  <c r="W809" i="21"/>
  <c r="W808" i="21"/>
  <c r="W807" i="21"/>
  <c r="W806" i="21"/>
  <c r="W805" i="21"/>
  <c r="W804" i="21"/>
  <c r="W803" i="21"/>
  <c r="W802" i="21"/>
  <c r="W801" i="21"/>
  <c r="W800" i="21"/>
  <c r="W799" i="21"/>
  <c r="W798" i="21"/>
  <c r="W797" i="21"/>
  <c r="W796" i="21"/>
  <c r="W795" i="21"/>
  <c r="W794" i="21"/>
  <c r="W793" i="21"/>
  <c r="W792" i="21"/>
  <c r="W791" i="21"/>
  <c r="W790" i="21"/>
  <c r="W789" i="21"/>
  <c r="W788" i="21"/>
  <c r="W787" i="21"/>
  <c r="W786" i="21"/>
  <c r="W785" i="21"/>
  <c r="W784" i="21"/>
  <c r="W783" i="21"/>
  <c r="W782" i="21"/>
  <c r="W781" i="21"/>
  <c r="W780" i="21"/>
  <c r="W779" i="21"/>
  <c r="W778" i="21"/>
  <c r="W777" i="21"/>
  <c r="W776" i="21"/>
  <c r="W775" i="21"/>
  <c r="W774" i="21"/>
  <c r="W773" i="21"/>
  <c r="W772" i="21"/>
  <c r="W771" i="21"/>
  <c r="W770" i="21"/>
  <c r="W769" i="21"/>
  <c r="W768" i="21"/>
  <c r="W767" i="21"/>
  <c r="W766" i="21"/>
  <c r="W765" i="21"/>
  <c r="W764" i="21"/>
  <c r="W763" i="21"/>
  <c r="W762" i="21"/>
  <c r="W761" i="21"/>
  <c r="W760" i="21"/>
  <c r="W759" i="21"/>
  <c r="W758" i="21"/>
  <c r="W757" i="21"/>
  <c r="W756" i="21"/>
  <c r="W755" i="21"/>
  <c r="W754" i="21"/>
  <c r="W753" i="21"/>
  <c r="W752" i="21"/>
  <c r="W751" i="21"/>
  <c r="W750" i="21"/>
  <c r="W749" i="21"/>
  <c r="W748" i="21"/>
  <c r="W747" i="21"/>
  <c r="W746" i="21"/>
  <c r="W745" i="21"/>
  <c r="W744" i="21"/>
  <c r="W743" i="21"/>
  <c r="W742" i="21"/>
  <c r="W741" i="21"/>
  <c r="W740" i="21"/>
  <c r="W739" i="21"/>
  <c r="W738" i="21"/>
  <c r="W737" i="21"/>
  <c r="W736" i="21"/>
  <c r="W735" i="21"/>
  <c r="W734" i="21"/>
  <c r="W733" i="21"/>
  <c r="W732" i="21"/>
  <c r="W731" i="21"/>
  <c r="W730" i="21"/>
  <c r="W729" i="21"/>
  <c r="W728" i="21"/>
  <c r="W727" i="21"/>
  <c r="W726" i="21"/>
  <c r="W725" i="21"/>
  <c r="W724" i="21"/>
  <c r="W723" i="21"/>
  <c r="W722" i="21"/>
  <c r="W721" i="21"/>
  <c r="W720" i="21"/>
  <c r="W719" i="21"/>
  <c r="W718" i="21"/>
  <c r="W717" i="21"/>
  <c r="W716" i="21"/>
  <c r="W715" i="21"/>
  <c r="W714" i="21"/>
  <c r="W713" i="21"/>
  <c r="W712" i="21"/>
  <c r="W711" i="21"/>
  <c r="W710" i="21"/>
  <c r="W709" i="21"/>
  <c r="W708" i="21"/>
  <c r="W707" i="21"/>
  <c r="W706" i="21"/>
  <c r="W705" i="21"/>
  <c r="W704" i="21"/>
  <c r="W703" i="21"/>
  <c r="W702" i="21"/>
  <c r="W701" i="21"/>
  <c r="W700" i="21"/>
  <c r="W699" i="21"/>
  <c r="W698" i="21"/>
  <c r="W697" i="21"/>
  <c r="W696" i="21"/>
  <c r="W695" i="21"/>
  <c r="W694" i="21"/>
  <c r="W693" i="21"/>
  <c r="W692" i="21"/>
  <c r="W691" i="21"/>
  <c r="W690" i="21"/>
  <c r="W689" i="21"/>
  <c r="W688" i="21"/>
  <c r="W687" i="21"/>
  <c r="W686" i="21"/>
  <c r="W685" i="21"/>
  <c r="W684" i="21"/>
  <c r="W683" i="21"/>
  <c r="W682" i="21"/>
  <c r="W681" i="21"/>
  <c r="W680" i="21"/>
  <c r="W679" i="21"/>
  <c r="W678" i="21"/>
  <c r="W677" i="21"/>
  <c r="W676" i="21"/>
  <c r="W675" i="21"/>
  <c r="W674" i="21"/>
  <c r="W673" i="21"/>
  <c r="W672" i="21"/>
  <c r="W671" i="21"/>
  <c r="W670" i="21"/>
  <c r="W669" i="21"/>
  <c r="W668" i="21"/>
  <c r="W667" i="21"/>
  <c r="W666" i="21"/>
  <c r="W665" i="21"/>
  <c r="W664" i="21"/>
  <c r="W663" i="21"/>
  <c r="W662" i="21"/>
  <c r="W661" i="21"/>
  <c r="W660" i="21"/>
  <c r="W659" i="21"/>
  <c r="W658" i="21"/>
  <c r="W657" i="21"/>
  <c r="W656" i="21"/>
  <c r="W655" i="21"/>
  <c r="W654" i="21"/>
  <c r="W653" i="21"/>
  <c r="W652" i="21"/>
  <c r="W651" i="21"/>
  <c r="W650" i="21"/>
  <c r="W649" i="21"/>
  <c r="W648" i="21"/>
  <c r="W647" i="21"/>
  <c r="W646" i="21"/>
  <c r="W645" i="21"/>
  <c r="W644" i="21"/>
  <c r="W643" i="21"/>
  <c r="W642" i="21"/>
  <c r="W641" i="21"/>
  <c r="W640" i="21"/>
  <c r="W639" i="21"/>
  <c r="W638" i="21"/>
  <c r="W637" i="21"/>
  <c r="W636" i="21"/>
  <c r="W635" i="21"/>
  <c r="W634" i="21"/>
  <c r="W633" i="21"/>
  <c r="W632" i="21"/>
  <c r="W631" i="21"/>
  <c r="W630" i="21"/>
  <c r="W629" i="21"/>
  <c r="W628" i="21"/>
  <c r="W627" i="21"/>
  <c r="W626" i="21"/>
  <c r="W625" i="21"/>
  <c r="W624" i="21"/>
  <c r="W623" i="21"/>
  <c r="W622" i="21"/>
  <c r="W621" i="21"/>
  <c r="W620" i="21"/>
  <c r="W619" i="21"/>
  <c r="W618" i="21"/>
  <c r="W617" i="21"/>
  <c r="W616" i="21"/>
  <c r="W615" i="21"/>
  <c r="W614" i="21"/>
  <c r="W613" i="21"/>
  <c r="W612" i="21"/>
  <c r="W611" i="21"/>
  <c r="W610" i="21"/>
  <c r="W609" i="21"/>
  <c r="W608" i="21"/>
  <c r="W607" i="21"/>
  <c r="W606" i="21"/>
  <c r="W605" i="21"/>
  <c r="W604" i="21"/>
  <c r="W603" i="21"/>
  <c r="W602" i="21"/>
  <c r="W601" i="21"/>
  <c r="W600" i="21"/>
  <c r="W599" i="21"/>
  <c r="W598" i="21"/>
  <c r="W597" i="21"/>
  <c r="W596" i="21"/>
  <c r="W595" i="21"/>
  <c r="W594" i="21"/>
  <c r="W593" i="21"/>
  <c r="W592" i="21"/>
  <c r="W591" i="21"/>
  <c r="W590" i="21"/>
  <c r="W589" i="21"/>
  <c r="W588" i="21"/>
  <c r="W587" i="21"/>
  <c r="W586" i="21"/>
  <c r="W585" i="21"/>
  <c r="W584" i="21"/>
  <c r="W583" i="21"/>
  <c r="W582" i="21"/>
  <c r="W581" i="21"/>
  <c r="W580" i="21"/>
  <c r="W579" i="21"/>
  <c r="W578" i="21"/>
  <c r="W577" i="21"/>
  <c r="W576" i="21"/>
  <c r="W575" i="21"/>
  <c r="W574" i="21"/>
  <c r="W573" i="21"/>
  <c r="W572" i="21"/>
  <c r="W571" i="21"/>
  <c r="W570" i="21"/>
  <c r="W569" i="21"/>
  <c r="W568" i="21"/>
  <c r="W567" i="21"/>
  <c r="W566" i="21"/>
  <c r="W565" i="21"/>
  <c r="W564" i="21"/>
  <c r="W563" i="21"/>
  <c r="W562" i="21"/>
  <c r="W561" i="21"/>
  <c r="W560" i="21"/>
  <c r="W559" i="21"/>
  <c r="W558" i="21"/>
  <c r="W557" i="21"/>
  <c r="W556" i="21"/>
  <c r="W555" i="21"/>
  <c r="W554" i="21"/>
  <c r="W553" i="21"/>
  <c r="W552" i="21"/>
  <c r="W551" i="21"/>
  <c r="W550" i="21"/>
  <c r="W549" i="21"/>
  <c r="W548" i="21"/>
  <c r="W547" i="21"/>
  <c r="W546" i="21"/>
  <c r="W545" i="21"/>
  <c r="W544" i="21"/>
  <c r="W543" i="21"/>
  <c r="W542" i="21"/>
  <c r="W541" i="21"/>
  <c r="W540" i="21"/>
  <c r="W539" i="21"/>
  <c r="W538" i="21"/>
  <c r="W537" i="21"/>
  <c r="W536" i="21"/>
  <c r="W535" i="21"/>
  <c r="W534" i="21"/>
  <c r="W533" i="21"/>
  <c r="W532" i="21"/>
  <c r="W531" i="21"/>
  <c r="W530" i="21"/>
  <c r="W529" i="21"/>
  <c r="W528" i="21"/>
  <c r="W527" i="21"/>
  <c r="W526" i="21"/>
  <c r="W525" i="21"/>
  <c r="W524" i="21"/>
  <c r="W523" i="21"/>
  <c r="W522" i="21"/>
  <c r="W521" i="21"/>
  <c r="W520" i="21"/>
  <c r="W519" i="21"/>
  <c r="W518" i="21"/>
  <c r="W517" i="21"/>
  <c r="W516" i="21"/>
  <c r="W515" i="21"/>
  <c r="W514" i="21"/>
  <c r="W513" i="21"/>
  <c r="W512" i="21"/>
  <c r="W511" i="21"/>
  <c r="W510" i="21"/>
  <c r="W509" i="21"/>
  <c r="W508" i="21"/>
  <c r="W507" i="21"/>
  <c r="W506" i="21"/>
  <c r="W505" i="21"/>
  <c r="W504" i="21"/>
  <c r="W503" i="21"/>
  <c r="W502" i="21"/>
  <c r="W501" i="21"/>
  <c r="W500" i="21"/>
  <c r="W499" i="21"/>
  <c r="W498" i="21"/>
  <c r="W497" i="21"/>
  <c r="W496" i="21"/>
  <c r="W495" i="21"/>
  <c r="W494" i="21"/>
  <c r="W493" i="21"/>
  <c r="W492" i="21"/>
  <c r="W491" i="21"/>
  <c r="W490" i="21"/>
  <c r="W489" i="21"/>
  <c r="W488" i="21"/>
  <c r="W487" i="21"/>
  <c r="W486" i="21"/>
  <c r="W485" i="21"/>
  <c r="W484" i="21"/>
  <c r="W483" i="21"/>
  <c r="W482" i="21"/>
  <c r="W481" i="21"/>
  <c r="W480" i="21"/>
  <c r="W479" i="21"/>
  <c r="W478" i="21"/>
  <c r="W477" i="21"/>
  <c r="W476" i="21"/>
  <c r="W475" i="21"/>
  <c r="W474" i="21"/>
  <c r="W473" i="21"/>
  <c r="W472" i="21"/>
  <c r="W471" i="21"/>
  <c r="W470" i="21"/>
  <c r="W469" i="21"/>
  <c r="W468" i="21"/>
  <c r="W467" i="21"/>
  <c r="W466" i="21"/>
  <c r="W465" i="21"/>
  <c r="W464" i="21"/>
  <c r="W463" i="21"/>
  <c r="W462" i="21"/>
  <c r="W461" i="21"/>
  <c r="W460" i="21"/>
  <c r="W459" i="21"/>
  <c r="W458" i="21"/>
  <c r="W457" i="21"/>
  <c r="W456" i="21"/>
  <c r="W455" i="21"/>
  <c r="W454" i="21"/>
  <c r="W453" i="21"/>
  <c r="W452" i="21"/>
  <c r="W451" i="21"/>
  <c r="W450" i="21"/>
  <c r="W449" i="21"/>
  <c r="W448" i="21"/>
  <c r="W447" i="21"/>
  <c r="W446" i="21"/>
  <c r="W445" i="21"/>
  <c r="W444" i="21"/>
  <c r="W443" i="21"/>
  <c r="W442" i="21"/>
  <c r="W441" i="21"/>
  <c r="W440" i="21"/>
  <c r="W439" i="21"/>
  <c r="W438" i="21"/>
  <c r="W437" i="21"/>
  <c r="W436" i="21"/>
  <c r="W435" i="21"/>
  <c r="W434" i="21"/>
  <c r="W433" i="21"/>
  <c r="W432" i="21"/>
  <c r="W431" i="21"/>
  <c r="W430" i="21"/>
  <c r="W429" i="21"/>
  <c r="W428" i="21"/>
  <c r="W427" i="21"/>
  <c r="W426" i="21"/>
  <c r="W425" i="21"/>
  <c r="W424" i="21"/>
  <c r="W423" i="21"/>
  <c r="W422" i="21"/>
  <c r="W421" i="21"/>
  <c r="W420" i="21"/>
  <c r="W419" i="21"/>
  <c r="W418" i="21"/>
  <c r="W417" i="21"/>
  <c r="W416" i="21"/>
  <c r="W415" i="21"/>
  <c r="W414" i="21"/>
  <c r="W413" i="21"/>
  <c r="W412" i="21"/>
  <c r="W411" i="21"/>
  <c r="W410" i="21"/>
  <c r="W409" i="21"/>
  <c r="W408" i="21"/>
  <c r="W407" i="21"/>
  <c r="W406" i="21"/>
  <c r="W405" i="21"/>
  <c r="W404" i="21"/>
  <c r="W403" i="21"/>
  <c r="W402" i="21"/>
  <c r="W401" i="21"/>
  <c r="W400" i="21"/>
  <c r="W399" i="21"/>
  <c r="W398" i="21"/>
  <c r="W397" i="21"/>
  <c r="W396" i="21"/>
  <c r="W395" i="21"/>
  <c r="W394" i="21"/>
  <c r="W393" i="21"/>
  <c r="W392" i="21"/>
  <c r="W391" i="21"/>
  <c r="W390" i="21"/>
  <c r="W389" i="21"/>
  <c r="W388" i="21"/>
  <c r="W387" i="21"/>
  <c r="W386" i="21"/>
  <c r="W385" i="21"/>
  <c r="W384" i="21"/>
  <c r="W383" i="21"/>
  <c r="W382" i="21"/>
  <c r="W381" i="21"/>
  <c r="W380" i="21"/>
  <c r="W379" i="21"/>
  <c r="W378" i="21"/>
  <c r="W377" i="21"/>
  <c r="W376" i="21"/>
  <c r="W375" i="21"/>
  <c r="W374" i="21"/>
  <c r="W373" i="21"/>
  <c r="W372" i="21"/>
  <c r="W371" i="21"/>
  <c r="W370" i="21"/>
  <c r="W369" i="21"/>
  <c r="W368" i="21"/>
  <c r="W367" i="21"/>
  <c r="W366" i="21"/>
  <c r="W365" i="21"/>
  <c r="W364" i="21"/>
  <c r="W363" i="21"/>
  <c r="W362" i="21"/>
  <c r="W361" i="21"/>
  <c r="W360" i="21"/>
  <c r="W359" i="21"/>
  <c r="W358" i="21"/>
  <c r="W357" i="21"/>
  <c r="W356" i="21"/>
  <c r="W355" i="21"/>
  <c r="W354" i="21"/>
  <c r="W353" i="21"/>
  <c r="W352" i="21"/>
  <c r="W351" i="21"/>
  <c r="W350" i="21"/>
  <c r="W349" i="21"/>
  <c r="W348" i="21"/>
  <c r="W347" i="21"/>
  <c r="W346" i="21"/>
  <c r="W345" i="21"/>
  <c r="W344" i="21"/>
  <c r="W343" i="21"/>
  <c r="W342" i="21"/>
  <c r="W341" i="21"/>
  <c r="W340" i="21"/>
  <c r="W339" i="21"/>
  <c r="W338" i="21"/>
  <c r="W337" i="21"/>
  <c r="W336" i="21"/>
  <c r="W335" i="21"/>
  <c r="W334" i="21"/>
  <c r="W333" i="21"/>
  <c r="W332" i="21"/>
  <c r="W331" i="21"/>
  <c r="W330" i="21"/>
  <c r="W329" i="21"/>
  <c r="W328" i="21"/>
  <c r="W327" i="21"/>
  <c r="W326" i="21"/>
  <c r="W325" i="21"/>
  <c r="W324" i="21"/>
  <c r="W323" i="21"/>
  <c r="W322" i="21"/>
  <c r="W321" i="21"/>
  <c r="W320" i="21"/>
  <c r="W319" i="21"/>
  <c r="W318" i="21"/>
  <c r="W317" i="21"/>
  <c r="W316" i="21"/>
  <c r="W315" i="21"/>
  <c r="W314" i="21"/>
  <c r="W313" i="21"/>
  <c r="W312" i="21"/>
  <c r="W311" i="21"/>
  <c r="W310" i="21"/>
  <c r="W309" i="21"/>
  <c r="W308" i="21"/>
  <c r="W307" i="21"/>
  <c r="W306" i="21"/>
  <c r="W305" i="21"/>
  <c r="W304" i="21"/>
  <c r="W303" i="21"/>
  <c r="W302" i="21"/>
  <c r="W301" i="21"/>
  <c r="W300" i="21"/>
  <c r="W299" i="21"/>
  <c r="W298" i="21"/>
  <c r="W297" i="21"/>
  <c r="W296" i="21"/>
  <c r="W295" i="21"/>
  <c r="W294" i="21"/>
  <c r="W293" i="21"/>
  <c r="W292" i="21"/>
  <c r="W291" i="21"/>
  <c r="W290" i="21"/>
  <c r="W289" i="21"/>
  <c r="W288" i="21"/>
  <c r="W287" i="21"/>
  <c r="W286" i="21"/>
  <c r="W285" i="21"/>
  <c r="W284" i="21"/>
  <c r="W283" i="21"/>
  <c r="W282" i="21"/>
  <c r="W281" i="21"/>
  <c r="W280" i="21"/>
  <c r="W279" i="21"/>
  <c r="W278" i="21"/>
  <c r="W277" i="21"/>
  <c r="W276" i="21"/>
  <c r="W275" i="21"/>
  <c r="W274" i="21"/>
  <c r="W273" i="21"/>
  <c r="W272" i="21"/>
  <c r="W271" i="21"/>
  <c r="W270" i="21"/>
  <c r="W269" i="21"/>
  <c r="W268" i="21"/>
  <c r="W267" i="21"/>
  <c r="W266" i="21"/>
  <c r="W265" i="21"/>
  <c r="W264" i="21"/>
  <c r="W263" i="21"/>
  <c r="W262" i="21"/>
  <c r="W261" i="21"/>
  <c r="W260" i="21"/>
  <c r="W259" i="21"/>
  <c r="W258" i="21"/>
  <c r="W257" i="21"/>
  <c r="W256" i="21"/>
  <c r="W255" i="21"/>
  <c r="W254" i="21"/>
  <c r="W253" i="21"/>
  <c r="W252" i="21"/>
  <c r="W251" i="21"/>
  <c r="W250" i="21"/>
  <c r="W249" i="21"/>
  <c r="W248" i="21"/>
  <c r="W247" i="21"/>
  <c r="W246" i="21"/>
  <c r="W245" i="21"/>
  <c r="W244" i="21"/>
  <c r="W243" i="21"/>
  <c r="W242" i="21"/>
  <c r="W241" i="21"/>
  <c r="W240" i="21"/>
  <c r="W239" i="21"/>
  <c r="W238" i="21"/>
  <c r="W237" i="21"/>
  <c r="W236" i="21"/>
  <c r="W235" i="21"/>
  <c r="W234" i="21"/>
  <c r="W233" i="21"/>
  <c r="W232" i="21"/>
  <c r="W231" i="21"/>
  <c r="W230" i="21"/>
  <c r="W229" i="21"/>
  <c r="W228" i="21"/>
  <c r="W227" i="21"/>
  <c r="W226" i="21"/>
  <c r="W225" i="21"/>
  <c r="W224" i="21"/>
  <c r="W223" i="21"/>
  <c r="W222" i="21"/>
  <c r="W221" i="21"/>
  <c r="W220" i="21"/>
  <c r="W219" i="21"/>
  <c r="W218" i="21"/>
  <c r="W217" i="21"/>
  <c r="W216" i="21"/>
  <c r="W215" i="21"/>
  <c r="W214" i="21"/>
  <c r="W213" i="21"/>
  <c r="W212" i="21"/>
  <c r="W211" i="21"/>
  <c r="W210" i="21"/>
  <c r="W209" i="21"/>
  <c r="W208" i="21"/>
  <c r="W207" i="21"/>
  <c r="W206" i="21"/>
  <c r="W205" i="21"/>
  <c r="W204" i="21"/>
  <c r="W203" i="21"/>
  <c r="W202" i="21"/>
  <c r="W201" i="21"/>
  <c r="W200" i="21"/>
  <c r="W199" i="21"/>
  <c r="W198" i="21"/>
  <c r="W197" i="21"/>
  <c r="W196" i="21"/>
  <c r="W195" i="21"/>
  <c r="W194" i="21"/>
  <c r="W193" i="21"/>
  <c r="W192" i="21"/>
  <c r="W191" i="21"/>
  <c r="W190" i="21"/>
  <c r="W189" i="21"/>
  <c r="W188" i="21"/>
  <c r="W187" i="21"/>
  <c r="W186" i="21"/>
  <c r="W185" i="21"/>
  <c r="W184" i="21"/>
  <c r="W183" i="21"/>
  <c r="W182" i="21"/>
  <c r="W181" i="21"/>
  <c r="W180" i="21"/>
  <c r="W179" i="21"/>
  <c r="W178" i="21"/>
  <c r="W177" i="21"/>
  <c r="W176" i="21"/>
  <c r="W175" i="21"/>
  <c r="W174" i="21"/>
  <c r="W173" i="21"/>
  <c r="W172" i="21"/>
  <c r="W171" i="21"/>
  <c r="W170" i="21"/>
  <c r="W169" i="21"/>
  <c r="W168" i="21"/>
  <c r="W167" i="21"/>
  <c r="W166" i="21"/>
  <c r="W165" i="21"/>
  <c r="W164" i="21"/>
  <c r="W163" i="21"/>
  <c r="W162" i="21"/>
  <c r="W161" i="21"/>
  <c r="W160" i="21"/>
  <c r="W159" i="21"/>
  <c r="W158" i="21"/>
  <c r="W157" i="21"/>
  <c r="W156" i="21"/>
  <c r="W155" i="21"/>
  <c r="W154" i="21"/>
  <c r="W153" i="21"/>
  <c r="W152" i="21"/>
  <c r="W151" i="21"/>
  <c r="W150" i="21"/>
  <c r="W149" i="21"/>
  <c r="W148" i="21"/>
  <c r="W147" i="21"/>
  <c r="W146" i="21"/>
  <c r="W145" i="21"/>
  <c r="W144" i="21"/>
  <c r="W143" i="21"/>
  <c r="W142" i="21"/>
  <c r="W141" i="21"/>
  <c r="W140" i="21"/>
  <c r="W139" i="21"/>
  <c r="W138" i="21"/>
  <c r="W137" i="21"/>
  <c r="W136" i="21"/>
  <c r="W135" i="21"/>
  <c r="W134" i="21"/>
  <c r="W133" i="21"/>
  <c r="W132" i="21"/>
  <c r="W131" i="21"/>
  <c r="W130" i="21"/>
  <c r="W129" i="21"/>
  <c r="W128" i="21"/>
  <c r="W127" i="21"/>
  <c r="W126" i="21"/>
  <c r="W125" i="21"/>
  <c r="W124" i="21"/>
  <c r="W123" i="21"/>
  <c r="W122" i="21"/>
  <c r="W121" i="21"/>
  <c r="W120" i="21"/>
  <c r="W119" i="21"/>
  <c r="W118" i="21"/>
  <c r="W117" i="21"/>
  <c r="W116" i="21"/>
  <c r="W115" i="21"/>
  <c r="W114" i="21"/>
  <c r="W113" i="21"/>
  <c r="W112" i="21"/>
  <c r="W111" i="21"/>
  <c r="W110" i="21"/>
  <c r="W109" i="21"/>
  <c r="W108" i="21"/>
  <c r="W107" i="21"/>
  <c r="W106" i="21"/>
  <c r="W105" i="21"/>
  <c r="W104" i="21"/>
  <c r="W103" i="21"/>
  <c r="W102" i="21"/>
  <c r="W101" i="21"/>
  <c r="W100" i="21"/>
  <c r="W99" i="21"/>
  <c r="W98" i="21"/>
  <c r="W97" i="21"/>
  <c r="W96" i="21"/>
  <c r="W95" i="21"/>
  <c r="W94" i="21"/>
  <c r="W93" i="21"/>
  <c r="W92" i="21"/>
  <c r="W91" i="21"/>
  <c r="W90" i="21"/>
  <c r="W89" i="21"/>
  <c r="W88" i="21"/>
  <c r="W87" i="21"/>
  <c r="W86" i="21"/>
  <c r="W85" i="21"/>
  <c r="W84" i="21"/>
  <c r="W83" i="21"/>
  <c r="W82" i="21"/>
  <c r="W81" i="21"/>
  <c r="W80" i="21"/>
  <c r="W79" i="21"/>
  <c r="W78" i="21"/>
  <c r="W77" i="21"/>
  <c r="W76" i="21"/>
  <c r="W75" i="21"/>
  <c r="W74" i="21"/>
  <c r="W73" i="21"/>
  <c r="W72" i="21"/>
  <c r="W71" i="21"/>
  <c r="W70" i="21"/>
  <c r="W69" i="21"/>
  <c r="W68" i="21"/>
  <c r="W67" i="21"/>
  <c r="W66" i="21"/>
  <c r="W65" i="21"/>
  <c r="W64" i="21"/>
  <c r="W63" i="21"/>
  <c r="W62" i="21"/>
  <c r="W61" i="21"/>
  <c r="W60" i="21"/>
  <c r="W59" i="21"/>
  <c r="W58" i="21"/>
  <c r="W57" i="21"/>
  <c r="W56" i="21"/>
  <c r="W55" i="21"/>
  <c r="W54" i="21"/>
  <c r="W53" i="21"/>
  <c r="W52" i="21"/>
  <c r="W51" i="21"/>
  <c r="W50" i="21"/>
  <c r="W49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36" i="21"/>
  <c r="W35" i="21"/>
  <c r="W34" i="21"/>
  <c r="W33" i="21"/>
  <c r="W32" i="21"/>
  <c r="W31" i="21"/>
  <c r="W30" i="21"/>
  <c r="W29" i="21"/>
  <c r="W28" i="21"/>
  <c r="W27" i="21"/>
  <c r="W26" i="21"/>
  <c r="W25" i="21"/>
  <c r="W24" i="21"/>
  <c r="W23" i="21"/>
  <c r="W22" i="21"/>
  <c r="W21" i="21"/>
  <c r="W20" i="21"/>
  <c r="W19" i="21"/>
  <c r="W18" i="21"/>
  <c r="W17" i="21"/>
  <c r="W16" i="21"/>
  <c r="W15" i="21"/>
  <c r="W14" i="21"/>
  <c r="W13" i="21"/>
  <c r="W12" i="21"/>
  <c r="W11" i="21"/>
  <c r="W10" i="21"/>
  <c r="W9" i="21"/>
  <c r="W8" i="21"/>
  <c r="W7" i="21"/>
  <c r="W6" i="21"/>
  <c r="U809" i="21"/>
  <c r="U808" i="21"/>
  <c r="U807" i="21"/>
  <c r="U806" i="21"/>
  <c r="U805" i="21"/>
  <c r="U804" i="21"/>
  <c r="U803" i="21"/>
  <c r="U802" i="21"/>
  <c r="U801" i="21"/>
  <c r="U800" i="21"/>
  <c r="U799" i="21"/>
  <c r="U798" i="21"/>
  <c r="U797" i="21"/>
  <c r="U796" i="21"/>
  <c r="U795" i="21"/>
  <c r="U794" i="21"/>
  <c r="U793" i="21"/>
  <c r="U792" i="21"/>
  <c r="U791" i="21"/>
  <c r="U790" i="21"/>
  <c r="U789" i="21"/>
  <c r="U788" i="21"/>
  <c r="U787" i="21"/>
  <c r="U786" i="21"/>
  <c r="U785" i="21"/>
  <c r="U784" i="21"/>
  <c r="U783" i="21"/>
  <c r="U782" i="21"/>
  <c r="U781" i="21"/>
  <c r="U780" i="21"/>
  <c r="U779" i="21"/>
  <c r="U778" i="21"/>
  <c r="U777" i="21"/>
  <c r="U776" i="21"/>
  <c r="U775" i="21"/>
  <c r="U774" i="21"/>
  <c r="U773" i="21"/>
  <c r="U772" i="21"/>
  <c r="U771" i="21"/>
  <c r="U770" i="21"/>
  <c r="U769" i="21"/>
  <c r="U768" i="21"/>
  <c r="U767" i="21"/>
  <c r="U766" i="21"/>
  <c r="U765" i="21"/>
  <c r="U764" i="21"/>
  <c r="U763" i="21"/>
  <c r="U762" i="21"/>
  <c r="U761" i="21"/>
  <c r="U760" i="21"/>
  <c r="U759" i="21"/>
  <c r="U758" i="21"/>
  <c r="U757" i="21"/>
  <c r="U756" i="21"/>
  <c r="U755" i="21"/>
  <c r="U754" i="21"/>
  <c r="U753" i="21"/>
  <c r="U752" i="21"/>
  <c r="U751" i="21"/>
  <c r="U750" i="21"/>
  <c r="U749" i="21"/>
  <c r="U748" i="21"/>
  <c r="U747" i="21"/>
  <c r="U746" i="21"/>
  <c r="U745" i="21"/>
  <c r="U744" i="21"/>
  <c r="U743" i="21"/>
  <c r="U742" i="21"/>
  <c r="U741" i="21"/>
  <c r="U740" i="21"/>
  <c r="U739" i="21"/>
  <c r="U738" i="21"/>
  <c r="U737" i="21"/>
  <c r="U736" i="21"/>
  <c r="U735" i="21"/>
  <c r="U734" i="21"/>
  <c r="U733" i="21"/>
  <c r="U732" i="21"/>
  <c r="U731" i="21"/>
  <c r="U730" i="21"/>
  <c r="U729" i="21"/>
  <c r="U728" i="21"/>
  <c r="U727" i="21"/>
  <c r="U726" i="21"/>
  <c r="U725" i="21"/>
  <c r="U724" i="21"/>
  <c r="U723" i="21"/>
  <c r="U722" i="21"/>
  <c r="U721" i="21"/>
  <c r="U720" i="21"/>
  <c r="U719" i="21"/>
  <c r="U718" i="21"/>
  <c r="U717" i="21"/>
  <c r="U716" i="21"/>
  <c r="U715" i="21"/>
  <c r="U714" i="21"/>
  <c r="U713" i="21"/>
  <c r="U712" i="21"/>
  <c r="U711" i="21"/>
  <c r="U710" i="21"/>
  <c r="U709" i="21"/>
  <c r="U708" i="21"/>
  <c r="U707" i="21"/>
  <c r="U706" i="21"/>
  <c r="U705" i="21"/>
  <c r="U704" i="21"/>
  <c r="U703" i="21"/>
  <c r="U702" i="21"/>
  <c r="U701" i="21"/>
  <c r="U700" i="21"/>
  <c r="U699" i="21"/>
  <c r="U698" i="21"/>
  <c r="U697" i="21"/>
  <c r="U696" i="21"/>
  <c r="U695" i="21"/>
  <c r="U694" i="21"/>
  <c r="U693" i="21"/>
  <c r="U692" i="21"/>
  <c r="U691" i="21"/>
  <c r="U690" i="21"/>
  <c r="U689" i="21"/>
  <c r="U688" i="21"/>
  <c r="U687" i="21"/>
  <c r="U686" i="21"/>
  <c r="U685" i="21"/>
  <c r="U684" i="21"/>
  <c r="U683" i="21"/>
  <c r="U682" i="21"/>
  <c r="U681" i="21"/>
  <c r="U680" i="21"/>
  <c r="U679" i="21"/>
  <c r="U678" i="21"/>
  <c r="U677" i="21"/>
  <c r="U676" i="21"/>
  <c r="U675" i="21"/>
  <c r="U674" i="21"/>
  <c r="U673" i="21"/>
  <c r="U672" i="21"/>
  <c r="U671" i="21"/>
  <c r="U670" i="21"/>
  <c r="U669" i="21"/>
  <c r="U668" i="21"/>
  <c r="U667" i="21"/>
  <c r="U666" i="21"/>
  <c r="U665" i="21"/>
  <c r="U664" i="21"/>
  <c r="U663" i="21"/>
  <c r="U662" i="21"/>
  <c r="U661" i="21"/>
  <c r="U660" i="21"/>
  <c r="U659" i="21"/>
  <c r="U658" i="21"/>
  <c r="U657" i="21"/>
  <c r="U656" i="21"/>
  <c r="U655" i="21"/>
  <c r="U654" i="21"/>
  <c r="U653" i="21"/>
  <c r="U652" i="21"/>
  <c r="U651" i="21"/>
  <c r="U650" i="21"/>
  <c r="U649" i="21"/>
  <c r="U648" i="21"/>
  <c r="U647" i="21"/>
  <c r="U646" i="21"/>
  <c r="U645" i="21"/>
  <c r="U644" i="21"/>
  <c r="U643" i="21"/>
  <c r="U642" i="21"/>
  <c r="U641" i="21"/>
  <c r="U640" i="21"/>
  <c r="U639" i="21"/>
  <c r="U638" i="21"/>
  <c r="U637" i="21"/>
  <c r="U636" i="21"/>
  <c r="U635" i="21"/>
  <c r="U634" i="21"/>
  <c r="U633" i="21"/>
  <c r="U632" i="21"/>
  <c r="U631" i="21"/>
  <c r="U630" i="21"/>
  <c r="U629" i="21"/>
  <c r="U628" i="21"/>
  <c r="U627" i="21"/>
  <c r="U626" i="21"/>
  <c r="U625" i="21"/>
  <c r="U624" i="21"/>
  <c r="U623" i="21"/>
  <c r="U622" i="21"/>
  <c r="U621" i="21"/>
  <c r="U620" i="21"/>
  <c r="U619" i="21"/>
  <c r="U618" i="21"/>
  <c r="U617" i="21"/>
  <c r="U616" i="21"/>
  <c r="U615" i="21"/>
  <c r="U614" i="21"/>
  <c r="U613" i="21"/>
  <c r="U612" i="21"/>
  <c r="U611" i="21"/>
  <c r="U610" i="21"/>
  <c r="U609" i="21"/>
  <c r="U608" i="21"/>
  <c r="U607" i="21"/>
  <c r="U606" i="21"/>
  <c r="U605" i="21"/>
  <c r="U604" i="21"/>
  <c r="U603" i="21"/>
  <c r="U602" i="21"/>
  <c r="U601" i="21"/>
  <c r="U600" i="21"/>
  <c r="U599" i="21"/>
  <c r="U598" i="21"/>
  <c r="U597" i="21"/>
  <c r="U596" i="21"/>
  <c r="U595" i="21"/>
  <c r="U594" i="21"/>
  <c r="U593" i="21"/>
  <c r="U592" i="21"/>
  <c r="U591" i="21"/>
  <c r="U590" i="21"/>
  <c r="U589" i="21"/>
  <c r="U588" i="21"/>
  <c r="U587" i="21"/>
  <c r="U586" i="21"/>
  <c r="U585" i="21"/>
  <c r="U584" i="21"/>
  <c r="U583" i="21"/>
  <c r="U582" i="21"/>
  <c r="U581" i="21"/>
  <c r="U580" i="21"/>
  <c r="U579" i="21"/>
  <c r="U578" i="21"/>
  <c r="U577" i="21"/>
  <c r="U576" i="21"/>
  <c r="U575" i="21"/>
  <c r="U574" i="21"/>
  <c r="U573" i="21"/>
  <c r="U572" i="21"/>
  <c r="U571" i="21"/>
  <c r="U570" i="21"/>
  <c r="U569" i="21"/>
  <c r="U568" i="21"/>
  <c r="U567" i="21"/>
  <c r="U566" i="21"/>
  <c r="U565" i="21"/>
  <c r="U564" i="21"/>
  <c r="U563" i="21"/>
  <c r="U562" i="21"/>
  <c r="U561" i="21"/>
  <c r="U560" i="21"/>
  <c r="U559" i="21"/>
  <c r="U558" i="21"/>
  <c r="U557" i="21"/>
  <c r="U556" i="21"/>
  <c r="U555" i="21"/>
  <c r="U554" i="21"/>
  <c r="U553" i="21"/>
  <c r="U552" i="21"/>
  <c r="U551" i="21"/>
  <c r="U550" i="21"/>
  <c r="U549" i="21"/>
  <c r="U548" i="21"/>
  <c r="U547" i="21"/>
  <c r="U546" i="21"/>
  <c r="U545" i="21"/>
  <c r="U544" i="21"/>
  <c r="U543" i="21"/>
  <c r="U542" i="21"/>
  <c r="U541" i="21"/>
  <c r="U540" i="21"/>
  <c r="U539" i="21"/>
  <c r="U538" i="21"/>
  <c r="U537" i="21"/>
  <c r="U536" i="21"/>
  <c r="U535" i="21"/>
  <c r="U534" i="21"/>
  <c r="U533" i="21"/>
  <c r="U532" i="21"/>
  <c r="U531" i="21"/>
  <c r="U530" i="21"/>
  <c r="U529" i="21"/>
  <c r="U528" i="21"/>
  <c r="U527" i="21"/>
  <c r="U526" i="21"/>
  <c r="U525" i="21"/>
  <c r="U524" i="21"/>
  <c r="U523" i="21"/>
  <c r="U522" i="21"/>
  <c r="U521" i="21"/>
  <c r="U520" i="21"/>
  <c r="U519" i="21"/>
  <c r="U518" i="21"/>
  <c r="U517" i="21"/>
  <c r="U516" i="21"/>
  <c r="U515" i="21"/>
  <c r="U514" i="21"/>
  <c r="U513" i="21"/>
  <c r="U512" i="21"/>
  <c r="U511" i="21"/>
  <c r="U510" i="21"/>
  <c r="U509" i="21"/>
  <c r="U508" i="21"/>
  <c r="U507" i="21"/>
  <c r="U506" i="21"/>
  <c r="U505" i="21"/>
  <c r="U504" i="21"/>
  <c r="U503" i="21"/>
  <c r="U502" i="21"/>
  <c r="U501" i="21"/>
  <c r="U500" i="21"/>
  <c r="U499" i="21"/>
  <c r="U498" i="21"/>
  <c r="U497" i="21"/>
  <c r="U496" i="21"/>
  <c r="U495" i="21"/>
  <c r="U494" i="21"/>
  <c r="U493" i="21"/>
  <c r="U492" i="21"/>
  <c r="U491" i="21"/>
  <c r="U490" i="21"/>
  <c r="U489" i="21"/>
  <c r="U488" i="21"/>
  <c r="U487" i="21"/>
  <c r="U486" i="21"/>
  <c r="U485" i="21"/>
  <c r="U484" i="21"/>
  <c r="U483" i="21"/>
  <c r="U482" i="21"/>
  <c r="U481" i="21"/>
  <c r="U480" i="21"/>
  <c r="U479" i="21"/>
  <c r="U478" i="21"/>
  <c r="U477" i="21"/>
  <c r="U476" i="21"/>
  <c r="U475" i="21"/>
  <c r="U474" i="21"/>
  <c r="U473" i="21"/>
  <c r="U472" i="21"/>
  <c r="U471" i="21"/>
  <c r="U470" i="21"/>
  <c r="U469" i="21"/>
  <c r="U468" i="21"/>
  <c r="U467" i="21"/>
  <c r="U466" i="21"/>
  <c r="U465" i="21"/>
  <c r="U464" i="21"/>
  <c r="U463" i="21"/>
  <c r="U462" i="21"/>
  <c r="U461" i="21"/>
  <c r="U460" i="21"/>
  <c r="U459" i="21"/>
  <c r="U458" i="21"/>
  <c r="U457" i="21"/>
  <c r="U456" i="21"/>
  <c r="U455" i="21"/>
  <c r="U454" i="21"/>
  <c r="U453" i="21"/>
  <c r="U452" i="21"/>
  <c r="U451" i="21"/>
  <c r="U450" i="21"/>
  <c r="U449" i="21"/>
  <c r="U448" i="21"/>
  <c r="U447" i="21"/>
  <c r="U446" i="21"/>
  <c r="U445" i="21"/>
  <c r="U444" i="21"/>
  <c r="U443" i="21"/>
  <c r="U442" i="21"/>
  <c r="U441" i="21"/>
  <c r="U440" i="21"/>
  <c r="U439" i="21"/>
  <c r="U438" i="21"/>
  <c r="U437" i="21"/>
  <c r="U436" i="21"/>
  <c r="U435" i="21"/>
  <c r="U434" i="21"/>
  <c r="U433" i="21"/>
  <c r="U432" i="21"/>
  <c r="U431" i="21"/>
  <c r="U430" i="21"/>
  <c r="U429" i="21"/>
  <c r="U428" i="21"/>
  <c r="U427" i="21"/>
  <c r="U426" i="21"/>
  <c r="U425" i="21"/>
  <c r="U424" i="21"/>
  <c r="U423" i="21"/>
  <c r="U422" i="21"/>
  <c r="U421" i="21"/>
  <c r="U420" i="21"/>
  <c r="U419" i="21"/>
  <c r="U418" i="21"/>
  <c r="U417" i="21"/>
  <c r="U416" i="21"/>
  <c r="U415" i="21"/>
  <c r="U414" i="21"/>
  <c r="U413" i="21"/>
  <c r="U412" i="21"/>
  <c r="U411" i="21"/>
  <c r="U410" i="21"/>
  <c r="U409" i="21"/>
  <c r="U408" i="21"/>
  <c r="U407" i="21"/>
  <c r="U406" i="21"/>
  <c r="U405" i="21"/>
  <c r="U404" i="21"/>
  <c r="U403" i="21"/>
  <c r="U402" i="21"/>
  <c r="U401" i="21"/>
  <c r="U400" i="21"/>
  <c r="U399" i="21"/>
  <c r="U398" i="21"/>
  <c r="U397" i="21"/>
  <c r="U396" i="21"/>
  <c r="U395" i="21"/>
  <c r="U394" i="21"/>
  <c r="U393" i="21"/>
  <c r="U392" i="21"/>
  <c r="U391" i="21"/>
  <c r="U390" i="21"/>
  <c r="U389" i="21"/>
  <c r="U388" i="21"/>
  <c r="U387" i="21"/>
  <c r="U386" i="21"/>
  <c r="U385" i="21"/>
  <c r="U384" i="21"/>
  <c r="U383" i="21"/>
  <c r="U382" i="21"/>
  <c r="U381" i="21"/>
  <c r="U380" i="21"/>
  <c r="U379" i="21"/>
  <c r="U378" i="21"/>
  <c r="U377" i="21"/>
  <c r="U376" i="21"/>
  <c r="U375" i="21"/>
  <c r="U374" i="21"/>
  <c r="U373" i="21"/>
  <c r="U372" i="21"/>
  <c r="U371" i="21"/>
  <c r="U370" i="21"/>
  <c r="U369" i="21"/>
  <c r="U368" i="21"/>
  <c r="U367" i="21"/>
  <c r="U366" i="21"/>
  <c r="U365" i="21"/>
  <c r="U364" i="21"/>
  <c r="U363" i="21"/>
  <c r="U362" i="21"/>
  <c r="U361" i="21"/>
  <c r="U360" i="21"/>
  <c r="U359" i="21"/>
  <c r="U358" i="21"/>
  <c r="U357" i="21"/>
  <c r="U356" i="21"/>
  <c r="U355" i="21"/>
  <c r="U354" i="21"/>
  <c r="U353" i="21"/>
  <c r="U352" i="21"/>
  <c r="U351" i="21"/>
  <c r="U350" i="21"/>
  <c r="U349" i="21"/>
  <c r="U348" i="21"/>
  <c r="U347" i="21"/>
  <c r="U346" i="21"/>
  <c r="U345" i="21"/>
  <c r="U344" i="21"/>
  <c r="U343" i="21"/>
  <c r="U342" i="21"/>
  <c r="U341" i="21"/>
  <c r="U340" i="21"/>
  <c r="U339" i="21"/>
  <c r="U338" i="21"/>
  <c r="U337" i="21"/>
  <c r="U336" i="21"/>
  <c r="U335" i="21"/>
  <c r="U334" i="21"/>
  <c r="U333" i="21"/>
  <c r="U332" i="21"/>
  <c r="U331" i="21"/>
  <c r="U330" i="21"/>
  <c r="U329" i="21"/>
  <c r="U328" i="21"/>
  <c r="U327" i="21"/>
  <c r="U326" i="21"/>
  <c r="U325" i="21"/>
  <c r="U324" i="21"/>
  <c r="U323" i="21"/>
  <c r="U322" i="21"/>
  <c r="U321" i="21"/>
  <c r="U320" i="21"/>
  <c r="U319" i="21"/>
  <c r="U318" i="21"/>
  <c r="U317" i="21"/>
  <c r="U316" i="21"/>
  <c r="U315" i="21"/>
  <c r="U314" i="21"/>
  <c r="U313" i="21"/>
  <c r="U312" i="21"/>
  <c r="U311" i="21"/>
  <c r="U310" i="21"/>
  <c r="U309" i="21"/>
  <c r="U308" i="21"/>
  <c r="U307" i="21"/>
  <c r="U306" i="21"/>
  <c r="U305" i="21"/>
  <c r="U304" i="21"/>
  <c r="U303" i="21"/>
  <c r="U302" i="21"/>
  <c r="U301" i="21"/>
  <c r="U300" i="21"/>
  <c r="U299" i="21"/>
  <c r="U298" i="21"/>
  <c r="U297" i="21"/>
  <c r="U296" i="21"/>
  <c r="U295" i="21"/>
  <c r="U294" i="21"/>
  <c r="U293" i="21"/>
  <c r="U292" i="21"/>
  <c r="U291" i="21"/>
  <c r="U290" i="21"/>
  <c r="U289" i="21"/>
  <c r="U288" i="21"/>
  <c r="U287" i="21"/>
  <c r="U286" i="21"/>
  <c r="U285" i="21"/>
  <c r="U284" i="21"/>
  <c r="U283" i="21"/>
  <c r="U282" i="21"/>
  <c r="U281" i="21"/>
  <c r="U280" i="21"/>
  <c r="U279" i="21"/>
  <c r="U278" i="21"/>
  <c r="U277" i="21"/>
  <c r="U276" i="21"/>
  <c r="U275" i="21"/>
  <c r="U274" i="21"/>
  <c r="U273" i="21"/>
  <c r="U272" i="21"/>
  <c r="U271" i="21"/>
  <c r="U270" i="21"/>
  <c r="U269" i="21"/>
  <c r="U268" i="21"/>
  <c r="U267" i="21"/>
  <c r="U266" i="21"/>
  <c r="U265" i="21"/>
  <c r="U264" i="21"/>
  <c r="U263" i="21"/>
  <c r="U262" i="21"/>
  <c r="U261" i="21"/>
  <c r="U260" i="21"/>
  <c r="U259" i="21"/>
  <c r="U258" i="21"/>
  <c r="U257" i="21"/>
  <c r="U256" i="21"/>
  <c r="U255" i="21"/>
  <c r="U254" i="21"/>
  <c r="U253" i="21"/>
  <c r="U252" i="21"/>
  <c r="U251" i="21"/>
  <c r="U250" i="21"/>
  <c r="U249" i="21"/>
  <c r="U248" i="21"/>
  <c r="U247" i="21"/>
  <c r="U246" i="21"/>
  <c r="U245" i="21"/>
  <c r="U244" i="21"/>
  <c r="U243" i="21"/>
  <c r="U242" i="21"/>
  <c r="U241" i="21"/>
  <c r="U240" i="21"/>
  <c r="U239" i="21"/>
  <c r="U238" i="21"/>
  <c r="U237" i="21"/>
  <c r="U236" i="21"/>
  <c r="U235" i="21"/>
  <c r="U234" i="21"/>
  <c r="U233" i="21"/>
  <c r="U232" i="21"/>
  <c r="U231" i="21"/>
  <c r="U230" i="21"/>
  <c r="U229" i="21"/>
  <c r="U228" i="21"/>
  <c r="U227" i="21"/>
  <c r="U226" i="21"/>
  <c r="U225" i="21"/>
  <c r="U224" i="21"/>
  <c r="U223" i="21"/>
  <c r="U222" i="21"/>
  <c r="U221" i="21"/>
  <c r="U220" i="21"/>
  <c r="U219" i="21"/>
  <c r="U218" i="21"/>
  <c r="U217" i="21"/>
  <c r="U216" i="21"/>
  <c r="U215" i="21"/>
  <c r="U214" i="21"/>
  <c r="U213" i="21"/>
  <c r="U212" i="21"/>
  <c r="U211" i="21"/>
  <c r="U210" i="21"/>
  <c r="U209" i="21"/>
  <c r="U208" i="21"/>
  <c r="U207" i="21"/>
  <c r="U206" i="21"/>
  <c r="U205" i="21"/>
  <c r="U204" i="21"/>
  <c r="U203" i="21"/>
  <c r="U202" i="21"/>
  <c r="U201" i="21"/>
  <c r="U200" i="21"/>
  <c r="U199" i="21"/>
  <c r="U198" i="21"/>
  <c r="U197" i="21"/>
  <c r="U196" i="21"/>
  <c r="U195" i="21"/>
  <c r="U194" i="21"/>
  <c r="U193" i="21"/>
  <c r="U192" i="21"/>
  <c r="U191" i="21"/>
  <c r="U190" i="21"/>
  <c r="U189" i="21"/>
  <c r="U188" i="21"/>
  <c r="U187" i="21"/>
  <c r="U186" i="21"/>
  <c r="U185" i="21"/>
  <c r="U184" i="21"/>
  <c r="U183" i="21"/>
  <c r="U182" i="21"/>
  <c r="U181" i="21"/>
  <c r="U180" i="21"/>
  <c r="U179" i="21"/>
  <c r="U178" i="21"/>
  <c r="U177" i="21"/>
  <c r="U176" i="21"/>
  <c r="U175" i="21"/>
  <c r="U174" i="21"/>
  <c r="U173" i="21"/>
  <c r="U172" i="21"/>
  <c r="U171" i="21"/>
  <c r="U170" i="21"/>
  <c r="U169" i="21"/>
  <c r="U168" i="21"/>
  <c r="U167" i="21"/>
  <c r="U166" i="21"/>
  <c r="U165" i="21"/>
  <c r="U164" i="21"/>
  <c r="U163" i="21"/>
  <c r="U162" i="21"/>
  <c r="U161" i="21"/>
  <c r="U160" i="2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2" i="21"/>
  <c r="U141" i="21"/>
  <c r="U140" i="21"/>
  <c r="U139" i="21"/>
  <c r="U138" i="21"/>
  <c r="U137" i="21"/>
  <c r="U136" i="21"/>
  <c r="U135" i="21"/>
  <c r="U134" i="21"/>
  <c r="U133" i="21"/>
  <c r="U132" i="21"/>
  <c r="U131" i="21"/>
  <c r="U130" i="21"/>
  <c r="U129" i="21"/>
  <c r="U128" i="21"/>
  <c r="U127" i="21"/>
  <c r="U126" i="21"/>
  <c r="U125" i="21"/>
  <c r="U124" i="21"/>
  <c r="U123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9" i="21"/>
  <c r="U108" i="21"/>
  <c r="U107" i="21"/>
  <c r="U106" i="21"/>
  <c r="U105" i="21"/>
  <c r="U104" i="21"/>
  <c r="U103" i="21"/>
  <c r="U102" i="21"/>
  <c r="U101" i="21"/>
  <c r="U100" i="21"/>
  <c r="U99" i="21"/>
  <c r="U98" i="21"/>
  <c r="U97" i="21"/>
  <c r="U96" i="21"/>
  <c r="U95" i="21"/>
  <c r="U94" i="21"/>
  <c r="U93" i="21"/>
  <c r="U92" i="21"/>
  <c r="U91" i="21"/>
  <c r="U90" i="21"/>
  <c r="U89" i="21"/>
  <c r="U88" i="21"/>
  <c r="U87" i="21"/>
  <c r="U86" i="21"/>
  <c r="U85" i="21"/>
  <c r="U84" i="21"/>
  <c r="U83" i="21"/>
  <c r="U82" i="21"/>
  <c r="U81" i="21"/>
  <c r="U80" i="21"/>
  <c r="U79" i="21"/>
  <c r="U78" i="21"/>
  <c r="U77" i="21"/>
  <c r="U76" i="21"/>
  <c r="U75" i="21"/>
  <c r="U74" i="21"/>
  <c r="U73" i="21"/>
  <c r="U72" i="21"/>
  <c r="U71" i="21"/>
  <c r="U70" i="21"/>
  <c r="U69" i="21"/>
  <c r="U68" i="21"/>
  <c r="U67" i="21"/>
  <c r="U66" i="21"/>
  <c r="U65" i="21"/>
  <c r="U64" i="21"/>
  <c r="U63" i="21"/>
  <c r="U62" i="21"/>
  <c r="U61" i="21"/>
  <c r="U60" i="21"/>
  <c r="U59" i="21"/>
  <c r="U58" i="21"/>
  <c r="U57" i="21"/>
  <c r="U56" i="21"/>
  <c r="U55" i="21"/>
  <c r="U54" i="21"/>
  <c r="U53" i="21"/>
  <c r="U52" i="21"/>
  <c r="U51" i="21"/>
  <c r="U50" i="21"/>
  <c r="U49" i="21"/>
  <c r="U48" i="21"/>
  <c r="U47" i="21"/>
  <c r="U46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33" i="21"/>
  <c r="U32" i="21"/>
  <c r="U31" i="21"/>
  <c r="U30" i="21"/>
  <c r="U29" i="21"/>
  <c r="U28" i="21"/>
  <c r="U27" i="21"/>
  <c r="U26" i="21"/>
  <c r="U25" i="21"/>
  <c r="U24" i="21"/>
  <c r="U23" i="21"/>
  <c r="U22" i="21"/>
  <c r="U21" i="21"/>
  <c r="U20" i="21"/>
  <c r="U19" i="21"/>
  <c r="U18" i="21"/>
  <c r="U17" i="21"/>
  <c r="U16" i="21"/>
  <c r="U15" i="21"/>
  <c r="U14" i="21"/>
  <c r="U13" i="21"/>
  <c r="U12" i="21"/>
  <c r="U11" i="21"/>
  <c r="U10" i="21"/>
  <c r="U9" i="21"/>
  <c r="U8" i="21"/>
  <c r="U6" i="21"/>
  <c r="J248" i="21"/>
  <c r="K809" i="21"/>
  <c r="J809" i="21"/>
  <c r="I809" i="21"/>
  <c r="H809" i="21"/>
  <c r="K808" i="21"/>
  <c r="J808" i="21"/>
  <c r="I808" i="21"/>
  <c r="H808" i="21"/>
  <c r="K807" i="21"/>
  <c r="J807" i="21"/>
  <c r="I807" i="21"/>
  <c r="H807" i="21"/>
  <c r="K806" i="21"/>
  <c r="J806" i="21"/>
  <c r="I806" i="21"/>
  <c r="H806" i="21"/>
  <c r="K805" i="21"/>
  <c r="J805" i="21"/>
  <c r="I805" i="21"/>
  <c r="H805" i="21"/>
  <c r="K804" i="21"/>
  <c r="J804" i="21"/>
  <c r="I804" i="21"/>
  <c r="H804" i="21"/>
  <c r="K803" i="21"/>
  <c r="J803" i="21"/>
  <c r="I803" i="21"/>
  <c r="H803" i="21"/>
  <c r="K802" i="21"/>
  <c r="J802" i="21"/>
  <c r="I802" i="21"/>
  <c r="H802" i="21"/>
  <c r="K801" i="21"/>
  <c r="J801" i="21"/>
  <c r="I801" i="21"/>
  <c r="H801" i="21"/>
  <c r="K800" i="21"/>
  <c r="J800" i="21"/>
  <c r="I800" i="21"/>
  <c r="H800" i="21"/>
  <c r="K799" i="21"/>
  <c r="J799" i="21"/>
  <c r="I799" i="21"/>
  <c r="H799" i="21"/>
  <c r="K798" i="21"/>
  <c r="J798" i="21"/>
  <c r="I798" i="21"/>
  <c r="H798" i="21"/>
  <c r="K797" i="21"/>
  <c r="J797" i="21"/>
  <c r="I797" i="21"/>
  <c r="H797" i="21"/>
  <c r="K796" i="21"/>
  <c r="J796" i="21"/>
  <c r="I796" i="21"/>
  <c r="H796" i="21"/>
  <c r="K795" i="21"/>
  <c r="J795" i="21"/>
  <c r="I795" i="21"/>
  <c r="H795" i="21"/>
  <c r="K794" i="21"/>
  <c r="J794" i="21"/>
  <c r="I794" i="21"/>
  <c r="H794" i="21"/>
  <c r="K793" i="21"/>
  <c r="J793" i="21"/>
  <c r="I793" i="21"/>
  <c r="H793" i="21"/>
  <c r="K792" i="21"/>
  <c r="J792" i="21"/>
  <c r="I792" i="21"/>
  <c r="H792" i="21"/>
  <c r="K791" i="21"/>
  <c r="J791" i="21"/>
  <c r="I791" i="21"/>
  <c r="H791" i="21"/>
  <c r="K790" i="21"/>
  <c r="J790" i="21"/>
  <c r="I790" i="21"/>
  <c r="H790" i="21"/>
  <c r="K789" i="21"/>
  <c r="J789" i="21"/>
  <c r="I789" i="21"/>
  <c r="H789" i="21"/>
  <c r="K788" i="21"/>
  <c r="J788" i="21"/>
  <c r="I788" i="21"/>
  <c r="H788" i="21"/>
  <c r="K787" i="21"/>
  <c r="J787" i="21"/>
  <c r="I787" i="21"/>
  <c r="H787" i="21"/>
  <c r="K786" i="21"/>
  <c r="J786" i="21"/>
  <c r="I786" i="21"/>
  <c r="H786" i="21"/>
  <c r="K785" i="21"/>
  <c r="J785" i="21"/>
  <c r="I785" i="21"/>
  <c r="H785" i="21"/>
  <c r="K784" i="21"/>
  <c r="J784" i="21"/>
  <c r="I784" i="21"/>
  <c r="H784" i="21"/>
  <c r="K783" i="21"/>
  <c r="J783" i="21"/>
  <c r="I783" i="21"/>
  <c r="H783" i="21"/>
  <c r="K782" i="21"/>
  <c r="J782" i="21"/>
  <c r="I782" i="21"/>
  <c r="H782" i="21"/>
  <c r="K781" i="21"/>
  <c r="J781" i="21"/>
  <c r="I781" i="21"/>
  <c r="H781" i="21"/>
  <c r="K780" i="21"/>
  <c r="J780" i="21"/>
  <c r="I780" i="21"/>
  <c r="H780" i="21"/>
  <c r="K779" i="21"/>
  <c r="J779" i="21"/>
  <c r="I779" i="21"/>
  <c r="H779" i="21"/>
  <c r="K778" i="21"/>
  <c r="J778" i="21"/>
  <c r="I778" i="21"/>
  <c r="H778" i="21"/>
  <c r="K777" i="21"/>
  <c r="J777" i="21"/>
  <c r="I777" i="21"/>
  <c r="H777" i="21"/>
  <c r="K776" i="21"/>
  <c r="J776" i="21"/>
  <c r="I776" i="21"/>
  <c r="H776" i="21"/>
  <c r="K775" i="21"/>
  <c r="J775" i="21"/>
  <c r="I775" i="21"/>
  <c r="H775" i="21"/>
  <c r="K774" i="21"/>
  <c r="J774" i="21"/>
  <c r="I774" i="21"/>
  <c r="H774" i="21"/>
  <c r="K773" i="21"/>
  <c r="J773" i="21"/>
  <c r="I773" i="21"/>
  <c r="H773" i="21"/>
  <c r="K772" i="21"/>
  <c r="J772" i="21"/>
  <c r="I772" i="21"/>
  <c r="H772" i="21"/>
  <c r="K771" i="21"/>
  <c r="J771" i="21"/>
  <c r="I771" i="21"/>
  <c r="H771" i="21"/>
  <c r="K770" i="21"/>
  <c r="J770" i="21"/>
  <c r="I770" i="21"/>
  <c r="H770" i="21"/>
  <c r="K769" i="21"/>
  <c r="J769" i="21"/>
  <c r="I769" i="21"/>
  <c r="H769" i="21"/>
  <c r="K768" i="21"/>
  <c r="J768" i="21"/>
  <c r="I768" i="21"/>
  <c r="H768" i="21"/>
  <c r="K767" i="21"/>
  <c r="J767" i="21"/>
  <c r="I767" i="21"/>
  <c r="H767" i="21"/>
  <c r="K766" i="21"/>
  <c r="J766" i="21"/>
  <c r="I766" i="21"/>
  <c r="H766" i="21"/>
  <c r="K765" i="21"/>
  <c r="J765" i="21"/>
  <c r="I765" i="21"/>
  <c r="H765" i="21"/>
  <c r="K764" i="21"/>
  <c r="J764" i="21"/>
  <c r="I764" i="21"/>
  <c r="H764" i="21"/>
  <c r="K763" i="21"/>
  <c r="J763" i="21"/>
  <c r="I763" i="21"/>
  <c r="H763" i="21"/>
  <c r="K762" i="21"/>
  <c r="J762" i="21"/>
  <c r="I762" i="21"/>
  <c r="H762" i="21"/>
  <c r="K761" i="21"/>
  <c r="J761" i="21"/>
  <c r="I761" i="21"/>
  <c r="H761" i="21"/>
  <c r="K760" i="21"/>
  <c r="J760" i="21"/>
  <c r="I760" i="21"/>
  <c r="H760" i="21"/>
  <c r="K759" i="21"/>
  <c r="J759" i="21"/>
  <c r="I759" i="21"/>
  <c r="H759" i="21"/>
  <c r="K758" i="21"/>
  <c r="J758" i="21"/>
  <c r="I758" i="21"/>
  <c r="H758" i="21"/>
  <c r="K757" i="21"/>
  <c r="J757" i="21"/>
  <c r="I757" i="21"/>
  <c r="H757" i="21"/>
  <c r="K756" i="21"/>
  <c r="J756" i="21"/>
  <c r="I756" i="21"/>
  <c r="H756" i="21"/>
  <c r="K755" i="21"/>
  <c r="J755" i="21"/>
  <c r="I755" i="21"/>
  <c r="H755" i="21"/>
  <c r="K754" i="21"/>
  <c r="J754" i="21"/>
  <c r="I754" i="21"/>
  <c r="H754" i="21"/>
  <c r="K753" i="21"/>
  <c r="J753" i="21"/>
  <c r="I753" i="21"/>
  <c r="H753" i="21"/>
  <c r="K752" i="21"/>
  <c r="J752" i="21"/>
  <c r="I752" i="21"/>
  <c r="H752" i="21"/>
  <c r="K751" i="21"/>
  <c r="J751" i="21"/>
  <c r="I751" i="21"/>
  <c r="H751" i="21"/>
  <c r="K750" i="21"/>
  <c r="J750" i="21"/>
  <c r="I750" i="21"/>
  <c r="H750" i="21"/>
  <c r="K749" i="21"/>
  <c r="J749" i="21"/>
  <c r="I749" i="21"/>
  <c r="H749" i="21"/>
  <c r="K748" i="21"/>
  <c r="J748" i="21"/>
  <c r="I748" i="21"/>
  <c r="H748" i="21"/>
  <c r="K747" i="21"/>
  <c r="J747" i="21"/>
  <c r="I747" i="21"/>
  <c r="H747" i="21"/>
  <c r="K746" i="21"/>
  <c r="J746" i="21"/>
  <c r="I746" i="21"/>
  <c r="H746" i="21"/>
  <c r="K745" i="21"/>
  <c r="J745" i="21"/>
  <c r="I745" i="21"/>
  <c r="H745" i="21"/>
  <c r="K744" i="21"/>
  <c r="J744" i="21"/>
  <c r="I744" i="21"/>
  <c r="H744" i="21"/>
  <c r="K743" i="21"/>
  <c r="J743" i="21"/>
  <c r="I743" i="21"/>
  <c r="H743" i="21"/>
  <c r="K742" i="21"/>
  <c r="J742" i="21"/>
  <c r="I742" i="21"/>
  <c r="H742" i="21"/>
  <c r="K741" i="21"/>
  <c r="J741" i="21"/>
  <c r="I741" i="21"/>
  <c r="H741" i="21"/>
  <c r="K740" i="21"/>
  <c r="J740" i="21"/>
  <c r="I740" i="21"/>
  <c r="H740" i="21"/>
  <c r="K739" i="21"/>
  <c r="J739" i="21"/>
  <c r="I739" i="21"/>
  <c r="H739" i="21"/>
  <c r="K738" i="21"/>
  <c r="J738" i="21"/>
  <c r="I738" i="21"/>
  <c r="H738" i="21"/>
  <c r="K737" i="21"/>
  <c r="J737" i="21"/>
  <c r="I737" i="21"/>
  <c r="H737" i="21"/>
  <c r="K736" i="21"/>
  <c r="J736" i="21"/>
  <c r="I736" i="21"/>
  <c r="H736" i="21"/>
  <c r="K735" i="21"/>
  <c r="J735" i="21"/>
  <c r="I735" i="21"/>
  <c r="H735" i="21"/>
  <c r="K734" i="21"/>
  <c r="J734" i="21"/>
  <c r="I734" i="21"/>
  <c r="H734" i="21"/>
  <c r="K733" i="21"/>
  <c r="J733" i="21"/>
  <c r="I733" i="21"/>
  <c r="H733" i="21"/>
  <c r="K732" i="21"/>
  <c r="J732" i="21"/>
  <c r="I732" i="21"/>
  <c r="H732" i="21"/>
  <c r="K731" i="21"/>
  <c r="J731" i="21"/>
  <c r="I731" i="21"/>
  <c r="H731" i="21"/>
  <c r="K730" i="21"/>
  <c r="J730" i="21"/>
  <c r="I730" i="21"/>
  <c r="H730" i="21"/>
  <c r="K729" i="21"/>
  <c r="J729" i="21"/>
  <c r="I729" i="21"/>
  <c r="H729" i="21"/>
  <c r="K728" i="21"/>
  <c r="J728" i="21"/>
  <c r="I728" i="21"/>
  <c r="H728" i="21"/>
  <c r="K727" i="21"/>
  <c r="J727" i="21"/>
  <c r="I727" i="21"/>
  <c r="H727" i="21"/>
  <c r="K726" i="21"/>
  <c r="J726" i="21"/>
  <c r="I726" i="21"/>
  <c r="H726" i="21"/>
  <c r="K725" i="21"/>
  <c r="J725" i="21"/>
  <c r="I725" i="21"/>
  <c r="H725" i="21"/>
  <c r="K724" i="21"/>
  <c r="J724" i="21"/>
  <c r="I724" i="21"/>
  <c r="H724" i="21"/>
  <c r="K723" i="21"/>
  <c r="J723" i="21"/>
  <c r="I723" i="21"/>
  <c r="H723" i="21"/>
  <c r="K722" i="21"/>
  <c r="J722" i="21"/>
  <c r="I722" i="21"/>
  <c r="H722" i="21"/>
  <c r="K721" i="21"/>
  <c r="J721" i="21"/>
  <c r="I721" i="21"/>
  <c r="H721" i="21"/>
  <c r="K720" i="21"/>
  <c r="J720" i="21"/>
  <c r="I720" i="21"/>
  <c r="H720" i="21"/>
  <c r="K719" i="21"/>
  <c r="J719" i="21"/>
  <c r="I719" i="21"/>
  <c r="H719" i="21"/>
  <c r="K718" i="21"/>
  <c r="J718" i="21"/>
  <c r="I718" i="21"/>
  <c r="H718" i="21"/>
  <c r="K717" i="21"/>
  <c r="J717" i="21"/>
  <c r="I717" i="21"/>
  <c r="H717" i="21"/>
  <c r="K716" i="21"/>
  <c r="J716" i="21"/>
  <c r="I716" i="21"/>
  <c r="H716" i="21"/>
  <c r="K715" i="21"/>
  <c r="J715" i="21"/>
  <c r="I715" i="21"/>
  <c r="H715" i="21"/>
  <c r="K714" i="21"/>
  <c r="J714" i="21"/>
  <c r="I714" i="21"/>
  <c r="H714" i="21"/>
  <c r="K713" i="21"/>
  <c r="J713" i="21"/>
  <c r="I713" i="21"/>
  <c r="H713" i="21"/>
  <c r="K712" i="21"/>
  <c r="J712" i="21"/>
  <c r="I712" i="21"/>
  <c r="H712" i="21"/>
  <c r="K711" i="21"/>
  <c r="J711" i="21"/>
  <c r="I711" i="21"/>
  <c r="H711" i="21"/>
  <c r="K710" i="21"/>
  <c r="J710" i="21"/>
  <c r="I710" i="21"/>
  <c r="H710" i="21"/>
  <c r="K709" i="21"/>
  <c r="J709" i="21"/>
  <c r="I709" i="21"/>
  <c r="H709" i="21"/>
  <c r="K708" i="21"/>
  <c r="J708" i="21"/>
  <c r="I708" i="21"/>
  <c r="H708" i="21"/>
  <c r="K707" i="21"/>
  <c r="J707" i="21"/>
  <c r="I707" i="21"/>
  <c r="H707" i="21"/>
  <c r="K706" i="21"/>
  <c r="J706" i="21"/>
  <c r="I706" i="21"/>
  <c r="H706" i="21"/>
  <c r="K705" i="21"/>
  <c r="J705" i="21"/>
  <c r="I705" i="21"/>
  <c r="H705" i="21"/>
  <c r="K704" i="21"/>
  <c r="J704" i="21"/>
  <c r="I704" i="21"/>
  <c r="H704" i="21"/>
  <c r="K703" i="21"/>
  <c r="J703" i="21"/>
  <c r="I703" i="21"/>
  <c r="H703" i="21"/>
  <c r="K702" i="21"/>
  <c r="J702" i="21"/>
  <c r="I702" i="21"/>
  <c r="H702" i="21"/>
  <c r="K701" i="21"/>
  <c r="J701" i="21"/>
  <c r="I701" i="21"/>
  <c r="H701" i="21"/>
  <c r="K700" i="21"/>
  <c r="J700" i="21"/>
  <c r="I700" i="21"/>
  <c r="H700" i="21"/>
  <c r="K699" i="21"/>
  <c r="J699" i="21"/>
  <c r="I699" i="21"/>
  <c r="H699" i="21"/>
  <c r="K698" i="21"/>
  <c r="J698" i="21"/>
  <c r="I698" i="21"/>
  <c r="H698" i="21"/>
  <c r="K697" i="21"/>
  <c r="J697" i="21"/>
  <c r="I697" i="21"/>
  <c r="H697" i="21"/>
  <c r="K696" i="21"/>
  <c r="J696" i="21"/>
  <c r="I696" i="21"/>
  <c r="H696" i="21"/>
  <c r="K695" i="21"/>
  <c r="J695" i="21"/>
  <c r="I695" i="21"/>
  <c r="H695" i="21"/>
  <c r="K694" i="21"/>
  <c r="J694" i="21"/>
  <c r="I694" i="21"/>
  <c r="H694" i="21"/>
  <c r="K693" i="21"/>
  <c r="J693" i="21"/>
  <c r="I693" i="21"/>
  <c r="H693" i="21"/>
  <c r="K692" i="21"/>
  <c r="J692" i="21"/>
  <c r="I692" i="21"/>
  <c r="H692" i="21"/>
  <c r="K691" i="21"/>
  <c r="J691" i="21"/>
  <c r="I691" i="21"/>
  <c r="H691" i="21"/>
  <c r="K690" i="21"/>
  <c r="J690" i="21"/>
  <c r="I690" i="21"/>
  <c r="H690" i="21"/>
  <c r="K689" i="21"/>
  <c r="J689" i="21"/>
  <c r="I689" i="21"/>
  <c r="H689" i="21"/>
  <c r="K688" i="21"/>
  <c r="J688" i="21"/>
  <c r="I688" i="21"/>
  <c r="H688" i="21"/>
  <c r="K687" i="21"/>
  <c r="J687" i="21"/>
  <c r="I687" i="21"/>
  <c r="H687" i="21"/>
  <c r="K686" i="21"/>
  <c r="J686" i="21"/>
  <c r="I686" i="21"/>
  <c r="H686" i="21"/>
  <c r="K685" i="21"/>
  <c r="J685" i="21"/>
  <c r="I685" i="21"/>
  <c r="H685" i="21"/>
  <c r="K684" i="21"/>
  <c r="J684" i="21"/>
  <c r="I684" i="21"/>
  <c r="H684" i="21"/>
  <c r="K683" i="21"/>
  <c r="J683" i="21"/>
  <c r="I683" i="21"/>
  <c r="H683" i="21"/>
  <c r="K682" i="21"/>
  <c r="J682" i="21"/>
  <c r="I682" i="21"/>
  <c r="H682" i="21"/>
  <c r="K681" i="21"/>
  <c r="J681" i="21"/>
  <c r="I681" i="21"/>
  <c r="H681" i="21"/>
  <c r="K680" i="21"/>
  <c r="J680" i="21"/>
  <c r="I680" i="21"/>
  <c r="H680" i="21"/>
  <c r="K679" i="21"/>
  <c r="J679" i="21"/>
  <c r="I679" i="21"/>
  <c r="H679" i="21"/>
  <c r="K678" i="21"/>
  <c r="J678" i="21"/>
  <c r="I678" i="21"/>
  <c r="H678" i="21"/>
  <c r="K677" i="21"/>
  <c r="J677" i="21"/>
  <c r="I677" i="21"/>
  <c r="H677" i="21"/>
  <c r="K676" i="21"/>
  <c r="J676" i="21"/>
  <c r="I676" i="21"/>
  <c r="H676" i="21"/>
  <c r="K675" i="21"/>
  <c r="J675" i="21"/>
  <c r="I675" i="21"/>
  <c r="H675" i="21"/>
  <c r="K674" i="21"/>
  <c r="J674" i="21"/>
  <c r="I674" i="21"/>
  <c r="H674" i="21"/>
  <c r="K673" i="21"/>
  <c r="J673" i="21"/>
  <c r="I673" i="21"/>
  <c r="H673" i="21"/>
  <c r="K672" i="21"/>
  <c r="J672" i="21"/>
  <c r="I672" i="21"/>
  <c r="H672" i="21"/>
  <c r="K671" i="21"/>
  <c r="J671" i="21"/>
  <c r="I671" i="21"/>
  <c r="H671" i="21"/>
  <c r="K670" i="21"/>
  <c r="J670" i="21"/>
  <c r="I670" i="21"/>
  <c r="H670" i="21"/>
  <c r="K669" i="21"/>
  <c r="J669" i="21"/>
  <c r="I669" i="21"/>
  <c r="H669" i="21"/>
  <c r="K668" i="21"/>
  <c r="J668" i="21"/>
  <c r="I668" i="21"/>
  <c r="H668" i="21"/>
  <c r="K667" i="21"/>
  <c r="J667" i="21"/>
  <c r="I667" i="21"/>
  <c r="H667" i="21"/>
  <c r="K666" i="21"/>
  <c r="J666" i="21"/>
  <c r="I666" i="21"/>
  <c r="H666" i="21"/>
  <c r="K665" i="21"/>
  <c r="J665" i="21"/>
  <c r="I665" i="21"/>
  <c r="H665" i="21"/>
  <c r="K664" i="21"/>
  <c r="J664" i="21"/>
  <c r="I664" i="21"/>
  <c r="H664" i="21"/>
  <c r="K663" i="21"/>
  <c r="J663" i="21"/>
  <c r="I663" i="21"/>
  <c r="H663" i="21"/>
  <c r="K662" i="21"/>
  <c r="J662" i="21"/>
  <c r="I662" i="21"/>
  <c r="H662" i="21"/>
  <c r="K661" i="21"/>
  <c r="J661" i="21"/>
  <c r="I661" i="21"/>
  <c r="H661" i="21"/>
  <c r="K660" i="21"/>
  <c r="J660" i="21"/>
  <c r="I660" i="21"/>
  <c r="H660" i="21"/>
  <c r="K659" i="21"/>
  <c r="J659" i="21"/>
  <c r="I659" i="21"/>
  <c r="H659" i="21"/>
  <c r="K658" i="21"/>
  <c r="J658" i="21"/>
  <c r="I658" i="21"/>
  <c r="H658" i="21"/>
  <c r="K657" i="21"/>
  <c r="J657" i="21"/>
  <c r="I657" i="21"/>
  <c r="H657" i="21"/>
  <c r="K656" i="21"/>
  <c r="J656" i="21"/>
  <c r="I656" i="21"/>
  <c r="H656" i="21"/>
  <c r="K655" i="21"/>
  <c r="J655" i="21"/>
  <c r="I655" i="21"/>
  <c r="H655" i="21"/>
  <c r="K654" i="21"/>
  <c r="J654" i="21"/>
  <c r="I654" i="21"/>
  <c r="H654" i="21"/>
  <c r="K653" i="21"/>
  <c r="J653" i="21"/>
  <c r="I653" i="21"/>
  <c r="H653" i="21"/>
  <c r="K652" i="21"/>
  <c r="J652" i="21"/>
  <c r="I652" i="21"/>
  <c r="H652" i="21"/>
  <c r="K651" i="21"/>
  <c r="J651" i="21"/>
  <c r="I651" i="21"/>
  <c r="H651" i="21"/>
  <c r="K650" i="21"/>
  <c r="J650" i="21"/>
  <c r="I650" i="21"/>
  <c r="H650" i="21"/>
  <c r="K649" i="21"/>
  <c r="J649" i="21"/>
  <c r="I649" i="21"/>
  <c r="H649" i="21"/>
  <c r="K648" i="21"/>
  <c r="J648" i="21"/>
  <c r="I648" i="21"/>
  <c r="H648" i="21"/>
  <c r="K647" i="21"/>
  <c r="J647" i="21"/>
  <c r="I647" i="21"/>
  <c r="H647" i="21"/>
  <c r="K646" i="21"/>
  <c r="J646" i="21"/>
  <c r="I646" i="21"/>
  <c r="H646" i="21"/>
  <c r="K645" i="21"/>
  <c r="J645" i="21"/>
  <c r="I645" i="21"/>
  <c r="H645" i="21"/>
  <c r="K644" i="21"/>
  <c r="J644" i="21"/>
  <c r="I644" i="21"/>
  <c r="H644" i="21"/>
  <c r="K643" i="21"/>
  <c r="J643" i="21"/>
  <c r="I643" i="21"/>
  <c r="H643" i="21"/>
  <c r="K642" i="21"/>
  <c r="J642" i="21"/>
  <c r="I642" i="21"/>
  <c r="H642" i="21"/>
  <c r="K641" i="21"/>
  <c r="J641" i="21"/>
  <c r="I641" i="21"/>
  <c r="H641" i="21"/>
  <c r="K640" i="21"/>
  <c r="J640" i="21"/>
  <c r="I640" i="21"/>
  <c r="H640" i="21"/>
  <c r="K639" i="21"/>
  <c r="J639" i="21"/>
  <c r="I639" i="21"/>
  <c r="H639" i="21"/>
  <c r="K638" i="21"/>
  <c r="J638" i="21"/>
  <c r="I638" i="21"/>
  <c r="H638" i="21"/>
  <c r="K637" i="21"/>
  <c r="J637" i="21"/>
  <c r="I637" i="21"/>
  <c r="H637" i="21"/>
  <c r="K636" i="21"/>
  <c r="J636" i="21"/>
  <c r="I636" i="21"/>
  <c r="H636" i="21"/>
  <c r="K635" i="21"/>
  <c r="J635" i="21"/>
  <c r="I635" i="21"/>
  <c r="H635" i="21"/>
  <c r="K634" i="21"/>
  <c r="J634" i="21"/>
  <c r="I634" i="21"/>
  <c r="H634" i="21"/>
  <c r="K633" i="21"/>
  <c r="J633" i="21"/>
  <c r="I633" i="21"/>
  <c r="H633" i="21"/>
  <c r="K632" i="21"/>
  <c r="J632" i="21"/>
  <c r="I632" i="21"/>
  <c r="H632" i="21"/>
  <c r="K631" i="21"/>
  <c r="J631" i="21"/>
  <c r="I631" i="21"/>
  <c r="H631" i="21"/>
  <c r="K630" i="21"/>
  <c r="J630" i="21"/>
  <c r="I630" i="21"/>
  <c r="H630" i="21"/>
  <c r="K629" i="21"/>
  <c r="J629" i="21"/>
  <c r="I629" i="21"/>
  <c r="H629" i="21"/>
  <c r="K628" i="21"/>
  <c r="J628" i="21"/>
  <c r="I628" i="21"/>
  <c r="H628" i="21"/>
  <c r="K627" i="21"/>
  <c r="J627" i="21"/>
  <c r="I627" i="21"/>
  <c r="H627" i="21"/>
  <c r="K626" i="21"/>
  <c r="J626" i="21"/>
  <c r="I626" i="21"/>
  <c r="H626" i="21"/>
  <c r="K625" i="21"/>
  <c r="J625" i="21"/>
  <c r="I625" i="21"/>
  <c r="H625" i="21"/>
  <c r="K624" i="21"/>
  <c r="J624" i="21"/>
  <c r="I624" i="21"/>
  <c r="H624" i="21"/>
  <c r="K623" i="21"/>
  <c r="J623" i="21"/>
  <c r="I623" i="21"/>
  <c r="H623" i="21"/>
  <c r="K622" i="21"/>
  <c r="J622" i="21"/>
  <c r="I622" i="21"/>
  <c r="H622" i="21"/>
  <c r="K621" i="21"/>
  <c r="J621" i="21"/>
  <c r="I621" i="21"/>
  <c r="H621" i="21"/>
  <c r="K620" i="21"/>
  <c r="J620" i="21"/>
  <c r="I620" i="21"/>
  <c r="H620" i="21"/>
  <c r="K619" i="21"/>
  <c r="J619" i="21"/>
  <c r="I619" i="21"/>
  <c r="H619" i="21"/>
  <c r="K618" i="21"/>
  <c r="J618" i="21"/>
  <c r="I618" i="21"/>
  <c r="H618" i="21"/>
  <c r="K617" i="21"/>
  <c r="J617" i="21"/>
  <c r="I617" i="21"/>
  <c r="H617" i="21"/>
  <c r="K616" i="21"/>
  <c r="J616" i="21"/>
  <c r="I616" i="21"/>
  <c r="H616" i="21"/>
  <c r="K615" i="21"/>
  <c r="J615" i="21"/>
  <c r="I615" i="21"/>
  <c r="H615" i="21"/>
  <c r="K614" i="21"/>
  <c r="J614" i="21"/>
  <c r="I614" i="21"/>
  <c r="H614" i="21"/>
  <c r="K613" i="21"/>
  <c r="J613" i="21"/>
  <c r="I613" i="21"/>
  <c r="H613" i="21"/>
  <c r="K612" i="21"/>
  <c r="J612" i="21"/>
  <c r="I612" i="21"/>
  <c r="H612" i="21"/>
  <c r="K611" i="21"/>
  <c r="J611" i="21"/>
  <c r="I611" i="21"/>
  <c r="H611" i="21"/>
  <c r="K610" i="21"/>
  <c r="J610" i="21"/>
  <c r="I610" i="21"/>
  <c r="H610" i="21"/>
  <c r="K609" i="21"/>
  <c r="J609" i="21"/>
  <c r="I609" i="21"/>
  <c r="H609" i="21"/>
  <c r="K608" i="21"/>
  <c r="J608" i="21"/>
  <c r="I608" i="21"/>
  <c r="H608" i="21"/>
  <c r="K607" i="21"/>
  <c r="J607" i="21"/>
  <c r="I607" i="21"/>
  <c r="H607" i="21"/>
  <c r="K606" i="21"/>
  <c r="J606" i="21"/>
  <c r="I606" i="21"/>
  <c r="H606" i="21"/>
  <c r="K605" i="21"/>
  <c r="J605" i="21"/>
  <c r="I605" i="21"/>
  <c r="H605" i="21"/>
  <c r="K604" i="21"/>
  <c r="J604" i="21"/>
  <c r="I604" i="21"/>
  <c r="H604" i="21"/>
  <c r="K603" i="21"/>
  <c r="J603" i="21"/>
  <c r="I603" i="21"/>
  <c r="H603" i="21"/>
  <c r="K602" i="21"/>
  <c r="J602" i="21"/>
  <c r="I602" i="21"/>
  <c r="H602" i="21"/>
  <c r="K601" i="21"/>
  <c r="J601" i="21"/>
  <c r="I601" i="21"/>
  <c r="H601" i="21"/>
  <c r="K600" i="21"/>
  <c r="J600" i="21"/>
  <c r="I600" i="21"/>
  <c r="H600" i="21"/>
  <c r="K599" i="21"/>
  <c r="J599" i="21"/>
  <c r="I599" i="21"/>
  <c r="H599" i="21"/>
  <c r="K598" i="21"/>
  <c r="J598" i="21"/>
  <c r="I598" i="21"/>
  <c r="H598" i="21"/>
  <c r="K597" i="21"/>
  <c r="J597" i="21"/>
  <c r="I597" i="21"/>
  <c r="H597" i="21"/>
  <c r="K596" i="21"/>
  <c r="J596" i="21"/>
  <c r="I596" i="21"/>
  <c r="H596" i="21"/>
  <c r="K595" i="21"/>
  <c r="J595" i="21"/>
  <c r="I595" i="21"/>
  <c r="H595" i="21"/>
  <c r="K594" i="21"/>
  <c r="J594" i="21"/>
  <c r="I594" i="21"/>
  <c r="H594" i="21"/>
  <c r="K593" i="21"/>
  <c r="J593" i="21"/>
  <c r="I593" i="21"/>
  <c r="H593" i="21"/>
  <c r="K592" i="21"/>
  <c r="J592" i="21"/>
  <c r="I592" i="21"/>
  <c r="H592" i="21"/>
  <c r="K591" i="21"/>
  <c r="J591" i="21"/>
  <c r="I591" i="21"/>
  <c r="H591" i="21"/>
  <c r="K590" i="21"/>
  <c r="J590" i="21"/>
  <c r="I590" i="21"/>
  <c r="H590" i="21"/>
  <c r="K589" i="21"/>
  <c r="J589" i="21"/>
  <c r="I589" i="21"/>
  <c r="H589" i="21"/>
  <c r="K588" i="21"/>
  <c r="J588" i="21"/>
  <c r="I588" i="21"/>
  <c r="H588" i="21"/>
  <c r="K587" i="21"/>
  <c r="J587" i="21"/>
  <c r="I587" i="21"/>
  <c r="H587" i="21"/>
  <c r="K586" i="21"/>
  <c r="J586" i="21"/>
  <c r="I586" i="21"/>
  <c r="H586" i="21"/>
  <c r="K585" i="21"/>
  <c r="J585" i="21"/>
  <c r="I585" i="21"/>
  <c r="H585" i="21"/>
  <c r="K584" i="21"/>
  <c r="J584" i="21"/>
  <c r="I584" i="21"/>
  <c r="H584" i="21"/>
  <c r="K583" i="21"/>
  <c r="J583" i="21"/>
  <c r="I583" i="21"/>
  <c r="H583" i="21"/>
  <c r="K582" i="21"/>
  <c r="J582" i="21"/>
  <c r="I582" i="21"/>
  <c r="H582" i="21"/>
  <c r="K581" i="21"/>
  <c r="J581" i="21"/>
  <c r="I581" i="21"/>
  <c r="H581" i="21"/>
  <c r="K580" i="21"/>
  <c r="J580" i="21"/>
  <c r="I580" i="21"/>
  <c r="H580" i="21"/>
  <c r="K579" i="21"/>
  <c r="J579" i="21"/>
  <c r="I579" i="21"/>
  <c r="H579" i="21"/>
  <c r="K578" i="21"/>
  <c r="J578" i="21"/>
  <c r="I578" i="21"/>
  <c r="H578" i="21"/>
  <c r="K577" i="21"/>
  <c r="J577" i="21"/>
  <c r="I577" i="21"/>
  <c r="H577" i="21"/>
  <c r="K576" i="21"/>
  <c r="J576" i="21"/>
  <c r="I576" i="21"/>
  <c r="H576" i="21"/>
  <c r="K575" i="21"/>
  <c r="J575" i="21"/>
  <c r="I575" i="21"/>
  <c r="H575" i="21"/>
  <c r="K574" i="21"/>
  <c r="J574" i="21"/>
  <c r="I574" i="21"/>
  <c r="H574" i="21"/>
  <c r="K573" i="21"/>
  <c r="J573" i="21"/>
  <c r="I573" i="21"/>
  <c r="H573" i="21"/>
  <c r="K572" i="21"/>
  <c r="J572" i="21"/>
  <c r="I572" i="21"/>
  <c r="H572" i="21"/>
  <c r="K571" i="21"/>
  <c r="J571" i="21"/>
  <c r="I571" i="21"/>
  <c r="H571" i="21"/>
  <c r="K570" i="21"/>
  <c r="J570" i="21"/>
  <c r="I570" i="21"/>
  <c r="H570" i="21"/>
  <c r="K569" i="21"/>
  <c r="J569" i="21"/>
  <c r="I569" i="21"/>
  <c r="H569" i="21"/>
  <c r="K568" i="21"/>
  <c r="J568" i="21"/>
  <c r="I568" i="21"/>
  <c r="H568" i="21"/>
  <c r="K567" i="21"/>
  <c r="J567" i="21"/>
  <c r="I567" i="21"/>
  <c r="H567" i="21"/>
  <c r="K566" i="21"/>
  <c r="J566" i="21"/>
  <c r="I566" i="21"/>
  <c r="H566" i="21"/>
  <c r="K565" i="21"/>
  <c r="J565" i="21"/>
  <c r="I565" i="21"/>
  <c r="H565" i="21"/>
  <c r="K564" i="21"/>
  <c r="J564" i="21"/>
  <c r="I564" i="21"/>
  <c r="H564" i="21"/>
  <c r="K563" i="21"/>
  <c r="J563" i="21"/>
  <c r="I563" i="21"/>
  <c r="H563" i="21"/>
  <c r="K562" i="21"/>
  <c r="J562" i="21"/>
  <c r="I562" i="21"/>
  <c r="H562" i="21"/>
  <c r="K561" i="21"/>
  <c r="J561" i="21"/>
  <c r="I561" i="21"/>
  <c r="H561" i="21"/>
  <c r="K560" i="21"/>
  <c r="J560" i="21"/>
  <c r="I560" i="21"/>
  <c r="H560" i="21"/>
  <c r="K559" i="21"/>
  <c r="J559" i="21"/>
  <c r="I559" i="21"/>
  <c r="H559" i="21"/>
  <c r="K558" i="21"/>
  <c r="J558" i="21"/>
  <c r="I558" i="21"/>
  <c r="H558" i="21"/>
  <c r="K557" i="21"/>
  <c r="J557" i="21"/>
  <c r="I557" i="21"/>
  <c r="H557" i="21"/>
  <c r="K556" i="21"/>
  <c r="J556" i="21"/>
  <c r="I556" i="21"/>
  <c r="H556" i="21"/>
  <c r="K555" i="21"/>
  <c r="J555" i="21"/>
  <c r="I555" i="21"/>
  <c r="H555" i="21"/>
  <c r="K554" i="21"/>
  <c r="J554" i="21"/>
  <c r="I554" i="21"/>
  <c r="H554" i="21"/>
  <c r="K553" i="21"/>
  <c r="J553" i="21"/>
  <c r="I553" i="21"/>
  <c r="H553" i="21"/>
  <c r="K552" i="21"/>
  <c r="J552" i="21"/>
  <c r="I552" i="21"/>
  <c r="H552" i="21"/>
  <c r="K551" i="21"/>
  <c r="J551" i="21"/>
  <c r="I551" i="21"/>
  <c r="H551" i="21"/>
  <c r="K550" i="21"/>
  <c r="J550" i="21"/>
  <c r="I550" i="21"/>
  <c r="H550" i="21"/>
  <c r="K549" i="21"/>
  <c r="J549" i="21"/>
  <c r="I549" i="21"/>
  <c r="H549" i="21"/>
  <c r="K548" i="21"/>
  <c r="J548" i="21"/>
  <c r="I548" i="21"/>
  <c r="H548" i="21"/>
  <c r="K547" i="21"/>
  <c r="J547" i="21"/>
  <c r="I547" i="21"/>
  <c r="H547" i="21"/>
  <c r="K546" i="21"/>
  <c r="J546" i="21"/>
  <c r="I546" i="21"/>
  <c r="H546" i="21"/>
  <c r="K545" i="21"/>
  <c r="J545" i="21"/>
  <c r="I545" i="21"/>
  <c r="H545" i="21"/>
  <c r="K544" i="21"/>
  <c r="J544" i="21"/>
  <c r="I544" i="21"/>
  <c r="H544" i="21"/>
  <c r="K543" i="21"/>
  <c r="J543" i="21"/>
  <c r="I543" i="21"/>
  <c r="H543" i="21"/>
  <c r="K542" i="21"/>
  <c r="J542" i="21"/>
  <c r="I542" i="21"/>
  <c r="H542" i="21"/>
  <c r="K541" i="21"/>
  <c r="J541" i="21"/>
  <c r="I541" i="21"/>
  <c r="H541" i="21"/>
  <c r="K540" i="21"/>
  <c r="J540" i="21"/>
  <c r="I540" i="21"/>
  <c r="H540" i="21"/>
  <c r="K539" i="21"/>
  <c r="J539" i="21"/>
  <c r="I539" i="21"/>
  <c r="H539" i="21"/>
  <c r="K538" i="21"/>
  <c r="J538" i="21"/>
  <c r="I538" i="21"/>
  <c r="H538" i="21"/>
  <c r="K537" i="21"/>
  <c r="J537" i="21"/>
  <c r="I537" i="21"/>
  <c r="H537" i="21"/>
  <c r="K536" i="21"/>
  <c r="J536" i="21"/>
  <c r="I536" i="21"/>
  <c r="H536" i="21"/>
  <c r="K535" i="21"/>
  <c r="J535" i="21"/>
  <c r="I535" i="21"/>
  <c r="H535" i="21"/>
  <c r="K534" i="21"/>
  <c r="J534" i="21"/>
  <c r="I534" i="21"/>
  <c r="H534" i="21"/>
  <c r="K533" i="21"/>
  <c r="J533" i="21"/>
  <c r="I533" i="21"/>
  <c r="H533" i="21"/>
  <c r="K532" i="21"/>
  <c r="J532" i="21"/>
  <c r="I532" i="21"/>
  <c r="H532" i="21"/>
  <c r="K531" i="21"/>
  <c r="J531" i="21"/>
  <c r="I531" i="21"/>
  <c r="H531" i="21"/>
  <c r="K530" i="21"/>
  <c r="J530" i="21"/>
  <c r="I530" i="21"/>
  <c r="H530" i="21"/>
  <c r="K529" i="21"/>
  <c r="J529" i="21"/>
  <c r="I529" i="21"/>
  <c r="H529" i="21"/>
  <c r="K528" i="21"/>
  <c r="J528" i="21"/>
  <c r="I528" i="21"/>
  <c r="H528" i="21"/>
  <c r="K527" i="21"/>
  <c r="J527" i="21"/>
  <c r="I527" i="21"/>
  <c r="H527" i="21"/>
  <c r="K526" i="21"/>
  <c r="J526" i="21"/>
  <c r="I526" i="21"/>
  <c r="H526" i="21"/>
  <c r="K525" i="21"/>
  <c r="J525" i="21"/>
  <c r="I525" i="21"/>
  <c r="H525" i="21"/>
  <c r="K524" i="21"/>
  <c r="J524" i="21"/>
  <c r="I524" i="21"/>
  <c r="H524" i="21"/>
  <c r="K523" i="21"/>
  <c r="J523" i="21"/>
  <c r="I523" i="21"/>
  <c r="H523" i="21"/>
  <c r="K522" i="21"/>
  <c r="J522" i="21"/>
  <c r="I522" i="21"/>
  <c r="H522" i="21"/>
  <c r="K521" i="21"/>
  <c r="J521" i="21"/>
  <c r="I521" i="21"/>
  <c r="H521" i="21"/>
  <c r="K520" i="21"/>
  <c r="J520" i="21"/>
  <c r="I520" i="21"/>
  <c r="H520" i="21"/>
  <c r="K519" i="21"/>
  <c r="J519" i="21"/>
  <c r="I519" i="21"/>
  <c r="H519" i="21"/>
  <c r="K518" i="21"/>
  <c r="J518" i="21"/>
  <c r="I518" i="21"/>
  <c r="H518" i="21"/>
  <c r="K517" i="21"/>
  <c r="J517" i="21"/>
  <c r="I517" i="21"/>
  <c r="H517" i="21"/>
  <c r="K516" i="21"/>
  <c r="J516" i="21"/>
  <c r="I516" i="21"/>
  <c r="H516" i="21"/>
  <c r="K515" i="21"/>
  <c r="J515" i="21"/>
  <c r="I515" i="21"/>
  <c r="H515" i="21"/>
  <c r="K514" i="21"/>
  <c r="J514" i="21"/>
  <c r="I514" i="21"/>
  <c r="H514" i="21"/>
  <c r="K513" i="21"/>
  <c r="J513" i="21"/>
  <c r="I513" i="21"/>
  <c r="H513" i="21"/>
  <c r="K512" i="21"/>
  <c r="J512" i="21"/>
  <c r="I512" i="21"/>
  <c r="H512" i="21"/>
  <c r="K511" i="21"/>
  <c r="J511" i="21"/>
  <c r="I511" i="21"/>
  <c r="H511" i="21"/>
  <c r="K510" i="21"/>
  <c r="J510" i="21"/>
  <c r="I510" i="21"/>
  <c r="H510" i="21"/>
  <c r="K509" i="21"/>
  <c r="J509" i="21"/>
  <c r="I509" i="21"/>
  <c r="H509" i="21"/>
  <c r="K508" i="21"/>
  <c r="J508" i="21"/>
  <c r="I508" i="21"/>
  <c r="H508" i="21"/>
  <c r="K507" i="21"/>
  <c r="J507" i="21"/>
  <c r="I507" i="21"/>
  <c r="H507" i="21"/>
  <c r="K506" i="21"/>
  <c r="J506" i="21"/>
  <c r="I506" i="21"/>
  <c r="H506" i="21"/>
  <c r="K505" i="21"/>
  <c r="J505" i="21"/>
  <c r="I505" i="21"/>
  <c r="H505" i="21"/>
  <c r="K504" i="21"/>
  <c r="J504" i="21"/>
  <c r="I504" i="21"/>
  <c r="H504" i="21"/>
  <c r="K503" i="21"/>
  <c r="J503" i="21"/>
  <c r="I503" i="21"/>
  <c r="H503" i="21"/>
  <c r="K502" i="21"/>
  <c r="J502" i="21"/>
  <c r="I502" i="21"/>
  <c r="H502" i="21"/>
  <c r="K501" i="21"/>
  <c r="J501" i="21"/>
  <c r="I501" i="21"/>
  <c r="H501" i="21"/>
  <c r="K500" i="21"/>
  <c r="J500" i="21"/>
  <c r="I500" i="21"/>
  <c r="H500" i="21"/>
  <c r="K499" i="21"/>
  <c r="J499" i="21"/>
  <c r="I499" i="21"/>
  <c r="H499" i="21"/>
  <c r="K498" i="21"/>
  <c r="J498" i="21"/>
  <c r="I498" i="21"/>
  <c r="H498" i="21"/>
  <c r="K497" i="21"/>
  <c r="J497" i="21"/>
  <c r="I497" i="21"/>
  <c r="H497" i="21"/>
  <c r="K496" i="21"/>
  <c r="J496" i="21"/>
  <c r="I496" i="21"/>
  <c r="H496" i="21"/>
  <c r="K495" i="21"/>
  <c r="J495" i="21"/>
  <c r="I495" i="21"/>
  <c r="H495" i="21"/>
  <c r="K494" i="21"/>
  <c r="J494" i="21"/>
  <c r="I494" i="21"/>
  <c r="H494" i="21"/>
  <c r="K493" i="21"/>
  <c r="J493" i="21"/>
  <c r="I493" i="21"/>
  <c r="H493" i="21"/>
  <c r="K492" i="21"/>
  <c r="J492" i="21"/>
  <c r="I492" i="21"/>
  <c r="H492" i="21"/>
  <c r="K491" i="21"/>
  <c r="J491" i="21"/>
  <c r="I491" i="21"/>
  <c r="H491" i="21"/>
  <c r="K490" i="21"/>
  <c r="J490" i="21"/>
  <c r="I490" i="21"/>
  <c r="H490" i="21"/>
  <c r="K489" i="21"/>
  <c r="J489" i="21"/>
  <c r="I489" i="21"/>
  <c r="H489" i="21"/>
  <c r="K488" i="21"/>
  <c r="J488" i="21"/>
  <c r="I488" i="21"/>
  <c r="H488" i="21"/>
  <c r="K487" i="21"/>
  <c r="J487" i="21"/>
  <c r="I487" i="21"/>
  <c r="H487" i="21"/>
  <c r="K486" i="21"/>
  <c r="J486" i="21"/>
  <c r="I486" i="21"/>
  <c r="H486" i="21"/>
  <c r="K485" i="21"/>
  <c r="J485" i="21"/>
  <c r="I485" i="21"/>
  <c r="H485" i="21"/>
  <c r="K484" i="21"/>
  <c r="J484" i="21"/>
  <c r="I484" i="21"/>
  <c r="H484" i="21"/>
  <c r="K483" i="21"/>
  <c r="J483" i="21"/>
  <c r="I483" i="21"/>
  <c r="H483" i="21"/>
  <c r="K482" i="21"/>
  <c r="J482" i="21"/>
  <c r="I482" i="21"/>
  <c r="H482" i="21"/>
  <c r="K481" i="21"/>
  <c r="J481" i="21"/>
  <c r="I481" i="21"/>
  <c r="H481" i="21"/>
  <c r="K480" i="21"/>
  <c r="J480" i="21"/>
  <c r="I480" i="21"/>
  <c r="H480" i="21"/>
  <c r="K479" i="21"/>
  <c r="J479" i="21"/>
  <c r="I479" i="21"/>
  <c r="H479" i="21"/>
  <c r="K478" i="21"/>
  <c r="J478" i="21"/>
  <c r="I478" i="21"/>
  <c r="H478" i="21"/>
  <c r="K477" i="21"/>
  <c r="J477" i="21"/>
  <c r="I477" i="21"/>
  <c r="H477" i="21"/>
  <c r="K476" i="21"/>
  <c r="J476" i="21"/>
  <c r="I476" i="21"/>
  <c r="H476" i="21"/>
  <c r="K475" i="21"/>
  <c r="J475" i="21"/>
  <c r="I475" i="21"/>
  <c r="H475" i="21"/>
  <c r="K474" i="21"/>
  <c r="J474" i="21"/>
  <c r="I474" i="21"/>
  <c r="H474" i="21"/>
  <c r="K473" i="21"/>
  <c r="J473" i="21"/>
  <c r="I473" i="21"/>
  <c r="H473" i="21"/>
  <c r="K472" i="21"/>
  <c r="J472" i="21"/>
  <c r="I472" i="21"/>
  <c r="H472" i="21"/>
  <c r="K471" i="21"/>
  <c r="J471" i="21"/>
  <c r="I471" i="21"/>
  <c r="H471" i="21"/>
  <c r="K470" i="21"/>
  <c r="J470" i="21"/>
  <c r="I470" i="21"/>
  <c r="H470" i="21"/>
  <c r="K469" i="21"/>
  <c r="J469" i="21"/>
  <c r="I469" i="21"/>
  <c r="H469" i="21"/>
  <c r="K468" i="21"/>
  <c r="J468" i="21"/>
  <c r="I468" i="21"/>
  <c r="H468" i="21"/>
  <c r="K467" i="21"/>
  <c r="J467" i="21"/>
  <c r="I467" i="21"/>
  <c r="H467" i="21"/>
  <c r="K466" i="21"/>
  <c r="J466" i="21"/>
  <c r="I466" i="21"/>
  <c r="H466" i="21"/>
  <c r="K465" i="21"/>
  <c r="J465" i="21"/>
  <c r="I465" i="21"/>
  <c r="H465" i="21"/>
  <c r="K464" i="21"/>
  <c r="J464" i="21"/>
  <c r="I464" i="21"/>
  <c r="H464" i="21"/>
  <c r="K463" i="21"/>
  <c r="J463" i="21"/>
  <c r="I463" i="21"/>
  <c r="H463" i="21"/>
  <c r="K462" i="21"/>
  <c r="J462" i="21"/>
  <c r="I462" i="21"/>
  <c r="H462" i="21"/>
  <c r="K461" i="21"/>
  <c r="J461" i="21"/>
  <c r="I461" i="21"/>
  <c r="H461" i="21"/>
  <c r="K460" i="21"/>
  <c r="J460" i="21"/>
  <c r="I460" i="21"/>
  <c r="H460" i="21"/>
  <c r="K459" i="21"/>
  <c r="J459" i="21"/>
  <c r="I459" i="21"/>
  <c r="H459" i="21"/>
  <c r="K458" i="21"/>
  <c r="J458" i="21"/>
  <c r="I458" i="21"/>
  <c r="H458" i="21"/>
  <c r="K457" i="21"/>
  <c r="J457" i="21"/>
  <c r="I457" i="21"/>
  <c r="H457" i="21"/>
  <c r="K456" i="21"/>
  <c r="J456" i="21"/>
  <c r="I456" i="21"/>
  <c r="H456" i="21"/>
  <c r="K455" i="21"/>
  <c r="J455" i="21"/>
  <c r="I455" i="21"/>
  <c r="H455" i="21"/>
  <c r="K454" i="21"/>
  <c r="J454" i="21"/>
  <c r="I454" i="21"/>
  <c r="H454" i="21"/>
  <c r="K453" i="21"/>
  <c r="J453" i="21"/>
  <c r="I453" i="21"/>
  <c r="H453" i="21"/>
  <c r="K452" i="21"/>
  <c r="J452" i="21"/>
  <c r="I452" i="21"/>
  <c r="H452" i="21"/>
  <c r="K451" i="21"/>
  <c r="J451" i="21"/>
  <c r="I451" i="21"/>
  <c r="H451" i="21"/>
  <c r="K450" i="21"/>
  <c r="J450" i="21"/>
  <c r="I450" i="21"/>
  <c r="H450" i="21"/>
  <c r="K449" i="21"/>
  <c r="J449" i="21"/>
  <c r="I449" i="21"/>
  <c r="H449" i="21"/>
  <c r="K448" i="21"/>
  <c r="J448" i="21"/>
  <c r="I448" i="21"/>
  <c r="H448" i="21"/>
  <c r="K447" i="21"/>
  <c r="J447" i="21"/>
  <c r="I447" i="21"/>
  <c r="H447" i="21"/>
  <c r="K446" i="21"/>
  <c r="J446" i="21"/>
  <c r="I446" i="21"/>
  <c r="H446" i="21"/>
  <c r="K445" i="21"/>
  <c r="J445" i="21"/>
  <c r="I445" i="21"/>
  <c r="H445" i="21"/>
  <c r="K444" i="21"/>
  <c r="J444" i="21"/>
  <c r="I444" i="21"/>
  <c r="H444" i="21"/>
  <c r="K443" i="21"/>
  <c r="J443" i="21"/>
  <c r="I443" i="21"/>
  <c r="H443" i="21"/>
  <c r="K442" i="21"/>
  <c r="J442" i="21"/>
  <c r="I442" i="21"/>
  <c r="H442" i="21"/>
  <c r="K441" i="21"/>
  <c r="J441" i="21"/>
  <c r="I441" i="21"/>
  <c r="H441" i="21"/>
  <c r="K440" i="21"/>
  <c r="J440" i="21"/>
  <c r="I440" i="21"/>
  <c r="H440" i="21"/>
  <c r="K439" i="21"/>
  <c r="J439" i="21"/>
  <c r="I439" i="21"/>
  <c r="H439" i="21"/>
  <c r="K438" i="21"/>
  <c r="J438" i="21"/>
  <c r="I438" i="21"/>
  <c r="H438" i="21"/>
  <c r="K437" i="21"/>
  <c r="J437" i="21"/>
  <c r="I437" i="21"/>
  <c r="H437" i="21"/>
  <c r="K436" i="21"/>
  <c r="J436" i="21"/>
  <c r="I436" i="21"/>
  <c r="H436" i="21"/>
  <c r="K435" i="21"/>
  <c r="J435" i="21"/>
  <c r="I435" i="21"/>
  <c r="H435" i="21"/>
  <c r="K434" i="21"/>
  <c r="J434" i="21"/>
  <c r="I434" i="21"/>
  <c r="H434" i="21"/>
  <c r="K433" i="21"/>
  <c r="J433" i="21"/>
  <c r="I433" i="21"/>
  <c r="H433" i="21"/>
  <c r="K432" i="21"/>
  <c r="J432" i="21"/>
  <c r="I432" i="21"/>
  <c r="H432" i="21"/>
  <c r="K431" i="21"/>
  <c r="J431" i="21"/>
  <c r="I431" i="21"/>
  <c r="H431" i="21"/>
  <c r="K430" i="21"/>
  <c r="J430" i="21"/>
  <c r="I430" i="21"/>
  <c r="H430" i="21"/>
  <c r="K429" i="21"/>
  <c r="J429" i="21"/>
  <c r="I429" i="21"/>
  <c r="H429" i="21"/>
  <c r="K428" i="21"/>
  <c r="J428" i="21"/>
  <c r="I428" i="21"/>
  <c r="H428" i="21"/>
  <c r="K427" i="21"/>
  <c r="J427" i="21"/>
  <c r="I427" i="21"/>
  <c r="H427" i="21"/>
  <c r="K426" i="21"/>
  <c r="J426" i="21"/>
  <c r="I426" i="21"/>
  <c r="H426" i="21"/>
  <c r="K425" i="21"/>
  <c r="J425" i="21"/>
  <c r="I425" i="21"/>
  <c r="H425" i="21"/>
  <c r="K424" i="21"/>
  <c r="J424" i="21"/>
  <c r="I424" i="21"/>
  <c r="H424" i="21"/>
  <c r="K423" i="21"/>
  <c r="J423" i="21"/>
  <c r="I423" i="21"/>
  <c r="H423" i="21"/>
  <c r="K422" i="21"/>
  <c r="J422" i="21"/>
  <c r="I422" i="21"/>
  <c r="H422" i="21"/>
  <c r="K421" i="21"/>
  <c r="J421" i="21"/>
  <c r="I421" i="21"/>
  <c r="H421" i="21"/>
  <c r="K420" i="21"/>
  <c r="J420" i="21"/>
  <c r="I420" i="21"/>
  <c r="H420" i="21"/>
  <c r="K419" i="21"/>
  <c r="J419" i="21"/>
  <c r="I419" i="21"/>
  <c r="H419" i="21"/>
  <c r="K418" i="21"/>
  <c r="J418" i="21"/>
  <c r="I418" i="21"/>
  <c r="H418" i="21"/>
  <c r="K417" i="21"/>
  <c r="J417" i="21"/>
  <c r="I417" i="21"/>
  <c r="H417" i="21"/>
  <c r="K416" i="21"/>
  <c r="J416" i="21"/>
  <c r="I416" i="21"/>
  <c r="H416" i="21"/>
  <c r="K415" i="21"/>
  <c r="J415" i="21"/>
  <c r="I415" i="21"/>
  <c r="H415" i="21"/>
  <c r="K414" i="21"/>
  <c r="J414" i="21"/>
  <c r="I414" i="21"/>
  <c r="H414" i="21"/>
  <c r="K413" i="21"/>
  <c r="J413" i="21"/>
  <c r="I413" i="21"/>
  <c r="H413" i="21"/>
  <c r="K412" i="21"/>
  <c r="J412" i="21"/>
  <c r="I412" i="21"/>
  <c r="H412" i="21"/>
  <c r="K411" i="21"/>
  <c r="J411" i="21"/>
  <c r="I411" i="21"/>
  <c r="H411" i="21"/>
  <c r="K410" i="21"/>
  <c r="J410" i="21"/>
  <c r="I410" i="21"/>
  <c r="H410" i="21"/>
  <c r="K409" i="21"/>
  <c r="J409" i="21"/>
  <c r="I409" i="21"/>
  <c r="H409" i="21"/>
  <c r="K408" i="21"/>
  <c r="J408" i="21"/>
  <c r="I408" i="21"/>
  <c r="H408" i="21"/>
  <c r="K407" i="21"/>
  <c r="J407" i="21"/>
  <c r="I407" i="21"/>
  <c r="H407" i="21"/>
  <c r="K406" i="21"/>
  <c r="J406" i="21"/>
  <c r="I406" i="21"/>
  <c r="H406" i="21"/>
  <c r="K405" i="21"/>
  <c r="J405" i="21"/>
  <c r="I405" i="21"/>
  <c r="H405" i="21"/>
  <c r="K404" i="21"/>
  <c r="J404" i="21"/>
  <c r="I404" i="21"/>
  <c r="H404" i="21"/>
  <c r="K403" i="21"/>
  <c r="J403" i="21"/>
  <c r="I403" i="21"/>
  <c r="H403" i="21"/>
  <c r="K402" i="21"/>
  <c r="J402" i="21"/>
  <c r="I402" i="21"/>
  <c r="H402" i="21"/>
  <c r="K401" i="21"/>
  <c r="J401" i="21"/>
  <c r="I401" i="21"/>
  <c r="H401" i="21"/>
  <c r="K400" i="21"/>
  <c r="J400" i="21"/>
  <c r="I400" i="21"/>
  <c r="H400" i="21"/>
  <c r="K399" i="21"/>
  <c r="J399" i="21"/>
  <c r="I399" i="21"/>
  <c r="H399" i="21"/>
  <c r="K398" i="21"/>
  <c r="J398" i="21"/>
  <c r="I398" i="21"/>
  <c r="H398" i="21"/>
  <c r="K397" i="21"/>
  <c r="J397" i="21"/>
  <c r="I397" i="21"/>
  <c r="H397" i="21"/>
  <c r="K396" i="21"/>
  <c r="J396" i="21"/>
  <c r="I396" i="21"/>
  <c r="H396" i="21"/>
  <c r="K395" i="21"/>
  <c r="J395" i="21"/>
  <c r="I395" i="21"/>
  <c r="H395" i="21"/>
  <c r="K394" i="21"/>
  <c r="J394" i="21"/>
  <c r="I394" i="21"/>
  <c r="H394" i="21"/>
  <c r="K393" i="21"/>
  <c r="J393" i="21"/>
  <c r="I393" i="21"/>
  <c r="H393" i="21"/>
  <c r="K392" i="21"/>
  <c r="J392" i="21"/>
  <c r="I392" i="21"/>
  <c r="H392" i="21"/>
  <c r="K391" i="21"/>
  <c r="J391" i="21"/>
  <c r="I391" i="21"/>
  <c r="H391" i="21"/>
  <c r="K390" i="21"/>
  <c r="J390" i="21"/>
  <c r="I390" i="21"/>
  <c r="H390" i="21"/>
  <c r="K389" i="21"/>
  <c r="J389" i="21"/>
  <c r="I389" i="21"/>
  <c r="H389" i="21"/>
  <c r="K388" i="21"/>
  <c r="J388" i="21"/>
  <c r="I388" i="21"/>
  <c r="H388" i="21"/>
  <c r="K387" i="21"/>
  <c r="J387" i="21"/>
  <c r="I387" i="21"/>
  <c r="H387" i="21"/>
  <c r="K386" i="21"/>
  <c r="J386" i="21"/>
  <c r="I386" i="21"/>
  <c r="H386" i="21"/>
  <c r="K385" i="21"/>
  <c r="J385" i="21"/>
  <c r="I385" i="21"/>
  <c r="H385" i="21"/>
  <c r="K384" i="21"/>
  <c r="J384" i="21"/>
  <c r="I384" i="21"/>
  <c r="H384" i="21"/>
  <c r="K383" i="21"/>
  <c r="J383" i="21"/>
  <c r="I383" i="21"/>
  <c r="H383" i="21"/>
  <c r="K382" i="21"/>
  <c r="J382" i="21"/>
  <c r="I382" i="21"/>
  <c r="H382" i="21"/>
  <c r="K381" i="21"/>
  <c r="J381" i="21"/>
  <c r="I381" i="21"/>
  <c r="H381" i="21"/>
  <c r="K380" i="21"/>
  <c r="J380" i="21"/>
  <c r="I380" i="21"/>
  <c r="H380" i="21"/>
  <c r="K379" i="21"/>
  <c r="J379" i="21"/>
  <c r="I379" i="21"/>
  <c r="H379" i="21"/>
  <c r="K378" i="21"/>
  <c r="J378" i="21"/>
  <c r="I378" i="21"/>
  <c r="H378" i="21"/>
  <c r="K377" i="21"/>
  <c r="J377" i="21"/>
  <c r="I377" i="21"/>
  <c r="H377" i="21"/>
  <c r="K376" i="21"/>
  <c r="J376" i="21"/>
  <c r="I376" i="21"/>
  <c r="H376" i="21"/>
  <c r="K375" i="21"/>
  <c r="J375" i="21"/>
  <c r="I375" i="21"/>
  <c r="H375" i="21"/>
  <c r="K374" i="21"/>
  <c r="J374" i="21"/>
  <c r="I374" i="21"/>
  <c r="H374" i="21"/>
  <c r="K373" i="21"/>
  <c r="J373" i="21"/>
  <c r="I373" i="21"/>
  <c r="H373" i="21"/>
  <c r="K372" i="21"/>
  <c r="J372" i="21"/>
  <c r="I372" i="21"/>
  <c r="H372" i="21"/>
  <c r="K371" i="21"/>
  <c r="J371" i="21"/>
  <c r="I371" i="21"/>
  <c r="H371" i="21"/>
  <c r="K370" i="21"/>
  <c r="J370" i="21"/>
  <c r="I370" i="21"/>
  <c r="H370" i="21"/>
  <c r="K369" i="21"/>
  <c r="J369" i="21"/>
  <c r="I369" i="21"/>
  <c r="H369" i="21"/>
  <c r="K368" i="21"/>
  <c r="J368" i="21"/>
  <c r="I368" i="21"/>
  <c r="H368" i="21"/>
  <c r="K367" i="21"/>
  <c r="J367" i="21"/>
  <c r="I367" i="21"/>
  <c r="H367" i="21"/>
  <c r="K366" i="21"/>
  <c r="J366" i="21"/>
  <c r="I366" i="21"/>
  <c r="H366" i="21"/>
  <c r="K365" i="21"/>
  <c r="J365" i="21"/>
  <c r="I365" i="21"/>
  <c r="H365" i="21"/>
  <c r="K364" i="21"/>
  <c r="J364" i="21"/>
  <c r="I364" i="21"/>
  <c r="H364" i="21"/>
  <c r="K363" i="21"/>
  <c r="J363" i="21"/>
  <c r="I363" i="21"/>
  <c r="H363" i="21"/>
  <c r="K362" i="21"/>
  <c r="J362" i="21"/>
  <c r="I362" i="21"/>
  <c r="H362" i="21"/>
  <c r="K361" i="21"/>
  <c r="J361" i="21"/>
  <c r="I361" i="21"/>
  <c r="H361" i="21"/>
  <c r="K360" i="21"/>
  <c r="J360" i="21"/>
  <c r="I360" i="21"/>
  <c r="H360" i="21"/>
  <c r="K359" i="21"/>
  <c r="J359" i="21"/>
  <c r="I359" i="21"/>
  <c r="H359" i="21"/>
  <c r="K358" i="21"/>
  <c r="J358" i="21"/>
  <c r="I358" i="21"/>
  <c r="H358" i="21"/>
  <c r="K357" i="21"/>
  <c r="J357" i="21"/>
  <c r="I357" i="21"/>
  <c r="H357" i="21"/>
  <c r="K356" i="21"/>
  <c r="J356" i="21"/>
  <c r="I356" i="21"/>
  <c r="H356" i="21"/>
  <c r="K355" i="21"/>
  <c r="J355" i="21"/>
  <c r="I355" i="21"/>
  <c r="H355" i="21"/>
  <c r="K354" i="21"/>
  <c r="J354" i="21"/>
  <c r="I354" i="21"/>
  <c r="H354" i="21"/>
  <c r="K353" i="21"/>
  <c r="J353" i="21"/>
  <c r="I353" i="21"/>
  <c r="H353" i="21"/>
  <c r="K352" i="21"/>
  <c r="J352" i="21"/>
  <c r="I352" i="21"/>
  <c r="H352" i="21"/>
  <c r="K351" i="21"/>
  <c r="J351" i="21"/>
  <c r="I351" i="21"/>
  <c r="H351" i="21"/>
  <c r="K350" i="21"/>
  <c r="J350" i="21"/>
  <c r="I350" i="21"/>
  <c r="H350" i="21"/>
  <c r="K349" i="21"/>
  <c r="J349" i="21"/>
  <c r="I349" i="21"/>
  <c r="H349" i="21"/>
  <c r="K348" i="21"/>
  <c r="J348" i="21"/>
  <c r="I348" i="21"/>
  <c r="H348" i="21"/>
  <c r="K347" i="21"/>
  <c r="J347" i="21"/>
  <c r="I347" i="21"/>
  <c r="H347" i="21"/>
  <c r="K346" i="21"/>
  <c r="J346" i="21"/>
  <c r="I346" i="21"/>
  <c r="H346" i="21"/>
  <c r="K345" i="21"/>
  <c r="J345" i="21"/>
  <c r="I345" i="21"/>
  <c r="H345" i="21"/>
  <c r="K344" i="21"/>
  <c r="J344" i="21"/>
  <c r="I344" i="21"/>
  <c r="H344" i="21"/>
  <c r="K343" i="21"/>
  <c r="J343" i="21"/>
  <c r="I343" i="21"/>
  <c r="H343" i="21"/>
  <c r="K342" i="21"/>
  <c r="J342" i="21"/>
  <c r="I342" i="21"/>
  <c r="H342" i="21"/>
  <c r="K341" i="21"/>
  <c r="J341" i="21"/>
  <c r="I341" i="21"/>
  <c r="H341" i="21"/>
  <c r="K340" i="21"/>
  <c r="J340" i="21"/>
  <c r="I340" i="21"/>
  <c r="H340" i="21"/>
  <c r="K339" i="21"/>
  <c r="J339" i="21"/>
  <c r="I339" i="21"/>
  <c r="H339" i="21"/>
  <c r="K338" i="21"/>
  <c r="J338" i="21"/>
  <c r="I338" i="21"/>
  <c r="H338" i="21"/>
  <c r="K337" i="21"/>
  <c r="J337" i="21"/>
  <c r="I337" i="21"/>
  <c r="H337" i="21"/>
  <c r="K336" i="21"/>
  <c r="J336" i="21"/>
  <c r="I336" i="21"/>
  <c r="H336" i="21"/>
  <c r="K335" i="21"/>
  <c r="J335" i="21"/>
  <c r="I335" i="21"/>
  <c r="H335" i="21"/>
  <c r="K334" i="21"/>
  <c r="J334" i="21"/>
  <c r="I334" i="21"/>
  <c r="H334" i="21"/>
  <c r="K333" i="21"/>
  <c r="J333" i="21"/>
  <c r="I333" i="21"/>
  <c r="H333" i="21"/>
  <c r="K332" i="21"/>
  <c r="J332" i="21"/>
  <c r="I332" i="21"/>
  <c r="H332" i="21"/>
  <c r="K331" i="21"/>
  <c r="J331" i="21"/>
  <c r="I331" i="21"/>
  <c r="H331" i="21"/>
  <c r="K330" i="21"/>
  <c r="J330" i="21"/>
  <c r="I330" i="21"/>
  <c r="H330" i="21"/>
  <c r="K329" i="21"/>
  <c r="J329" i="21"/>
  <c r="I329" i="21"/>
  <c r="H329" i="21"/>
  <c r="K328" i="21"/>
  <c r="J328" i="21"/>
  <c r="I328" i="21"/>
  <c r="H328" i="21"/>
  <c r="K327" i="21"/>
  <c r="J327" i="21"/>
  <c r="I327" i="21"/>
  <c r="H327" i="21"/>
  <c r="K326" i="21"/>
  <c r="J326" i="21"/>
  <c r="I326" i="21"/>
  <c r="H326" i="21"/>
  <c r="K325" i="21"/>
  <c r="J325" i="21"/>
  <c r="I325" i="21"/>
  <c r="H325" i="21"/>
  <c r="K324" i="21"/>
  <c r="J324" i="21"/>
  <c r="I324" i="21"/>
  <c r="H324" i="21"/>
  <c r="K323" i="21"/>
  <c r="J323" i="21"/>
  <c r="I323" i="21"/>
  <c r="H323" i="21"/>
  <c r="K322" i="21"/>
  <c r="J322" i="21"/>
  <c r="I322" i="21"/>
  <c r="H322" i="21"/>
  <c r="K321" i="21"/>
  <c r="J321" i="21"/>
  <c r="I321" i="21"/>
  <c r="H321" i="21"/>
  <c r="K320" i="21"/>
  <c r="J320" i="21"/>
  <c r="I320" i="21"/>
  <c r="H320" i="21"/>
  <c r="K319" i="21"/>
  <c r="J319" i="21"/>
  <c r="I319" i="21"/>
  <c r="H319" i="21"/>
  <c r="K318" i="21"/>
  <c r="J318" i="21"/>
  <c r="I318" i="21"/>
  <c r="H318" i="21"/>
  <c r="K317" i="21"/>
  <c r="J317" i="21"/>
  <c r="I317" i="21"/>
  <c r="H317" i="21"/>
  <c r="K316" i="21"/>
  <c r="J316" i="21"/>
  <c r="I316" i="21"/>
  <c r="H316" i="21"/>
  <c r="K315" i="21"/>
  <c r="J315" i="21"/>
  <c r="I315" i="21"/>
  <c r="H315" i="21"/>
  <c r="K314" i="21"/>
  <c r="J314" i="21"/>
  <c r="I314" i="21"/>
  <c r="H314" i="21"/>
  <c r="K313" i="21"/>
  <c r="J313" i="21"/>
  <c r="I313" i="21"/>
  <c r="H313" i="21"/>
  <c r="K312" i="21"/>
  <c r="J312" i="21"/>
  <c r="I312" i="21"/>
  <c r="H312" i="21"/>
  <c r="K311" i="21"/>
  <c r="J311" i="21"/>
  <c r="I311" i="21"/>
  <c r="H311" i="21"/>
  <c r="K310" i="21"/>
  <c r="J310" i="21"/>
  <c r="I310" i="21"/>
  <c r="H310" i="21"/>
  <c r="K309" i="21"/>
  <c r="J309" i="21"/>
  <c r="I309" i="21"/>
  <c r="H309" i="21"/>
  <c r="K308" i="21"/>
  <c r="J308" i="21"/>
  <c r="I308" i="21"/>
  <c r="H308" i="21"/>
  <c r="K307" i="21"/>
  <c r="J307" i="21"/>
  <c r="I307" i="21"/>
  <c r="H307" i="21"/>
  <c r="K306" i="21"/>
  <c r="J306" i="21"/>
  <c r="I306" i="21"/>
  <c r="H306" i="21"/>
  <c r="K305" i="21"/>
  <c r="J305" i="21"/>
  <c r="I305" i="21"/>
  <c r="H305" i="21"/>
  <c r="K304" i="21"/>
  <c r="J304" i="21"/>
  <c r="I304" i="21"/>
  <c r="H304" i="21"/>
  <c r="K303" i="21"/>
  <c r="J303" i="21"/>
  <c r="I303" i="21"/>
  <c r="H303" i="21"/>
  <c r="K302" i="21"/>
  <c r="J302" i="21"/>
  <c r="I302" i="21"/>
  <c r="H302" i="21"/>
  <c r="K301" i="21"/>
  <c r="J301" i="21"/>
  <c r="I301" i="21"/>
  <c r="H301" i="21"/>
  <c r="K300" i="21"/>
  <c r="J300" i="21"/>
  <c r="I300" i="21"/>
  <c r="H300" i="21"/>
  <c r="K299" i="21"/>
  <c r="J299" i="21"/>
  <c r="I299" i="21"/>
  <c r="H299" i="21"/>
  <c r="K298" i="21"/>
  <c r="J298" i="21"/>
  <c r="I298" i="21"/>
  <c r="H298" i="21"/>
  <c r="K297" i="21"/>
  <c r="J297" i="21"/>
  <c r="I297" i="21"/>
  <c r="H297" i="21"/>
  <c r="K296" i="21"/>
  <c r="J296" i="21"/>
  <c r="I296" i="21"/>
  <c r="H296" i="21"/>
  <c r="K295" i="21"/>
  <c r="J295" i="21"/>
  <c r="I295" i="21"/>
  <c r="H295" i="21"/>
  <c r="K294" i="21"/>
  <c r="J294" i="21"/>
  <c r="I294" i="21"/>
  <c r="H294" i="21"/>
  <c r="K293" i="21"/>
  <c r="J293" i="21"/>
  <c r="I293" i="21"/>
  <c r="H293" i="21"/>
  <c r="K292" i="21"/>
  <c r="J292" i="21"/>
  <c r="I292" i="21"/>
  <c r="H292" i="21"/>
  <c r="K291" i="21"/>
  <c r="J291" i="21"/>
  <c r="I291" i="21"/>
  <c r="H291" i="21"/>
  <c r="K290" i="21"/>
  <c r="J290" i="21"/>
  <c r="I290" i="21"/>
  <c r="H290" i="21"/>
  <c r="K289" i="21"/>
  <c r="J289" i="21"/>
  <c r="I289" i="21"/>
  <c r="H289" i="21"/>
  <c r="K288" i="21"/>
  <c r="J288" i="21"/>
  <c r="I288" i="21"/>
  <c r="H288" i="21"/>
  <c r="K287" i="21"/>
  <c r="J287" i="21"/>
  <c r="I287" i="21"/>
  <c r="H287" i="21"/>
  <c r="K286" i="21"/>
  <c r="J286" i="21"/>
  <c r="I286" i="21"/>
  <c r="H286" i="21"/>
  <c r="K285" i="21"/>
  <c r="J285" i="21"/>
  <c r="I285" i="21"/>
  <c r="H285" i="21"/>
  <c r="K284" i="21"/>
  <c r="J284" i="21"/>
  <c r="I284" i="21"/>
  <c r="H284" i="21"/>
  <c r="K283" i="21"/>
  <c r="J283" i="21"/>
  <c r="I283" i="21"/>
  <c r="H283" i="21"/>
  <c r="K282" i="21"/>
  <c r="J282" i="21"/>
  <c r="I282" i="21"/>
  <c r="H282" i="21"/>
  <c r="K281" i="21"/>
  <c r="J281" i="21"/>
  <c r="I281" i="21"/>
  <c r="H281" i="21"/>
  <c r="K280" i="21"/>
  <c r="J280" i="21"/>
  <c r="I280" i="21"/>
  <c r="H280" i="21"/>
  <c r="K279" i="21"/>
  <c r="J279" i="21"/>
  <c r="I279" i="21"/>
  <c r="H279" i="21"/>
  <c r="K278" i="21"/>
  <c r="J278" i="21"/>
  <c r="I278" i="21"/>
  <c r="H278" i="21"/>
  <c r="K277" i="21"/>
  <c r="J277" i="21"/>
  <c r="I277" i="21"/>
  <c r="H277" i="21"/>
  <c r="K276" i="21"/>
  <c r="J276" i="21"/>
  <c r="I276" i="21"/>
  <c r="H276" i="21"/>
  <c r="K275" i="21"/>
  <c r="J275" i="21"/>
  <c r="I275" i="21"/>
  <c r="H275" i="21"/>
  <c r="K274" i="21"/>
  <c r="J274" i="21"/>
  <c r="I274" i="21"/>
  <c r="H274" i="21"/>
  <c r="K273" i="21"/>
  <c r="J273" i="21"/>
  <c r="I273" i="21"/>
  <c r="H273" i="21"/>
  <c r="K272" i="21"/>
  <c r="J272" i="21"/>
  <c r="I272" i="21"/>
  <c r="H272" i="21"/>
  <c r="K271" i="21"/>
  <c r="J271" i="21"/>
  <c r="I271" i="21"/>
  <c r="H271" i="21"/>
  <c r="K270" i="21"/>
  <c r="J270" i="21"/>
  <c r="I270" i="21"/>
  <c r="H270" i="21"/>
  <c r="K269" i="21"/>
  <c r="J269" i="21"/>
  <c r="I269" i="21"/>
  <c r="H269" i="21"/>
  <c r="K268" i="21"/>
  <c r="J268" i="21"/>
  <c r="I268" i="21"/>
  <c r="H268" i="21"/>
  <c r="K267" i="21"/>
  <c r="J267" i="21"/>
  <c r="I267" i="21"/>
  <c r="H267" i="21"/>
  <c r="K266" i="21"/>
  <c r="J266" i="21"/>
  <c r="I266" i="21"/>
  <c r="H266" i="21"/>
  <c r="K265" i="21"/>
  <c r="J265" i="21"/>
  <c r="I265" i="21"/>
  <c r="H265" i="21"/>
  <c r="K264" i="21"/>
  <c r="J264" i="21"/>
  <c r="I264" i="21"/>
  <c r="H264" i="21"/>
  <c r="K263" i="21"/>
  <c r="J263" i="21"/>
  <c r="I263" i="21"/>
  <c r="H263" i="21"/>
  <c r="K262" i="21"/>
  <c r="J262" i="21"/>
  <c r="I262" i="21"/>
  <c r="H262" i="21"/>
  <c r="K261" i="21"/>
  <c r="J261" i="21"/>
  <c r="I261" i="21"/>
  <c r="H261" i="21"/>
  <c r="K260" i="21"/>
  <c r="J260" i="21"/>
  <c r="I260" i="21"/>
  <c r="H260" i="21"/>
  <c r="K259" i="21"/>
  <c r="J259" i="21"/>
  <c r="I259" i="21"/>
  <c r="H259" i="21"/>
  <c r="K258" i="21"/>
  <c r="J258" i="21"/>
  <c r="I258" i="21"/>
  <c r="H258" i="21"/>
  <c r="K257" i="21"/>
  <c r="J257" i="21"/>
  <c r="I257" i="21"/>
  <c r="H257" i="21"/>
  <c r="K256" i="21"/>
  <c r="J256" i="21"/>
  <c r="I256" i="21"/>
  <c r="H256" i="21"/>
  <c r="K255" i="21"/>
  <c r="J255" i="21"/>
  <c r="I255" i="21"/>
  <c r="H255" i="21"/>
  <c r="K254" i="21"/>
  <c r="J254" i="21"/>
  <c r="I254" i="21"/>
  <c r="H254" i="21"/>
  <c r="K253" i="21"/>
  <c r="J253" i="21"/>
  <c r="I253" i="21"/>
  <c r="H253" i="21"/>
  <c r="K252" i="21"/>
  <c r="J252" i="21"/>
  <c r="I252" i="21"/>
  <c r="H252" i="21"/>
  <c r="K251" i="21"/>
  <c r="J251" i="21"/>
  <c r="I251" i="21"/>
  <c r="H251" i="21"/>
  <c r="K250" i="21"/>
  <c r="J250" i="21"/>
  <c r="I250" i="21"/>
  <c r="H250" i="21"/>
  <c r="K249" i="21"/>
  <c r="J249" i="21"/>
  <c r="I249" i="21"/>
  <c r="H249" i="21"/>
  <c r="K248" i="21"/>
  <c r="I248" i="21"/>
  <c r="H248" i="21"/>
  <c r="K247" i="21"/>
  <c r="J247" i="21"/>
  <c r="I247" i="21"/>
  <c r="H247" i="21"/>
  <c r="K246" i="21"/>
  <c r="J246" i="21"/>
  <c r="I246" i="21"/>
  <c r="H246" i="21"/>
  <c r="K245" i="21"/>
  <c r="J245" i="21"/>
  <c r="I245" i="21"/>
  <c r="H245" i="21"/>
  <c r="K244" i="21"/>
  <c r="J244" i="21"/>
  <c r="I244" i="21"/>
  <c r="H244" i="21"/>
  <c r="K243" i="21"/>
  <c r="J243" i="21"/>
  <c r="I243" i="21"/>
  <c r="H243" i="21"/>
  <c r="K242" i="21"/>
  <c r="J242" i="21"/>
  <c r="I242" i="21"/>
  <c r="H242" i="21"/>
  <c r="K241" i="21"/>
  <c r="J241" i="21"/>
  <c r="I241" i="21"/>
  <c r="H241" i="21"/>
  <c r="K240" i="21"/>
  <c r="J240" i="21"/>
  <c r="I240" i="21"/>
  <c r="H240" i="21"/>
  <c r="K239" i="21"/>
  <c r="J239" i="21"/>
  <c r="I239" i="21"/>
  <c r="H239" i="21"/>
  <c r="K238" i="21"/>
  <c r="J238" i="21"/>
  <c r="I238" i="21"/>
  <c r="H238" i="21"/>
  <c r="K237" i="21"/>
  <c r="J237" i="21"/>
  <c r="I237" i="21"/>
  <c r="H237" i="21"/>
  <c r="K236" i="21"/>
  <c r="J236" i="21"/>
  <c r="I236" i="21"/>
  <c r="H236" i="21"/>
  <c r="K235" i="21"/>
  <c r="J235" i="21"/>
  <c r="I235" i="21"/>
  <c r="H235" i="21"/>
  <c r="K234" i="21"/>
  <c r="J234" i="21"/>
  <c r="I234" i="21"/>
  <c r="H234" i="21"/>
  <c r="K233" i="21"/>
  <c r="J233" i="21"/>
  <c r="I233" i="21"/>
  <c r="H233" i="21"/>
  <c r="K232" i="21"/>
  <c r="J232" i="21"/>
  <c r="I232" i="21"/>
  <c r="H232" i="21"/>
  <c r="K231" i="21"/>
  <c r="J231" i="21"/>
  <c r="I231" i="21"/>
  <c r="H231" i="21"/>
  <c r="K230" i="21"/>
  <c r="J230" i="21"/>
  <c r="I230" i="21"/>
  <c r="H230" i="21"/>
  <c r="K229" i="21"/>
  <c r="J229" i="21"/>
  <c r="I229" i="21"/>
  <c r="H229" i="21"/>
  <c r="K228" i="21"/>
  <c r="J228" i="21"/>
  <c r="I228" i="21"/>
  <c r="H228" i="21"/>
  <c r="K227" i="21"/>
  <c r="J227" i="21"/>
  <c r="I227" i="21"/>
  <c r="H227" i="21"/>
  <c r="K226" i="21"/>
  <c r="J226" i="21"/>
  <c r="I226" i="21"/>
  <c r="H226" i="21"/>
  <c r="K225" i="21"/>
  <c r="J225" i="21"/>
  <c r="I225" i="21"/>
  <c r="H225" i="21"/>
  <c r="K224" i="21"/>
  <c r="J224" i="21"/>
  <c r="I224" i="21"/>
  <c r="H224" i="21"/>
  <c r="K223" i="21"/>
  <c r="J223" i="21"/>
  <c r="I223" i="21"/>
  <c r="H223" i="21"/>
  <c r="K222" i="21"/>
  <c r="J222" i="21"/>
  <c r="I222" i="21"/>
  <c r="H222" i="21"/>
  <c r="K221" i="21"/>
  <c r="J221" i="21"/>
  <c r="I221" i="21"/>
  <c r="H221" i="21"/>
  <c r="K220" i="21"/>
  <c r="J220" i="21"/>
  <c r="I220" i="21"/>
  <c r="H220" i="21"/>
  <c r="K219" i="21"/>
  <c r="J219" i="21"/>
  <c r="I219" i="21"/>
  <c r="H219" i="21"/>
  <c r="K218" i="21"/>
  <c r="J218" i="21"/>
  <c r="I218" i="21"/>
  <c r="H218" i="21"/>
  <c r="K217" i="21"/>
  <c r="J217" i="21"/>
  <c r="I217" i="21"/>
  <c r="H217" i="21"/>
  <c r="K216" i="21"/>
  <c r="J216" i="21"/>
  <c r="I216" i="21"/>
  <c r="H216" i="21"/>
  <c r="K215" i="21"/>
  <c r="J215" i="21"/>
  <c r="I215" i="21"/>
  <c r="H215" i="21"/>
  <c r="K214" i="21"/>
  <c r="J214" i="21"/>
  <c r="I214" i="21"/>
  <c r="H214" i="21"/>
  <c r="K213" i="21"/>
  <c r="J213" i="21"/>
  <c r="I213" i="21"/>
  <c r="H213" i="21"/>
  <c r="K212" i="21"/>
  <c r="J212" i="21"/>
  <c r="I212" i="21"/>
  <c r="H212" i="21"/>
  <c r="K211" i="21"/>
  <c r="J211" i="21"/>
  <c r="I211" i="21"/>
  <c r="H211" i="21"/>
  <c r="K210" i="21"/>
  <c r="J210" i="21"/>
  <c r="I210" i="21"/>
  <c r="H210" i="21"/>
  <c r="K209" i="21"/>
  <c r="J209" i="21"/>
  <c r="I209" i="21"/>
  <c r="H209" i="21"/>
  <c r="K208" i="21"/>
  <c r="J208" i="21"/>
  <c r="I208" i="21"/>
  <c r="H208" i="21"/>
  <c r="K207" i="21"/>
  <c r="J207" i="21"/>
  <c r="I207" i="21"/>
  <c r="H207" i="21"/>
  <c r="K206" i="21"/>
  <c r="J206" i="21"/>
  <c r="I206" i="21"/>
  <c r="H206" i="21"/>
  <c r="K205" i="21"/>
  <c r="J205" i="21"/>
  <c r="I205" i="21"/>
  <c r="H205" i="21"/>
  <c r="K204" i="21"/>
  <c r="J204" i="21"/>
  <c r="I204" i="21"/>
  <c r="H204" i="21"/>
  <c r="K203" i="21"/>
  <c r="J203" i="21"/>
  <c r="I203" i="21"/>
  <c r="H203" i="21"/>
  <c r="K202" i="21"/>
  <c r="J202" i="21"/>
  <c r="I202" i="21"/>
  <c r="H202" i="21"/>
  <c r="K201" i="21"/>
  <c r="J201" i="21"/>
  <c r="I201" i="21"/>
  <c r="H201" i="21"/>
  <c r="K200" i="21"/>
  <c r="J200" i="21"/>
  <c r="I200" i="21"/>
  <c r="H200" i="21"/>
  <c r="K199" i="21"/>
  <c r="J199" i="21"/>
  <c r="I199" i="21"/>
  <c r="H199" i="21"/>
  <c r="K198" i="21"/>
  <c r="J198" i="21"/>
  <c r="I198" i="21"/>
  <c r="H198" i="21"/>
  <c r="K197" i="21"/>
  <c r="J197" i="21"/>
  <c r="I197" i="21"/>
  <c r="H197" i="21"/>
  <c r="K196" i="21"/>
  <c r="J196" i="21"/>
  <c r="I196" i="21"/>
  <c r="H196" i="21"/>
  <c r="K195" i="21"/>
  <c r="J195" i="21"/>
  <c r="I195" i="21"/>
  <c r="H195" i="21"/>
  <c r="K194" i="21"/>
  <c r="J194" i="21"/>
  <c r="I194" i="21"/>
  <c r="H194" i="21"/>
  <c r="K193" i="21"/>
  <c r="J193" i="21"/>
  <c r="I193" i="21"/>
  <c r="H193" i="21"/>
  <c r="K192" i="21"/>
  <c r="J192" i="21"/>
  <c r="I192" i="21"/>
  <c r="H192" i="21"/>
  <c r="K191" i="21"/>
  <c r="J191" i="21"/>
  <c r="I191" i="21"/>
  <c r="H191" i="21"/>
  <c r="K190" i="21"/>
  <c r="J190" i="21"/>
  <c r="I190" i="21"/>
  <c r="H190" i="21"/>
  <c r="K189" i="21"/>
  <c r="J189" i="21"/>
  <c r="I189" i="21"/>
  <c r="H189" i="21"/>
  <c r="K188" i="21"/>
  <c r="J188" i="21"/>
  <c r="I188" i="21"/>
  <c r="H188" i="21"/>
  <c r="K187" i="21"/>
  <c r="J187" i="21"/>
  <c r="I187" i="21"/>
  <c r="H187" i="21"/>
  <c r="K186" i="21"/>
  <c r="J186" i="21"/>
  <c r="I186" i="21"/>
  <c r="H186" i="21"/>
  <c r="K185" i="21"/>
  <c r="J185" i="21"/>
  <c r="I185" i="21"/>
  <c r="H185" i="21"/>
  <c r="K184" i="21"/>
  <c r="J184" i="21"/>
  <c r="I184" i="21"/>
  <c r="H184" i="21"/>
  <c r="K183" i="21"/>
  <c r="J183" i="21"/>
  <c r="I183" i="21"/>
  <c r="H183" i="21"/>
  <c r="K182" i="21"/>
  <c r="J182" i="21"/>
  <c r="I182" i="21"/>
  <c r="H182" i="21"/>
  <c r="K181" i="21"/>
  <c r="J181" i="21"/>
  <c r="I181" i="21"/>
  <c r="H181" i="21"/>
  <c r="K180" i="21"/>
  <c r="J180" i="21"/>
  <c r="I180" i="21"/>
  <c r="H180" i="21"/>
  <c r="K179" i="21"/>
  <c r="J179" i="21"/>
  <c r="I179" i="21"/>
  <c r="H179" i="21"/>
  <c r="K178" i="21"/>
  <c r="J178" i="21"/>
  <c r="I178" i="21"/>
  <c r="H178" i="21"/>
  <c r="K177" i="21"/>
  <c r="J177" i="21"/>
  <c r="I177" i="21"/>
  <c r="H177" i="21"/>
  <c r="K176" i="21"/>
  <c r="J176" i="21"/>
  <c r="I176" i="21"/>
  <c r="H176" i="21"/>
  <c r="K175" i="21"/>
  <c r="J175" i="21"/>
  <c r="I175" i="21"/>
  <c r="H175" i="21"/>
  <c r="K174" i="21"/>
  <c r="J174" i="21"/>
  <c r="I174" i="21"/>
  <c r="H174" i="21"/>
  <c r="K173" i="21"/>
  <c r="J173" i="21"/>
  <c r="I173" i="21"/>
  <c r="H173" i="21"/>
  <c r="K172" i="21"/>
  <c r="J172" i="21"/>
  <c r="I172" i="21"/>
  <c r="H172" i="21"/>
  <c r="K171" i="21"/>
  <c r="J171" i="21"/>
  <c r="I171" i="21"/>
  <c r="H171" i="21"/>
  <c r="K170" i="21"/>
  <c r="J170" i="21"/>
  <c r="I170" i="21"/>
  <c r="H170" i="21"/>
  <c r="K169" i="21"/>
  <c r="J169" i="21"/>
  <c r="I169" i="21"/>
  <c r="H169" i="21"/>
  <c r="K168" i="21"/>
  <c r="J168" i="21"/>
  <c r="I168" i="21"/>
  <c r="H168" i="21"/>
  <c r="K167" i="21"/>
  <c r="J167" i="21"/>
  <c r="I167" i="21"/>
  <c r="H167" i="21"/>
  <c r="K166" i="21"/>
  <c r="J166" i="21"/>
  <c r="I166" i="21"/>
  <c r="H166" i="21"/>
  <c r="K165" i="21"/>
  <c r="J165" i="21"/>
  <c r="I165" i="21"/>
  <c r="H165" i="21"/>
  <c r="K164" i="21"/>
  <c r="J164" i="21"/>
  <c r="I164" i="21"/>
  <c r="H164" i="21"/>
  <c r="K163" i="21"/>
  <c r="J163" i="21"/>
  <c r="I163" i="21"/>
  <c r="H163" i="21"/>
  <c r="K162" i="21"/>
  <c r="J162" i="21"/>
  <c r="I162" i="21"/>
  <c r="H162" i="21"/>
  <c r="K161" i="21"/>
  <c r="J161" i="21"/>
  <c r="I161" i="21"/>
  <c r="H161" i="21"/>
  <c r="K160" i="21"/>
  <c r="J160" i="21"/>
  <c r="I160" i="21"/>
  <c r="H160" i="21"/>
  <c r="K159" i="21"/>
  <c r="J159" i="21"/>
  <c r="I159" i="21"/>
  <c r="H159" i="21"/>
  <c r="K158" i="21"/>
  <c r="J158" i="21"/>
  <c r="I158" i="21"/>
  <c r="H158" i="21"/>
  <c r="K157" i="21"/>
  <c r="J157" i="21"/>
  <c r="I157" i="21"/>
  <c r="H157" i="21"/>
  <c r="K156" i="21"/>
  <c r="J156" i="21"/>
  <c r="I156" i="21"/>
  <c r="H156" i="21"/>
  <c r="K155" i="21"/>
  <c r="J155" i="21"/>
  <c r="I155" i="21"/>
  <c r="H155" i="21"/>
  <c r="K154" i="21"/>
  <c r="J154" i="21"/>
  <c r="I154" i="21"/>
  <c r="H154" i="21"/>
  <c r="K153" i="21"/>
  <c r="J153" i="21"/>
  <c r="I153" i="21"/>
  <c r="H153" i="21"/>
  <c r="K152" i="21"/>
  <c r="J152" i="21"/>
  <c r="I152" i="21"/>
  <c r="H152" i="21"/>
  <c r="K151" i="21"/>
  <c r="J151" i="21"/>
  <c r="I151" i="21"/>
  <c r="H151" i="21"/>
  <c r="K150" i="21"/>
  <c r="J150" i="21"/>
  <c r="I150" i="21"/>
  <c r="H150" i="21"/>
  <c r="K149" i="21"/>
  <c r="J149" i="21"/>
  <c r="I149" i="21"/>
  <c r="H149" i="21"/>
  <c r="K148" i="21"/>
  <c r="J148" i="21"/>
  <c r="I148" i="21"/>
  <c r="H148" i="21"/>
  <c r="K147" i="21"/>
  <c r="J147" i="21"/>
  <c r="I147" i="21"/>
  <c r="H147" i="21"/>
  <c r="K146" i="21"/>
  <c r="J146" i="21"/>
  <c r="I146" i="21"/>
  <c r="H146" i="21"/>
  <c r="K145" i="21"/>
  <c r="J145" i="21"/>
  <c r="I145" i="21"/>
  <c r="H145" i="21"/>
  <c r="K144" i="21"/>
  <c r="J144" i="21"/>
  <c r="I144" i="21"/>
  <c r="H144" i="21"/>
  <c r="K143" i="21"/>
  <c r="J143" i="21"/>
  <c r="I143" i="21"/>
  <c r="H143" i="21"/>
  <c r="K142" i="21"/>
  <c r="J142" i="21"/>
  <c r="I142" i="21"/>
  <c r="H142" i="21"/>
  <c r="K141" i="21"/>
  <c r="J141" i="21"/>
  <c r="I141" i="21"/>
  <c r="H141" i="21"/>
  <c r="K140" i="21"/>
  <c r="J140" i="21"/>
  <c r="I140" i="21"/>
  <c r="H140" i="21"/>
  <c r="K139" i="21"/>
  <c r="J139" i="21"/>
  <c r="I139" i="21"/>
  <c r="H139" i="21"/>
  <c r="K138" i="21"/>
  <c r="J138" i="21"/>
  <c r="I138" i="21"/>
  <c r="H138" i="21"/>
  <c r="K137" i="21"/>
  <c r="J137" i="21"/>
  <c r="I137" i="21"/>
  <c r="H137" i="21"/>
  <c r="K136" i="21"/>
  <c r="J136" i="21"/>
  <c r="I136" i="21"/>
  <c r="H136" i="21"/>
  <c r="K135" i="21"/>
  <c r="J135" i="21"/>
  <c r="I135" i="21"/>
  <c r="H135" i="21"/>
  <c r="K134" i="21"/>
  <c r="J134" i="21"/>
  <c r="I134" i="21"/>
  <c r="H134" i="21"/>
  <c r="K133" i="21"/>
  <c r="J133" i="21"/>
  <c r="I133" i="21"/>
  <c r="H133" i="21"/>
  <c r="K132" i="21"/>
  <c r="J132" i="21"/>
  <c r="I132" i="21"/>
  <c r="H132" i="21"/>
  <c r="K131" i="21"/>
  <c r="J131" i="21"/>
  <c r="I131" i="21"/>
  <c r="H131" i="21"/>
  <c r="K130" i="21"/>
  <c r="J130" i="21"/>
  <c r="I130" i="21"/>
  <c r="H130" i="21"/>
  <c r="K129" i="21"/>
  <c r="J129" i="21"/>
  <c r="I129" i="21"/>
  <c r="H129" i="21"/>
  <c r="K128" i="21"/>
  <c r="J128" i="21"/>
  <c r="I128" i="21"/>
  <c r="H128" i="21"/>
  <c r="K127" i="21"/>
  <c r="J127" i="21"/>
  <c r="I127" i="21"/>
  <c r="H127" i="21"/>
  <c r="K126" i="21"/>
  <c r="J126" i="21"/>
  <c r="I126" i="21"/>
  <c r="H126" i="21"/>
  <c r="K125" i="21"/>
  <c r="J125" i="21"/>
  <c r="I125" i="21"/>
  <c r="H125" i="21"/>
  <c r="K124" i="21"/>
  <c r="J124" i="21"/>
  <c r="I124" i="21"/>
  <c r="H124" i="21"/>
  <c r="K123" i="21"/>
  <c r="J123" i="21"/>
  <c r="I123" i="21"/>
  <c r="H123" i="21"/>
  <c r="K122" i="21"/>
  <c r="J122" i="21"/>
  <c r="I122" i="21"/>
  <c r="H122" i="21"/>
  <c r="K121" i="21"/>
  <c r="J121" i="21"/>
  <c r="I121" i="21"/>
  <c r="H121" i="21"/>
  <c r="K120" i="21"/>
  <c r="J120" i="21"/>
  <c r="I120" i="21"/>
  <c r="H120" i="21"/>
  <c r="K119" i="21"/>
  <c r="J119" i="21"/>
  <c r="I119" i="21"/>
  <c r="H119" i="21"/>
  <c r="K118" i="21"/>
  <c r="J118" i="21"/>
  <c r="I118" i="21"/>
  <c r="H118" i="21"/>
  <c r="K117" i="21"/>
  <c r="J117" i="21"/>
  <c r="I117" i="21"/>
  <c r="H117" i="21"/>
  <c r="K116" i="21"/>
  <c r="J116" i="21"/>
  <c r="I116" i="21"/>
  <c r="H116" i="21"/>
  <c r="K115" i="21"/>
  <c r="J115" i="21"/>
  <c r="I115" i="21"/>
  <c r="H115" i="21"/>
  <c r="K114" i="21"/>
  <c r="J114" i="21"/>
  <c r="I114" i="21"/>
  <c r="H114" i="21"/>
  <c r="K113" i="21"/>
  <c r="J113" i="21"/>
  <c r="I113" i="21"/>
  <c r="H113" i="21"/>
  <c r="K112" i="21"/>
  <c r="J112" i="21"/>
  <c r="I112" i="21"/>
  <c r="H112" i="21"/>
  <c r="K111" i="21"/>
  <c r="J111" i="21"/>
  <c r="I111" i="21"/>
  <c r="H111" i="21"/>
  <c r="K110" i="21"/>
  <c r="J110" i="21"/>
  <c r="I110" i="21"/>
  <c r="H110" i="21"/>
  <c r="K109" i="21"/>
  <c r="J109" i="21"/>
  <c r="I109" i="21"/>
  <c r="H109" i="21"/>
  <c r="K108" i="21"/>
  <c r="J108" i="21"/>
  <c r="I108" i="21"/>
  <c r="H108" i="21"/>
  <c r="K107" i="21"/>
  <c r="J107" i="21"/>
  <c r="I107" i="21"/>
  <c r="H107" i="21"/>
  <c r="K106" i="21"/>
  <c r="J106" i="21"/>
  <c r="I106" i="21"/>
  <c r="H106" i="21"/>
  <c r="K105" i="21"/>
  <c r="J105" i="21"/>
  <c r="I105" i="21"/>
  <c r="H105" i="21"/>
  <c r="K104" i="21"/>
  <c r="J104" i="21"/>
  <c r="I104" i="21"/>
  <c r="H104" i="21"/>
  <c r="K103" i="21"/>
  <c r="J103" i="21"/>
  <c r="I103" i="21"/>
  <c r="H103" i="21"/>
  <c r="K102" i="21"/>
  <c r="J102" i="21"/>
  <c r="I102" i="21"/>
  <c r="H102" i="21"/>
  <c r="K101" i="21"/>
  <c r="J101" i="21"/>
  <c r="I101" i="21"/>
  <c r="H101" i="21"/>
  <c r="K100" i="21"/>
  <c r="J100" i="21"/>
  <c r="I100" i="21"/>
  <c r="H100" i="21"/>
  <c r="K99" i="21"/>
  <c r="J99" i="21"/>
  <c r="I99" i="21"/>
  <c r="H99" i="21"/>
  <c r="K98" i="21"/>
  <c r="J98" i="21"/>
  <c r="I98" i="21"/>
  <c r="H98" i="21"/>
  <c r="K97" i="21"/>
  <c r="J97" i="21"/>
  <c r="I97" i="21"/>
  <c r="H97" i="21"/>
  <c r="K96" i="21"/>
  <c r="J96" i="21"/>
  <c r="I96" i="21"/>
  <c r="H96" i="21"/>
  <c r="K95" i="21"/>
  <c r="J95" i="21"/>
  <c r="I95" i="21"/>
  <c r="H95" i="21"/>
  <c r="K94" i="21"/>
  <c r="J94" i="21"/>
  <c r="I94" i="21"/>
  <c r="H94" i="21"/>
  <c r="K93" i="21"/>
  <c r="J93" i="21"/>
  <c r="I93" i="21"/>
  <c r="H93" i="21"/>
  <c r="K92" i="21"/>
  <c r="J92" i="21"/>
  <c r="I92" i="21"/>
  <c r="H92" i="21"/>
  <c r="K91" i="21"/>
  <c r="J91" i="21"/>
  <c r="I91" i="21"/>
  <c r="H91" i="21"/>
  <c r="K90" i="21"/>
  <c r="J90" i="21"/>
  <c r="I90" i="21"/>
  <c r="H90" i="21"/>
  <c r="K89" i="21"/>
  <c r="J89" i="21"/>
  <c r="I89" i="21"/>
  <c r="H89" i="21"/>
  <c r="K88" i="21"/>
  <c r="J88" i="21"/>
  <c r="I88" i="21"/>
  <c r="H88" i="21"/>
  <c r="K87" i="21"/>
  <c r="J87" i="21"/>
  <c r="I87" i="21"/>
  <c r="H87" i="21"/>
  <c r="K86" i="21"/>
  <c r="J86" i="21"/>
  <c r="I86" i="21"/>
  <c r="H86" i="21"/>
  <c r="K85" i="21"/>
  <c r="J85" i="21"/>
  <c r="I85" i="21"/>
  <c r="H85" i="21"/>
  <c r="K84" i="21"/>
  <c r="J84" i="21"/>
  <c r="I84" i="21"/>
  <c r="H84" i="21"/>
  <c r="K83" i="21"/>
  <c r="J83" i="21"/>
  <c r="I83" i="21"/>
  <c r="H83" i="21"/>
  <c r="K82" i="21"/>
  <c r="J82" i="21"/>
  <c r="I82" i="21"/>
  <c r="H82" i="21"/>
  <c r="K81" i="21"/>
  <c r="J81" i="21"/>
  <c r="I81" i="21"/>
  <c r="H81" i="21"/>
  <c r="K80" i="21"/>
  <c r="J80" i="21"/>
  <c r="I80" i="21"/>
  <c r="H80" i="21"/>
  <c r="K79" i="21"/>
  <c r="J79" i="21"/>
  <c r="I79" i="21"/>
  <c r="H79" i="21"/>
  <c r="K78" i="21"/>
  <c r="J78" i="21"/>
  <c r="I78" i="21"/>
  <c r="H78" i="21"/>
  <c r="K77" i="21"/>
  <c r="J77" i="21"/>
  <c r="I77" i="21"/>
  <c r="H77" i="21"/>
  <c r="K76" i="21"/>
  <c r="J76" i="21"/>
  <c r="I76" i="21"/>
  <c r="H76" i="21"/>
  <c r="K75" i="21"/>
  <c r="J75" i="21"/>
  <c r="I75" i="21"/>
  <c r="H75" i="21"/>
  <c r="K74" i="21"/>
  <c r="J74" i="21"/>
  <c r="I74" i="21"/>
  <c r="H74" i="21"/>
  <c r="K73" i="21"/>
  <c r="J73" i="21"/>
  <c r="I73" i="21"/>
  <c r="H73" i="21"/>
  <c r="K72" i="21"/>
  <c r="J72" i="21"/>
  <c r="I72" i="21"/>
  <c r="H72" i="21"/>
  <c r="K71" i="21"/>
  <c r="J71" i="21"/>
  <c r="I71" i="21"/>
  <c r="H71" i="21"/>
  <c r="K70" i="21"/>
  <c r="J70" i="21"/>
  <c r="I70" i="21"/>
  <c r="H70" i="21"/>
  <c r="K69" i="21"/>
  <c r="J69" i="21"/>
  <c r="I69" i="21"/>
  <c r="H69" i="21"/>
  <c r="K68" i="21"/>
  <c r="J68" i="21"/>
  <c r="I68" i="21"/>
  <c r="H68" i="21"/>
  <c r="K67" i="21"/>
  <c r="J67" i="21"/>
  <c r="I67" i="21"/>
  <c r="H67" i="21"/>
  <c r="K66" i="21"/>
  <c r="J66" i="21"/>
  <c r="I66" i="21"/>
  <c r="H66" i="21"/>
  <c r="K65" i="21"/>
  <c r="J65" i="21"/>
  <c r="I65" i="21"/>
  <c r="H65" i="21"/>
  <c r="K64" i="21"/>
  <c r="J64" i="21"/>
  <c r="I64" i="21"/>
  <c r="H64" i="21"/>
  <c r="K63" i="21"/>
  <c r="J63" i="21"/>
  <c r="I63" i="21"/>
  <c r="H63" i="21"/>
  <c r="K62" i="21"/>
  <c r="J62" i="21"/>
  <c r="I62" i="21"/>
  <c r="H62" i="21"/>
  <c r="K61" i="21"/>
  <c r="J61" i="21"/>
  <c r="I61" i="21"/>
  <c r="H61" i="21"/>
  <c r="K60" i="21"/>
  <c r="J60" i="21"/>
  <c r="I60" i="21"/>
  <c r="H60" i="21"/>
  <c r="K59" i="21"/>
  <c r="J59" i="21"/>
  <c r="I59" i="21"/>
  <c r="H59" i="21"/>
  <c r="K58" i="21"/>
  <c r="J58" i="21"/>
  <c r="I58" i="21"/>
  <c r="H58" i="21"/>
  <c r="K57" i="21"/>
  <c r="J57" i="21"/>
  <c r="I57" i="21"/>
  <c r="H57" i="21"/>
  <c r="K56" i="21"/>
  <c r="J56" i="21"/>
  <c r="I56" i="21"/>
  <c r="H56" i="21"/>
  <c r="K55" i="21"/>
  <c r="J55" i="21"/>
  <c r="I55" i="21"/>
  <c r="H55" i="21"/>
  <c r="K54" i="21"/>
  <c r="J54" i="21"/>
  <c r="I54" i="21"/>
  <c r="H54" i="21"/>
  <c r="K53" i="21"/>
  <c r="J53" i="21"/>
  <c r="I53" i="21"/>
  <c r="H53" i="21"/>
  <c r="K52" i="21"/>
  <c r="J52" i="21"/>
  <c r="I52" i="21"/>
  <c r="H52" i="21"/>
  <c r="K51" i="21"/>
  <c r="J51" i="21"/>
  <c r="I51" i="21"/>
  <c r="H51" i="21"/>
  <c r="K50" i="21"/>
  <c r="J50" i="21"/>
  <c r="I50" i="21"/>
  <c r="H50" i="21"/>
  <c r="K49" i="21"/>
  <c r="J49" i="21"/>
  <c r="I49" i="21"/>
  <c r="H49" i="21"/>
  <c r="K48" i="21"/>
  <c r="J48" i="21"/>
  <c r="I48" i="21"/>
  <c r="H48" i="21"/>
  <c r="K47" i="21"/>
  <c r="J47" i="21"/>
  <c r="I47" i="21"/>
  <c r="H47" i="21"/>
  <c r="K46" i="21"/>
  <c r="J46" i="21"/>
  <c r="I46" i="21"/>
  <c r="H46" i="21"/>
  <c r="K45" i="21"/>
  <c r="J45" i="21"/>
  <c r="I45" i="21"/>
  <c r="H45" i="21"/>
  <c r="K44" i="21"/>
  <c r="J44" i="21"/>
  <c r="I44" i="21"/>
  <c r="H44" i="21"/>
  <c r="K43" i="21"/>
  <c r="J43" i="21"/>
  <c r="I43" i="21"/>
  <c r="H43" i="21"/>
  <c r="K42" i="21"/>
  <c r="J42" i="21"/>
  <c r="I42" i="21"/>
  <c r="H42" i="21"/>
  <c r="K41" i="21"/>
  <c r="J41" i="21"/>
  <c r="I41" i="21"/>
  <c r="H41" i="21"/>
  <c r="K40" i="21"/>
  <c r="J40" i="21"/>
  <c r="I40" i="21"/>
  <c r="H40" i="21"/>
  <c r="K39" i="21"/>
  <c r="J39" i="21"/>
  <c r="I39" i="21"/>
  <c r="H39" i="21"/>
  <c r="K38" i="21"/>
  <c r="J38" i="21"/>
  <c r="I38" i="21"/>
  <c r="H38" i="21"/>
  <c r="K37" i="21"/>
  <c r="J37" i="21"/>
  <c r="I37" i="21"/>
  <c r="H37" i="21"/>
  <c r="K36" i="21"/>
  <c r="J36" i="21"/>
  <c r="I36" i="21"/>
  <c r="H36" i="21"/>
  <c r="K35" i="21"/>
  <c r="J35" i="21"/>
  <c r="I35" i="21"/>
  <c r="H35" i="21"/>
  <c r="K34" i="21"/>
  <c r="J34" i="21"/>
  <c r="I34" i="21"/>
  <c r="H34" i="21"/>
  <c r="K33" i="21"/>
  <c r="J33" i="21"/>
  <c r="I33" i="21"/>
  <c r="H33" i="21"/>
  <c r="K32" i="21"/>
  <c r="J32" i="21"/>
  <c r="I32" i="21"/>
  <c r="H32" i="21"/>
  <c r="K31" i="21"/>
  <c r="J31" i="21"/>
  <c r="I31" i="21"/>
  <c r="H31" i="21"/>
  <c r="K30" i="21"/>
  <c r="J30" i="21"/>
  <c r="I30" i="21"/>
  <c r="H30" i="21"/>
  <c r="K29" i="21"/>
  <c r="J29" i="21"/>
  <c r="I29" i="21"/>
  <c r="H29" i="21"/>
  <c r="K28" i="21"/>
  <c r="J28" i="21"/>
  <c r="I28" i="21"/>
  <c r="H28" i="21"/>
  <c r="K27" i="21"/>
  <c r="J27" i="21"/>
  <c r="I27" i="21"/>
  <c r="H27" i="21"/>
  <c r="K26" i="21"/>
  <c r="J26" i="21"/>
  <c r="I26" i="21"/>
  <c r="H26" i="21"/>
  <c r="K25" i="21"/>
  <c r="J25" i="21"/>
  <c r="I25" i="21"/>
  <c r="H25" i="21"/>
  <c r="K24" i="21"/>
  <c r="J24" i="21"/>
  <c r="I24" i="21"/>
  <c r="H24" i="21"/>
  <c r="K23" i="21"/>
  <c r="J23" i="21"/>
  <c r="I23" i="21"/>
  <c r="H23" i="21"/>
  <c r="K22" i="21"/>
  <c r="J22" i="21"/>
  <c r="I22" i="21"/>
  <c r="H22" i="21"/>
  <c r="K21" i="21"/>
  <c r="J21" i="21"/>
  <c r="I21" i="21"/>
  <c r="H21" i="21"/>
  <c r="K20" i="21"/>
  <c r="J20" i="21"/>
  <c r="I20" i="21"/>
  <c r="H20" i="21"/>
  <c r="K19" i="21"/>
  <c r="J19" i="21"/>
  <c r="I19" i="21"/>
  <c r="H19" i="21"/>
  <c r="K18" i="21"/>
  <c r="J18" i="21"/>
  <c r="I18" i="21"/>
  <c r="H18" i="21"/>
  <c r="K17" i="21"/>
  <c r="J17" i="21"/>
  <c r="I17" i="21"/>
  <c r="H17" i="21"/>
  <c r="K16" i="21"/>
  <c r="J16" i="21"/>
  <c r="I16" i="21"/>
  <c r="H16" i="21"/>
  <c r="K15" i="21"/>
  <c r="J15" i="21"/>
  <c r="I15" i="21"/>
  <c r="H15" i="21"/>
  <c r="K14" i="21"/>
  <c r="J14" i="21"/>
  <c r="I14" i="21"/>
  <c r="H14" i="21"/>
  <c r="K13" i="21"/>
  <c r="J13" i="21"/>
  <c r="I13" i="21"/>
  <c r="H13" i="21"/>
  <c r="K12" i="21"/>
  <c r="J12" i="21"/>
  <c r="I12" i="21"/>
  <c r="H12" i="21"/>
  <c r="K11" i="21"/>
  <c r="J11" i="21"/>
  <c r="I11" i="21"/>
  <c r="H11" i="21"/>
  <c r="K10" i="21"/>
  <c r="J10" i="21"/>
  <c r="I10" i="21"/>
  <c r="H10" i="21"/>
  <c r="K9" i="21"/>
  <c r="J9" i="21"/>
  <c r="I9" i="21"/>
  <c r="H9" i="21"/>
  <c r="K8" i="21"/>
  <c r="J8" i="21"/>
  <c r="I8" i="21"/>
  <c r="H8" i="21"/>
  <c r="K7" i="21"/>
  <c r="J7" i="21"/>
  <c r="I7" i="21"/>
  <c r="H7" i="21"/>
  <c r="K6" i="21"/>
  <c r="J6" i="21"/>
  <c r="I6" i="21"/>
  <c r="H6" i="21"/>
  <c r="K811" i="21"/>
  <c r="J811" i="21"/>
  <c r="I811" i="21"/>
  <c r="H811" i="21"/>
  <c r="G811" i="21"/>
  <c r="D36" i="12" l="1"/>
  <c r="M36" i="12" s="1"/>
  <c r="H30" i="12"/>
  <c r="O30" i="12" s="1"/>
  <c r="E37" i="12"/>
  <c r="S811" i="21"/>
  <c r="M9" i="12"/>
  <c r="M8" i="12"/>
  <c r="O9" i="12"/>
  <c r="O10" i="12"/>
  <c r="M12" i="12"/>
  <c r="O11" i="12"/>
  <c r="M10" i="12"/>
  <c r="M11" i="12"/>
  <c r="O12" i="12"/>
  <c r="H82" i="12"/>
  <c r="E39" i="12"/>
  <c r="D42" i="12"/>
  <c r="M42" i="12" s="1"/>
  <c r="F30" i="12"/>
  <c r="E86" i="12"/>
  <c r="C86" i="12"/>
  <c r="E42" i="12"/>
  <c r="E38" i="12"/>
  <c r="C39" i="12"/>
  <c r="E32" i="12"/>
  <c r="D30" i="12"/>
  <c r="E36" i="12"/>
  <c r="B38" i="12"/>
  <c r="H36" i="12"/>
  <c r="H87" i="12"/>
  <c r="G86" i="12"/>
  <c r="C37" i="12"/>
  <c r="G38" i="12"/>
  <c r="C30" i="12"/>
  <c r="C40" i="12"/>
  <c r="D41" i="12"/>
  <c r="H38" i="12"/>
  <c r="B41" i="12"/>
  <c r="G87" i="12"/>
  <c r="B40" i="12"/>
  <c r="H40" i="12"/>
  <c r="D86" i="12"/>
  <c r="C87" i="12"/>
  <c r="D39" i="12"/>
  <c r="F37" i="12"/>
  <c r="B32" i="12"/>
  <c r="H41" i="12"/>
  <c r="G41" i="12"/>
  <c r="G36" i="12"/>
  <c r="B36" i="12"/>
  <c r="D32" i="12"/>
  <c r="B87" i="12"/>
  <c r="F36" i="12"/>
  <c r="D38" i="12"/>
  <c r="F38" i="12"/>
  <c r="F39" i="12"/>
  <c r="F32" i="12"/>
  <c r="H39" i="12"/>
  <c r="G40" i="12"/>
  <c r="B30" i="12"/>
  <c r="B86" i="12"/>
  <c r="C42" i="12"/>
  <c r="G39" i="12"/>
  <c r="D40" i="12"/>
  <c r="H37" i="12"/>
  <c r="H86" i="12"/>
  <c r="F86" i="12"/>
  <c r="B42" i="12"/>
  <c r="G32" i="12"/>
  <c r="E40" i="12"/>
  <c r="C38" i="12"/>
  <c r="G42" i="12"/>
  <c r="B37" i="12"/>
  <c r="F87" i="12"/>
  <c r="F40" i="12"/>
  <c r="C32" i="12"/>
  <c r="C36" i="12"/>
  <c r="H42" i="12"/>
  <c r="O42" i="12" s="1"/>
  <c r="F41" i="12"/>
  <c r="E87" i="12"/>
  <c r="D87" i="12"/>
  <c r="D37" i="12"/>
  <c r="E30" i="12"/>
  <c r="F42" i="12"/>
  <c r="B39" i="12"/>
  <c r="C41" i="12"/>
  <c r="C49" i="12" s="1"/>
  <c r="E41" i="12"/>
  <c r="G37" i="12"/>
  <c r="H32" i="12"/>
  <c r="E45" i="12"/>
  <c r="G30" i="12"/>
  <c r="F92" i="12" l="1"/>
  <c r="G45" i="12"/>
  <c r="F49" i="12"/>
  <c r="C46" i="12"/>
  <c r="F46" i="12"/>
  <c r="G92" i="12"/>
  <c r="G91" i="12"/>
  <c r="F91" i="12"/>
  <c r="F44" i="12"/>
  <c r="F45" i="12"/>
  <c r="C91" i="12"/>
  <c r="C45" i="12"/>
  <c r="N12" i="12"/>
  <c r="L9" i="12"/>
  <c r="L11" i="12"/>
  <c r="F15" i="12"/>
  <c r="B15" i="12"/>
  <c r="H81" i="12"/>
  <c r="N11" i="12"/>
  <c r="M13" i="12"/>
  <c r="C98" i="12" s="1"/>
  <c r="I8" i="12"/>
  <c r="G19" i="12" s="1"/>
  <c r="G13" i="12"/>
  <c r="C13" i="12"/>
  <c r="N8" i="12"/>
  <c r="M15" i="12"/>
  <c r="L8" i="12"/>
  <c r="I9" i="12"/>
  <c r="H20" i="12" s="1"/>
  <c r="H13" i="12"/>
  <c r="I10" i="12"/>
  <c r="F21" i="12" s="1"/>
  <c r="L10" i="12"/>
  <c r="D13" i="12"/>
  <c r="I12" i="12"/>
  <c r="F23" i="12" s="1"/>
  <c r="L12" i="12"/>
  <c r="H78" i="12"/>
  <c r="F13" i="12"/>
  <c r="D15" i="12"/>
  <c r="O8" i="12"/>
  <c r="O80" i="12" s="1"/>
  <c r="H15" i="12"/>
  <c r="E15" i="12"/>
  <c r="N9" i="12"/>
  <c r="N10" i="12"/>
  <c r="I11" i="12"/>
  <c r="C22" i="12" s="1"/>
  <c r="H80" i="12"/>
  <c r="B13" i="12"/>
  <c r="E13" i="12"/>
  <c r="H79" i="12"/>
  <c r="C15" i="12"/>
  <c r="G15" i="12"/>
  <c r="G49" i="12"/>
  <c r="C55" i="12"/>
  <c r="C47" i="12"/>
  <c r="C56" i="12"/>
  <c r="C54" i="12"/>
  <c r="C57" i="12"/>
  <c r="C58" i="12"/>
  <c r="O41" i="12"/>
  <c r="O49" i="12" s="1"/>
  <c r="H49" i="12"/>
  <c r="N38" i="12"/>
  <c r="E46" i="12"/>
  <c r="N37" i="12"/>
  <c r="H92" i="12"/>
  <c r="O87" i="12"/>
  <c r="E57" i="12"/>
  <c r="E56" i="12"/>
  <c r="E47" i="12"/>
  <c r="E54" i="12"/>
  <c r="N39" i="12"/>
  <c r="E58" i="12"/>
  <c r="E55" i="12"/>
  <c r="B55" i="12"/>
  <c r="B58" i="12"/>
  <c r="B56" i="12"/>
  <c r="I39" i="12"/>
  <c r="B57" i="12"/>
  <c r="B54" i="12"/>
  <c r="L39" i="12"/>
  <c r="B47" i="12"/>
  <c r="G71" i="12"/>
  <c r="G34" i="12"/>
  <c r="G73" i="12"/>
  <c r="G70" i="12"/>
  <c r="G74" i="12"/>
  <c r="G72" i="12"/>
  <c r="L86" i="12"/>
  <c r="B91" i="12"/>
  <c r="I86" i="12"/>
  <c r="O36" i="12"/>
  <c r="O44" i="12" s="1"/>
  <c r="H44" i="12"/>
  <c r="C74" i="12"/>
  <c r="C34" i="12"/>
  <c r="C71" i="12"/>
  <c r="C72" i="12"/>
  <c r="C70" i="12"/>
  <c r="C73" i="12"/>
  <c r="I42" i="12"/>
  <c r="L42" i="12"/>
  <c r="B79" i="12"/>
  <c r="B81" i="12"/>
  <c r="L30" i="12"/>
  <c r="I30" i="12"/>
  <c r="B31" i="12" s="1"/>
  <c r="B78" i="12"/>
  <c r="B80" i="12"/>
  <c r="B82" i="12"/>
  <c r="B92" i="12"/>
  <c r="I87" i="12"/>
  <c r="L87" i="12"/>
  <c r="M39" i="12"/>
  <c r="D56" i="12"/>
  <c r="D55" i="12"/>
  <c r="D54" i="12"/>
  <c r="D58" i="12"/>
  <c r="D47" i="12"/>
  <c r="D57" i="12"/>
  <c r="M41" i="12"/>
  <c r="M49" i="12" s="1"/>
  <c r="D49" i="12"/>
  <c r="I38" i="12"/>
  <c r="L38" i="12"/>
  <c r="B46" i="12"/>
  <c r="E91" i="12"/>
  <c r="N86" i="12"/>
  <c r="E78" i="12"/>
  <c r="E81" i="12"/>
  <c r="N30" i="12"/>
  <c r="E80" i="12"/>
  <c r="E82" i="12"/>
  <c r="E79" i="12"/>
  <c r="F48" i="12"/>
  <c r="G48" i="12"/>
  <c r="M32" i="12"/>
  <c r="D72" i="12"/>
  <c r="D73" i="12"/>
  <c r="D70" i="12"/>
  <c r="D74" i="12"/>
  <c r="D34" i="12"/>
  <c r="D71" i="12"/>
  <c r="C92" i="12"/>
  <c r="C48" i="12"/>
  <c r="N36" i="12"/>
  <c r="E44" i="12"/>
  <c r="F80" i="12"/>
  <c r="F82" i="12"/>
  <c r="F81" i="12"/>
  <c r="F78" i="12"/>
  <c r="F79" i="12"/>
  <c r="M40" i="12"/>
  <c r="M48" i="12" s="1"/>
  <c r="D48" i="12"/>
  <c r="D46" i="12"/>
  <c r="M38" i="12"/>
  <c r="M46" i="12" s="1"/>
  <c r="L41" i="12"/>
  <c r="I41" i="12"/>
  <c r="I49" i="12" s="1"/>
  <c r="B49" i="12"/>
  <c r="C79" i="12"/>
  <c r="C80" i="12"/>
  <c r="C81" i="12"/>
  <c r="C82" i="12"/>
  <c r="C78" i="12"/>
  <c r="D82" i="12"/>
  <c r="D78" i="12"/>
  <c r="M30" i="12"/>
  <c r="D80" i="12"/>
  <c r="D81" i="12"/>
  <c r="D79" i="12"/>
  <c r="M44" i="12"/>
  <c r="N87" i="12"/>
  <c r="E92" i="12"/>
  <c r="F57" i="12"/>
  <c r="F58" i="12"/>
  <c r="F55" i="12"/>
  <c r="F56" i="12"/>
  <c r="F47" i="12"/>
  <c r="F54" i="12"/>
  <c r="L40" i="12"/>
  <c r="B48" i="12"/>
  <c r="I40" i="12"/>
  <c r="I48" i="12" s="1"/>
  <c r="N41" i="12"/>
  <c r="E49" i="12"/>
  <c r="G54" i="12"/>
  <c r="G56" i="12"/>
  <c r="G58" i="12"/>
  <c r="G57" i="12"/>
  <c r="G47" i="12"/>
  <c r="G55" i="12"/>
  <c r="E48" i="12"/>
  <c r="N40" i="12"/>
  <c r="B70" i="12"/>
  <c r="B34" i="12"/>
  <c r="L32" i="12"/>
  <c r="B71" i="12"/>
  <c r="B73" i="12"/>
  <c r="I32" i="12"/>
  <c r="G33" i="12" s="1"/>
  <c r="B72" i="12"/>
  <c r="B74" i="12"/>
  <c r="N42" i="12"/>
  <c r="H72" i="12"/>
  <c r="H71" i="12"/>
  <c r="H70" i="12"/>
  <c r="O32" i="12"/>
  <c r="H34" i="12"/>
  <c r="H73" i="12"/>
  <c r="H74" i="12"/>
  <c r="C44" i="12"/>
  <c r="H46" i="12"/>
  <c r="O38" i="12"/>
  <c r="O46" i="12" s="1"/>
  <c r="M37" i="12"/>
  <c r="M45" i="12" s="1"/>
  <c r="D45" i="12"/>
  <c r="H91" i="12"/>
  <c r="O86" i="12"/>
  <c r="H58" i="12"/>
  <c r="H56" i="12"/>
  <c r="H55" i="12"/>
  <c r="H57" i="12"/>
  <c r="H47" i="12"/>
  <c r="O39" i="12"/>
  <c r="H54" i="12"/>
  <c r="L36" i="12"/>
  <c r="B44" i="12"/>
  <c r="I36" i="12"/>
  <c r="I44" i="12" s="1"/>
  <c r="M86" i="12"/>
  <c r="D91" i="12"/>
  <c r="G78" i="12"/>
  <c r="G82" i="12"/>
  <c r="G80" i="12"/>
  <c r="G79" i="12"/>
  <c r="G81" i="12"/>
  <c r="M87" i="12"/>
  <c r="D92" i="12"/>
  <c r="B45" i="12"/>
  <c r="L37" i="12"/>
  <c r="I37" i="12"/>
  <c r="I45" i="12" s="1"/>
  <c r="O37" i="12"/>
  <c r="O45" i="12" s="1"/>
  <c r="H45" i="12"/>
  <c r="F70" i="12"/>
  <c r="F74" i="12"/>
  <c r="F34" i="12"/>
  <c r="F72" i="12"/>
  <c r="F73" i="12"/>
  <c r="F71" i="12"/>
  <c r="G44" i="12"/>
  <c r="O40" i="12"/>
  <c r="O48" i="12" s="1"/>
  <c r="H48" i="12"/>
  <c r="G46" i="12"/>
  <c r="E71" i="12"/>
  <c r="E72" i="12"/>
  <c r="N32" i="12"/>
  <c r="E74" i="12"/>
  <c r="E34" i="12"/>
  <c r="E70" i="12"/>
  <c r="E73" i="12"/>
  <c r="D44" i="12"/>
  <c r="G31" i="12" l="1"/>
  <c r="D31" i="12"/>
  <c r="E31" i="12"/>
  <c r="O91" i="12"/>
  <c r="E104" i="12" s="1"/>
  <c r="N49" i="12"/>
  <c r="F33" i="12"/>
  <c r="I46" i="12"/>
  <c r="C33" i="12"/>
  <c r="I91" i="12"/>
  <c r="I92" i="12"/>
  <c r="E33" i="12"/>
  <c r="N48" i="12"/>
  <c r="N92" i="12"/>
  <c r="D105" i="12" s="1"/>
  <c r="H33" i="12"/>
  <c r="D33" i="12"/>
  <c r="N45" i="12"/>
  <c r="P11" i="12"/>
  <c r="M22" i="12" s="1"/>
  <c r="P12" i="12"/>
  <c r="P23" i="12" s="1"/>
  <c r="P9" i="12"/>
  <c r="O20" i="12" s="1"/>
  <c r="I19" i="12"/>
  <c r="C19" i="12"/>
  <c r="D20" i="12"/>
  <c r="L13" i="12"/>
  <c r="B98" i="12" s="1"/>
  <c r="B19" i="12"/>
  <c r="I20" i="12"/>
  <c r="D19" i="12"/>
  <c r="F19" i="12"/>
  <c r="E20" i="12"/>
  <c r="B21" i="12"/>
  <c r="E19" i="12"/>
  <c r="H19" i="12"/>
  <c r="O78" i="12"/>
  <c r="E102" i="12" s="1"/>
  <c r="O81" i="12"/>
  <c r="O79" i="12"/>
  <c r="O82" i="12"/>
  <c r="D23" i="12"/>
  <c r="I23" i="12"/>
  <c r="B23" i="12"/>
  <c r="E23" i="12"/>
  <c r="G23" i="12"/>
  <c r="F20" i="12"/>
  <c r="N15" i="12"/>
  <c r="O15" i="12"/>
  <c r="O13" i="12"/>
  <c r="E98" i="12" s="1"/>
  <c r="L15" i="12"/>
  <c r="P8" i="12"/>
  <c r="I13" i="12"/>
  <c r="N13" i="12"/>
  <c r="D98" i="12" s="1"/>
  <c r="G20" i="12"/>
  <c r="P10" i="12"/>
  <c r="H21" i="12"/>
  <c r="G21" i="12"/>
  <c r="B20" i="12"/>
  <c r="H23" i="12"/>
  <c r="I15" i="12"/>
  <c r="C26" i="12" s="1"/>
  <c r="C20" i="12"/>
  <c r="I22" i="12"/>
  <c r="B22" i="12"/>
  <c r="F22" i="12"/>
  <c r="H22" i="12"/>
  <c r="G22" i="12"/>
  <c r="E22" i="12"/>
  <c r="C21" i="12"/>
  <c r="E21" i="12"/>
  <c r="I21" i="12"/>
  <c r="D21" i="12"/>
  <c r="D22" i="12"/>
  <c r="C23" i="12"/>
  <c r="P39" i="12"/>
  <c r="L58" i="12"/>
  <c r="L54" i="12"/>
  <c r="B100" i="12" s="1"/>
  <c r="L57" i="12"/>
  <c r="L55" i="12"/>
  <c r="L56" i="12"/>
  <c r="L47" i="12"/>
  <c r="N70" i="12"/>
  <c r="D101" i="12" s="1"/>
  <c r="N72" i="12"/>
  <c r="N34" i="12"/>
  <c r="N74" i="12"/>
  <c r="N73" i="12"/>
  <c r="N71" i="12"/>
  <c r="L71" i="12"/>
  <c r="L73" i="12"/>
  <c r="L72" i="12"/>
  <c r="L34" i="12"/>
  <c r="P32" i="12"/>
  <c r="L33" i="12" s="1"/>
  <c r="L70" i="12"/>
  <c r="B101" i="12" s="1"/>
  <c r="L74" i="12"/>
  <c r="N91" i="12"/>
  <c r="D104" i="12" s="1"/>
  <c r="L45" i="12"/>
  <c r="P37" i="12"/>
  <c r="P36" i="12"/>
  <c r="L44" i="12"/>
  <c r="M82" i="12"/>
  <c r="M81" i="12"/>
  <c r="M79" i="12"/>
  <c r="M80" i="12"/>
  <c r="M78" i="12"/>
  <c r="C102" i="12" s="1"/>
  <c r="N44" i="12"/>
  <c r="P42" i="12"/>
  <c r="N57" i="12"/>
  <c r="N47" i="12"/>
  <c r="N58" i="12"/>
  <c r="N54" i="12"/>
  <c r="D100" i="12" s="1"/>
  <c r="N56" i="12"/>
  <c r="N55" i="12"/>
  <c r="B33" i="12"/>
  <c r="N78" i="12"/>
  <c r="D102" i="12" s="1"/>
  <c r="N82" i="12"/>
  <c r="N79" i="12"/>
  <c r="N81" i="12"/>
  <c r="N80" i="12"/>
  <c r="I58" i="12"/>
  <c r="I47" i="12"/>
  <c r="I56" i="12"/>
  <c r="I54" i="12"/>
  <c r="I55" i="12"/>
  <c r="I57" i="12"/>
  <c r="O47" i="12"/>
  <c r="O57" i="12"/>
  <c r="O55" i="12"/>
  <c r="O56" i="12"/>
  <c r="O58" i="12"/>
  <c r="O54" i="12"/>
  <c r="E100" i="12" s="1"/>
  <c r="M74" i="12"/>
  <c r="M72" i="12"/>
  <c r="M73" i="12"/>
  <c r="M70" i="12"/>
  <c r="C101" i="12" s="1"/>
  <c r="M71" i="12"/>
  <c r="M34" i="12"/>
  <c r="P38" i="12"/>
  <c r="L46" i="12"/>
  <c r="M92" i="12"/>
  <c r="C105" i="12" s="1"/>
  <c r="I79" i="12"/>
  <c r="I81" i="12"/>
  <c r="I78" i="12"/>
  <c r="I80" i="12"/>
  <c r="I82" i="12"/>
  <c r="I31" i="12"/>
  <c r="H31" i="12"/>
  <c r="O70" i="12"/>
  <c r="E101" i="12" s="1"/>
  <c r="O72" i="12"/>
  <c r="O71" i="12"/>
  <c r="O74" i="12"/>
  <c r="O73" i="12"/>
  <c r="O34" i="12"/>
  <c r="I70" i="12"/>
  <c r="I34" i="12"/>
  <c r="I74" i="12"/>
  <c r="I33" i="12"/>
  <c r="I72" i="12"/>
  <c r="I71" i="12"/>
  <c r="I73" i="12"/>
  <c r="L49" i="12"/>
  <c r="P41" i="12"/>
  <c r="M54" i="12"/>
  <c r="C100" i="12" s="1"/>
  <c r="M55" i="12"/>
  <c r="M57" i="12"/>
  <c r="M56" i="12"/>
  <c r="M58" i="12"/>
  <c r="M47" i="12"/>
  <c r="L80" i="12"/>
  <c r="L81" i="12"/>
  <c r="L79" i="12"/>
  <c r="P30" i="12"/>
  <c r="M31" i="12" s="1"/>
  <c r="L82" i="12"/>
  <c r="L78" i="12"/>
  <c r="B102" i="12" s="1"/>
  <c r="M91" i="12"/>
  <c r="C104" i="12" s="1"/>
  <c r="C31" i="12"/>
  <c r="F31" i="12"/>
  <c r="P87" i="12"/>
  <c r="L92" i="12"/>
  <c r="B105" i="12" s="1"/>
  <c r="L91" i="12"/>
  <c r="B104" i="12" s="1"/>
  <c r="P86" i="12"/>
  <c r="O92" i="12"/>
  <c r="E105" i="12" s="1"/>
  <c r="N46" i="12"/>
  <c r="P40" i="12"/>
  <c r="P48" i="12" s="1"/>
  <c r="L48" i="12"/>
  <c r="O33" i="12" l="1"/>
  <c r="N31" i="12"/>
  <c r="P92" i="12"/>
  <c r="F105" i="12" s="1"/>
  <c r="P45" i="12"/>
  <c r="N33" i="12"/>
  <c r="L31" i="12"/>
  <c r="P91" i="12"/>
  <c r="F104" i="12" s="1"/>
  <c r="P49" i="12"/>
  <c r="M33" i="12"/>
  <c r="P22" i="12"/>
  <c r="L22" i="12"/>
  <c r="N22" i="12"/>
  <c r="O22" i="12"/>
  <c r="N20" i="12"/>
  <c r="L20" i="12"/>
  <c r="L23" i="12"/>
  <c r="M23" i="12"/>
  <c r="O23" i="12"/>
  <c r="M20" i="12"/>
  <c r="N23" i="12"/>
  <c r="P20" i="12"/>
  <c r="P13" i="12"/>
  <c r="P24" i="12" s="1"/>
  <c r="P15" i="12"/>
  <c r="N26" i="12" s="1"/>
  <c r="F26" i="12"/>
  <c r="B26" i="12"/>
  <c r="E26" i="12"/>
  <c r="H26" i="12"/>
  <c r="D24" i="12"/>
  <c r="G24" i="12"/>
  <c r="I24" i="12"/>
  <c r="C24" i="12"/>
  <c r="B24" i="12"/>
  <c r="F24" i="12"/>
  <c r="E24" i="12"/>
  <c r="D26" i="12"/>
  <c r="N19" i="12"/>
  <c r="M19" i="12"/>
  <c r="P19" i="12"/>
  <c r="O19" i="12"/>
  <c r="L19" i="12"/>
  <c r="H24" i="12"/>
  <c r="I26" i="12"/>
  <c r="G26" i="12"/>
  <c r="M21" i="12"/>
  <c r="O21" i="12"/>
  <c r="L21" i="12"/>
  <c r="N21" i="12"/>
  <c r="P21" i="12"/>
  <c r="P55" i="12"/>
  <c r="P56" i="12"/>
  <c r="P58" i="12"/>
  <c r="P57" i="12"/>
  <c r="P54" i="12"/>
  <c r="F100" i="12" s="1"/>
  <c r="P47" i="12"/>
  <c r="P46" i="12"/>
  <c r="P81" i="12"/>
  <c r="P79" i="12"/>
  <c r="P31" i="12"/>
  <c r="P82" i="12"/>
  <c r="P80" i="12"/>
  <c r="P78" i="12"/>
  <c r="F102" i="12" s="1"/>
  <c r="O31" i="12"/>
  <c r="P44" i="12"/>
  <c r="P72" i="12"/>
  <c r="P74" i="12"/>
  <c r="P71" i="12"/>
  <c r="P34" i="12"/>
  <c r="P73" i="12"/>
  <c r="P33" i="12"/>
  <c r="P70" i="12"/>
  <c r="F101" i="12" s="1"/>
  <c r="L24" i="12" l="1"/>
  <c r="O24" i="12"/>
  <c r="O26" i="12"/>
  <c r="M24" i="12"/>
  <c r="N24" i="12"/>
  <c r="F98" i="12"/>
  <c r="M26" i="12"/>
  <c r="P26" i="12"/>
  <c r="L26" i="12"/>
  <c r="R24" i="19" l="1"/>
  <c r="Q28" i="19" l="1"/>
  <c r="B28" i="38" s="1" a="1"/>
  <c r="B28" i="38" s="1"/>
  <c r="Q58" i="19" l="1"/>
  <c r="Q63" i="19"/>
  <c r="B54" i="38" s="1" a="1"/>
  <c r="B54" i="38" s="1"/>
  <c r="Q65" i="19" l="1"/>
  <c r="B56" i="38" s="1" a="1"/>
  <c r="B56" i="38" s="1"/>
  <c r="X58" i="19"/>
  <c r="B49" i="38" a="1"/>
  <c r="B49" i="38" s="1"/>
  <c r="Q22" i="19"/>
  <c r="Q26" i="19"/>
  <c r="Q37" i="19" l="1"/>
  <c r="Q39" i="19"/>
  <c r="X65" i="19"/>
  <c r="X69" i="19" s="1"/>
  <c r="B26" i="38" a="1"/>
  <c r="B26" i="38" s="1"/>
  <c r="B22" i="38" a="1"/>
  <c r="B22" i="38" s="1"/>
  <c r="Q24" i="19"/>
  <c r="B24" i="38" s="1" a="1"/>
  <c r="B24" i="38" s="1"/>
  <c r="Q27" i="19" l="1"/>
  <c r="Q38" i="19" s="1"/>
  <c r="Q43" i="19" s="1"/>
  <c r="B27" i="38" l="1" a="1"/>
  <c r="B27" i="38" s="1"/>
  <c r="Q32" i="19"/>
  <c r="Q35" i="19" s="1"/>
  <c r="Q29" i="19"/>
  <c r="Q40" i="19" s="1"/>
  <c r="Q64" i="19"/>
  <c r="Q54" i="19"/>
  <c r="X54" i="19" s="1"/>
  <c r="X60" i="19" s="1"/>
  <c r="X66" i="19" l="1"/>
  <c r="X70" i="19" s="1"/>
  <c r="X72" i="19"/>
  <c r="Q33" i="19"/>
  <c r="B29" i="38" a="1"/>
  <c r="B29" i="38" s="1"/>
  <c r="B35" i="38" a="1"/>
  <c r="B35" i="38" s="1"/>
  <c r="B32" i="38" a="1"/>
  <c r="B32" i="38" s="1"/>
  <c r="Q60" i="19"/>
  <c r="B45" i="38" a="1"/>
  <c r="B45" i="38" s="1"/>
  <c r="Q69" i="19"/>
  <c r="B55" i="38" a="1"/>
  <c r="B55" i="38" s="1"/>
  <c r="B33" i="38" l="1" a="1"/>
  <c r="B33" i="38" s="1"/>
  <c r="Q44" i="19"/>
  <c r="B60" i="38" a="1"/>
  <c r="B60" i="38" s="1"/>
  <c r="Q72" i="19"/>
  <c r="B63" i="38" s="1" a="1"/>
  <c r="B63" i="38" s="1"/>
  <c r="Q66" i="19"/>
  <c r="B51" i="38" a="1"/>
  <c r="B51" i="38" s="1"/>
  <c r="Q70" i="19" l="1"/>
  <c r="B61" i="38" s="1" a="1"/>
  <c r="B61" i="38" s="1"/>
  <c r="B57" i="38" a="1"/>
  <c r="B57" i="3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<sst xmlns="http://schemas.openxmlformats.org/spreadsheetml/2006/main" count="27063" uniqueCount="1956">
  <si>
    <t>CDOT Complete Streets</t>
  </si>
  <si>
    <t>Program Dashboard</t>
  </si>
  <si>
    <t>Start</t>
  </si>
  <si>
    <t>&lt;--- Start year of charts</t>
  </si>
  <si>
    <t>End</t>
  </si>
  <si>
    <t>Emanuel 1</t>
  </si>
  <si>
    <t>Emanuel 2</t>
  </si>
  <si>
    <t>Lightfoot 1</t>
  </si>
  <si>
    <t>Johnson 1</t>
  </si>
  <si>
    <t>&lt;--- End year of charts</t>
  </si>
  <si>
    <t>Facility</t>
  </si>
  <si>
    <t>Bikeways</t>
  </si>
  <si>
    <t>Bikeway Network</t>
  </si>
  <si>
    <t>Centerline Miles</t>
  </si>
  <si>
    <t>Protected Bike Lane</t>
  </si>
  <si>
    <t>Buffered Bike Lane</t>
  </si>
  <si>
    <t>Bike Lane</t>
  </si>
  <si>
    <t>Neighborhood</t>
  </si>
  <si>
    <t>Shared Lane</t>
  </si>
  <si>
    <t>TOTAL ON-STREET</t>
  </si>
  <si>
    <t>Access Path</t>
  </si>
  <si>
    <t>Off-Street Trail</t>
  </si>
  <si>
    <t>TOTAL OFF-STREET</t>
  </si>
  <si>
    <t>TOTAL NETWORK</t>
  </si>
  <si>
    <r>
      <rPr>
        <b/>
        <sz val="11"/>
        <color theme="1"/>
        <rFont val="Calibri"/>
        <family val="2"/>
        <scheme val="minor"/>
      </rPr>
      <t>Network Growth</t>
    </r>
    <r>
      <rPr>
        <sz val="11"/>
        <color theme="1"/>
        <rFont val="Calibri"/>
        <family val="2"/>
        <scheme val="minor"/>
      </rPr>
      <t xml:space="preserve"> (from Prev Year)</t>
    </r>
  </si>
  <si>
    <t>Protected Bike Lanes</t>
  </si>
  <si>
    <t>Neighborhood Greenways</t>
  </si>
  <si>
    <t>Off-Street Trails</t>
  </si>
  <si>
    <t>Other Bikeways</t>
  </si>
  <si>
    <t>Low-Stress Bikeways</t>
  </si>
  <si>
    <t>% Low-Stress</t>
  </si>
  <si>
    <t>Bikeways Installs</t>
  </si>
  <si>
    <t>Concrete PBL Upgrade</t>
  </si>
  <si>
    <t>TOTAL INSTALLS</t>
  </si>
  <si>
    <t>% of Population within 1/2 Mile of Bike Facility</t>
  </si>
  <si>
    <t>All Bikeways</t>
  </si>
  <si>
    <t>Transit</t>
  </si>
  <si>
    <t>Bus Lane Network</t>
  </si>
  <si>
    <t>Bus Lanes - Centerline Mi</t>
  </si>
  <si>
    <t>Bus Lanes - Lane Mi</t>
  </si>
  <si>
    <t>Bus Bulbs Installs</t>
  </si>
  <si>
    <t>Bus Bulbs</t>
  </si>
  <si>
    <t>Annual Bikeways Spending</t>
  </si>
  <si>
    <t>Total Annual Bikeway Spending</t>
  </si>
  <si>
    <t>New/Upgraded</t>
  </si>
  <si>
    <t>Restriping</t>
  </si>
  <si>
    <t>TOTAL</t>
  </si>
  <si>
    <t>E1 Average</t>
  </si>
  <si>
    <t>E2 Average</t>
  </si>
  <si>
    <t>L1 Average</t>
  </si>
  <si>
    <t>E1+2 Average</t>
  </si>
  <si>
    <t>Bond</t>
  </si>
  <si>
    <t>Divvy</t>
  </si>
  <si>
    <t>Menu</t>
  </si>
  <si>
    <t>TIF</t>
  </si>
  <si>
    <t>Cook</t>
  </si>
  <si>
    <t>State</t>
  </si>
  <si>
    <t>Fed</t>
  </si>
  <si>
    <t>Other</t>
  </si>
  <si>
    <t>Total Bikeways</t>
  </si>
  <si>
    <t>Pedestrian</t>
  </si>
  <si>
    <t>TOTAL ANNUAL SPENDING</t>
  </si>
  <si>
    <t>Local Funding</t>
  </si>
  <si>
    <t>County Funding</t>
  </si>
  <si>
    <t>State Funding</t>
  </si>
  <si>
    <t>Federal Funding</t>
  </si>
  <si>
    <t>Other Funding</t>
  </si>
  <si>
    <t>Crashes</t>
  </si>
  <si>
    <t>Fatalities</t>
  </si>
  <si>
    <t>Ped</t>
  </si>
  <si>
    <t>Bike</t>
  </si>
  <si>
    <t>Auto</t>
  </si>
  <si>
    <t>Total Fatalities</t>
  </si>
  <si>
    <t>Outside Vehicles</t>
  </si>
  <si>
    <t>Inside Vehicles</t>
  </si>
  <si>
    <t>Serious Injuries</t>
  </si>
  <si>
    <t>Total Serious Injuries</t>
  </si>
  <si>
    <t>All Injuries &amp; Fatalities</t>
  </si>
  <si>
    <t>Total All Injuries &amp; Fatalities</t>
  </si>
  <si>
    <t>Total Crashes</t>
  </si>
  <si>
    <t>Mode Share</t>
  </si>
  <si>
    <t>Commute to Work Mode Share</t>
  </si>
  <si>
    <t>Total Commuters</t>
  </si>
  <si>
    <t>Percentage of Commuters</t>
  </si>
  <si>
    <t>Walk</t>
  </si>
  <si>
    <t>Public Transit</t>
  </si>
  <si>
    <t>Drive</t>
  </si>
  <si>
    <t>Drive Alone</t>
  </si>
  <si>
    <t>Work from Home</t>
  </si>
  <si>
    <t>Total Non-Auto</t>
  </si>
  <si>
    <t>Number of Commuters</t>
  </si>
  <si>
    <t>Annual Vehicle Miles Travelled</t>
  </si>
  <si>
    <t>IDOT - Illinois Travel Statistics</t>
  </si>
  <si>
    <t>Network Miles</t>
  </si>
  <si>
    <t>https://idot.illinois.gov/transportation-system/network-overview/highway-system/reports/illinois-travel-statistics.html</t>
  </si>
  <si>
    <t>Interstate</t>
  </si>
  <si>
    <t>Freeway</t>
  </si>
  <si>
    <t>Other Principal Arterials</t>
  </si>
  <si>
    <t>Minor Arterials</t>
  </si>
  <si>
    <t>Major Collectors</t>
  </si>
  <si>
    <t>Minor Collectors</t>
  </si>
  <si>
    <t>Local Roads &amp; Streets</t>
  </si>
  <si>
    <t>System Total</t>
  </si>
  <si>
    <r>
      <t>Annual Vehicle Miles Travelled</t>
    </r>
    <r>
      <rPr>
        <sz val="11"/>
        <color theme="0"/>
        <rFont val="Calibri"/>
        <family val="2"/>
        <scheme val="minor"/>
      </rPr>
      <t xml:space="preserve"> (in Thousands)</t>
    </r>
  </si>
  <si>
    <t>Bus Ridership</t>
  </si>
  <si>
    <t>Rail Ridership</t>
  </si>
  <si>
    <t>Population</t>
  </si>
  <si>
    <t>Households</t>
  </si>
  <si>
    <t>0 Car</t>
  </si>
  <si>
    <t>1 Car</t>
  </si>
  <si>
    <t>2 Car</t>
  </si>
  <si>
    <t>3+ Car</t>
  </si>
  <si>
    <t>R_Date</t>
  </si>
  <si>
    <t>R_Bike</t>
  </si>
  <si>
    <t>R_Bike_Net</t>
  </si>
  <si>
    <t>R_Bike_Net_PBL</t>
  </si>
  <si>
    <t>R_Bike_Net_BBL</t>
  </si>
  <si>
    <t>R_Bike_Net_BL</t>
  </si>
  <si>
    <t>R_Bike_Net_NG</t>
  </si>
  <si>
    <t>R_Bike_Net_SL</t>
  </si>
  <si>
    <t>R_Bike_Net_On_T</t>
  </si>
  <si>
    <t>R_Bike_Net_Path</t>
  </si>
  <si>
    <t>R_Bike_Net_Trail</t>
  </si>
  <si>
    <t>R_Bike_Net_Off_T</t>
  </si>
  <si>
    <t>R_Bike_Net_T</t>
  </si>
  <si>
    <t>R_Bike_Net_Growth</t>
  </si>
  <si>
    <t>R_Bike_Net_Other</t>
  </si>
  <si>
    <t>R_Bike_Net_LS</t>
  </si>
  <si>
    <t>R_Bike_Net_LS_Per</t>
  </si>
  <si>
    <t>B_Install</t>
  </si>
  <si>
    <t>R_Bike_Install_PBLC</t>
  </si>
  <si>
    <t>R_Bike_Install_PBL</t>
  </si>
  <si>
    <t>R_Bike_Install_BBL</t>
  </si>
  <si>
    <t>R_Bike_Install_BL</t>
  </si>
  <si>
    <t>R_Bike_Install_NG</t>
  </si>
  <si>
    <t>R_Bike_Install_SL</t>
  </si>
  <si>
    <t>R_Bike_Install_On_T</t>
  </si>
  <si>
    <t>R_Bike_Install_Path</t>
  </si>
  <si>
    <t>R_Bike_Install_Trail</t>
  </si>
  <si>
    <t>R_Bike_Install_Off_T</t>
  </si>
  <si>
    <t>R_Bike_Install_T</t>
  </si>
  <si>
    <t>R_Bike_Install_PBLA</t>
  </si>
  <si>
    <t>R_Bike_Install_Other</t>
  </si>
  <si>
    <t>R_Bike_Install_LS</t>
  </si>
  <si>
    <t>R_Bike_Install_LS_Per</t>
  </si>
  <si>
    <t>Equity Dashboard</t>
  </si>
  <si>
    <t>CDOT Bike Program</t>
  </si>
  <si>
    <t>North Side</t>
  </si>
  <si>
    <t>West Side</t>
  </si>
  <si>
    <t>South Side</t>
  </si>
  <si>
    <t>Central</t>
  </si>
  <si>
    <t>3-B Community Sub-District moved from West to Central</t>
  </si>
  <si>
    <t>N</t>
  </si>
  <si>
    <t>NW</t>
  </si>
  <si>
    <t>W</t>
  </si>
  <si>
    <t>S</t>
  </si>
  <si>
    <t>SW</t>
  </si>
  <si>
    <t>FS</t>
  </si>
  <si>
    <t>C</t>
  </si>
  <si>
    <t>North</t>
  </si>
  <si>
    <t>West</t>
  </si>
  <si>
    <t>South</t>
  </si>
  <si>
    <t>Facilities by Geography</t>
  </si>
  <si>
    <t>PROTECTED BIKE LANE</t>
  </si>
  <si>
    <t>Buffered Bike Lanes</t>
  </si>
  <si>
    <t>BUFFERED BIKE LANE</t>
  </si>
  <si>
    <t>Bike Lanes</t>
  </si>
  <si>
    <t>BIKE LANE</t>
  </si>
  <si>
    <t>NEIGHBORHOOD GREENWAY</t>
  </si>
  <si>
    <t>Marked Shared Lanes</t>
  </si>
  <si>
    <t>SHARED-LANE</t>
  </si>
  <si>
    <t>all but Shared Lanes</t>
  </si>
  <si>
    <t>Share of Facilities by Geography</t>
  </si>
  <si>
    <t>Census</t>
  </si>
  <si>
    <t>Source: 2016 ACS 5-Year (Updated 8/27/2018)</t>
  </si>
  <si>
    <t>Area</t>
  </si>
  <si>
    <t>Percentage</t>
  </si>
  <si>
    <t>Density</t>
  </si>
  <si>
    <t>Automobile</t>
  </si>
  <si>
    <t>Taxi</t>
  </si>
  <si>
    <t>TOTAL COMMUTERS</t>
  </si>
  <si>
    <t>Equity Measures</t>
  </si>
  <si>
    <t>Facilities per 1,000 Bike Commuters</t>
  </si>
  <si>
    <t>Facilities per 1,000 Bike Commuter</t>
  </si>
  <si>
    <t>All</t>
  </si>
  <si>
    <t>NG, BL, BBL, PBL</t>
  </si>
  <si>
    <t>BL, BBL, PBL</t>
  </si>
  <si>
    <t>BBL, PBL</t>
  </si>
  <si>
    <t>PBL</t>
  </si>
  <si>
    <t>NG, PBL</t>
  </si>
  <si>
    <t>NG, PBL + Trail</t>
  </si>
  <si>
    <t>Facility Miles per 100,000 Population</t>
  </si>
  <si>
    <t>MSL, NG, BL, BBL, PBL</t>
  </si>
  <si>
    <t>Facilities per Square Mile</t>
  </si>
  <si>
    <t>Total Population within 1/2 Mile of Bike Facility</t>
  </si>
  <si>
    <t>All Bike Facilities</t>
  </si>
  <si>
    <t>All Greater than MSL</t>
  </si>
  <si>
    <t>Bikeways Distribution Analysis</t>
  </si>
  <si>
    <t>On-Street Bikeways Only</t>
  </si>
  <si>
    <t>Miles of facilities</t>
  </si>
  <si>
    <t>Facility Miles per…</t>
  </si>
  <si>
    <t>1,000 Bike Commuter</t>
  </si>
  <si>
    <t>100,000 Population</t>
  </si>
  <si>
    <t>Square Mile</t>
  </si>
  <si>
    <t>% Population within 1/2 Mile of…</t>
  </si>
  <si>
    <t>All Bikeways and Trails</t>
  </si>
  <si>
    <t>Bikeways &gt; MSL and Trails</t>
  </si>
  <si>
    <t>Geographies</t>
  </si>
  <si>
    <t>for Equity Tracking</t>
  </si>
  <si>
    <t>Assign Community Area &amp; Equity District</t>
  </si>
  <si>
    <t>2020 ACS 5-Year B08301</t>
  </si>
  <si>
    <t>Population within a 1/2 mile of</t>
  </si>
  <si>
    <t>B08301_001E</t>
  </si>
  <si>
    <t>B08301_002E</t>
  </si>
  <si>
    <t>B08301_010E</t>
  </si>
  <si>
    <t>B08301_016E</t>
  </si>
  <si>
    <t>B08301_018E</t>
  </si>
  <si>
    <t>B08301_019E</t>
  </si>
  <si>
    <t>&gt; MSL</t>
  </si>
  <si>
    <t>Low Stress</t>
  </si>
  <si>
    <t>Low Stress &amp; Trails</t>
  </si>
  <si>
    <t>CENSUS_TRACT</t>
  </si>
  <si>
    <t>CENSUS_TRACT_FULL</t>
  </si>
  <si>
    <t>TRACT_FIPS</t>
  </si>
  <si>
    <t>TRACT_CENSUS_YEAR</t>
  </si>
  <si>
    <t>Community Area</t>
  </si>
  <si>
    <t>SHAPE.AREA</t>
  </si>
  <si>
    <t>Sq Miles</t>
  </si>
  <si>
    <t>Area Name</t>
  </si>
  <si>
    <t>Group</t>
  </si>
  <si>
    <t>Region</t>
  </si>
  <si>
    <t>District</t>
  </si>
  <si>
    <t>Workers</t>
  </si>
  <si>
    <t>Reference formulas - Use these when updating values / linking to source data</t>
  </si>
  <si>
    <t>AREA_NUMBER</t>
  </si>
  <si>
    <t>AREA_NAME</t>
  </si>
  <si>
    <t>COM_GROUP</t>
  </si>
  <si>
    <t>PLAN_DIST</t>
  </si>
  <si>
    <t>PLAN_REGIO</t>
  </si>
  <si>
    <t>Mob_Index</t>
  </si>
  <si>
    <t>EcoH_Index</t>
  </si>
  <si>
    <t>MobEco_Ind</t>
  </si>
  <si>
    <t>ROGERS PARK</t>
  </si>
  <si>
    <t>1-A</t>
  </si>
  <si>
    <t>NORTH</t>
  </si>
  <si>
    <t>WEST RIDGE</t>
  </si>
  <si>
    <t>UPTOWN</t>
  </si>
  <si>
    <t>LINCOLN SQUARE</t>
  </si>
  <si>
    <t>NORTH CENTER</t>
  </si>
  <si>
    <t>1-B</t>
  </si>
  <si>
    <t>LAKE VIEW</t>
  </si>
  <si>
    <t>LINCOLN PARK</t>
  </si>
  <si>
    <t>EDGEWATER</t>
  </si>
  <si>
    <t>EDISON PARK</t>
  </si>
  <si>
    <t>2-C</t>
  </si>
  <si>
    <t>NORTHWEST</t>
  </si>
  <si>
    <t>NORWOOD PARK</t>
  </si>
  <si>
    <t>JEFFERSON PARK</t>
  </si>
  <si>
    <t>2-A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</si>
  <si>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</si>
  <si>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</si>
  <si>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</si>
  <si>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</si>
  <si>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</si>
  <si>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</si>
  <si>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</si>
  <si>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2-B</t>
  </si>
  <si>
    <t>BELMONT CRAGIN</t>
  </si>
  <si>
    <t>HERMOSA</t>
  </si>
  <si>
    <t>AVONDALE</t>
  </si>
  <si>
    <t>LOGAN SQUARE</t>
  </si>
  <si>
    <t>OHARE</t>
  </si>
  <si>
    <t>HUMBOLDT PARK</t>
  </si>
  <si>
    <t>3-A</t>
  </si>
  <si>
    <t>WEST</t>
  </si>
  <si>
    <t>AUSTIN</t>
  </si>
  <si>
    <t>WEST GARFIELD PARK</t>
  </si>
  <si>
    <t>EAST GARFIELD PARK</t>
  </si>
  <si>
    <t>NORTH LAWNDALE</t>
  </si>
  <si>
    <t>SOUTH LAWNDALE</t>
  </si>
  <si>
    <t>GARFIELD RIDGE</t>
  </si>
  <si>
    <t>4-B</t>
  </si>
  <si>
    <t>SOUTHWEST</t>
  </si>
  <si>
    <t>ARCHER HEIGHTS</t>
  </si>
  <si>
    <t>BRIGHTON PARK</t>
  </si>
  <si>
    <t>MCKINLEY PARK</t>
  </si>
  <si>
    <t>4-A</t>
  </si>
  <si>
    <t>BRIDGEPORT</t>
  </si>
  <si>
    <t>NEW CITY</t>
  </si>
  <si>
    <t>WEST ELSDON</t>
  </si>
  <si>
    <t>GAGE PARK</t>
  </si>
  <si>
    <t>CLEARING</t>
  </si>
  <si>
    <t>4-C</t>
  </si>
  <si>
    <t>WEST LAWN</t>
  </si>
  <si>
    <t>CHICAGO LAWN</t>
  </si>
  <si>
    <t>WEST ENGLEWOOD</t>
  </si>
  <si>
    <t>ENGLEWOOD</t>
  </si>
  <si>
    <t>ASHBURN</t>
  </si>
  <si>
    <t>ROSELAND</t>
  </si>
  <si>
    <t>5-B</t>
  </si>
  <si>
    <t>FAR SOUTH</t>
  </si>
  <si>
    <t>PULLMAN</t>
  </si>
  <si>
    <t>SOUTH DEERING</t>
  </si>
  <si>
    <t>5-C</t>
  </si>
  <si>
    <t>EAST SIDE</t>
  </si>
  <si>
    <t>WEST PULLMAN</t>
  </si>
  <si>
    <t>RIVERDALE</t>
  </si>
  <si>
    <t>HEGEWISCH</t>
  </si>
  <si>
    <t>AUBURN GRESHAM</t>
  </si>
  <si>
    <t>5-A</t>
  </si>
  <si>
    <t>BEVERLY</t>
  </si>
  <si>
    <t>WASHINGTON HEIGHTS</t>
  </si>
  <si>
    <t>MOUNT GREENWOOD</t>
  </si>
  <si>
    <t>MORGAN PARK</t>
  </si>
  <si>
    <t>ARMOUR SQUARE</t>
  </si>
  <si>
    <t>6-A</t>
  </si>
  <si>
    <t>SOUTH</t>
  </si>
  <si>
    <t>DOUGLAS</t>
  </si>
  <si>
    <t>OAKLAND</t>
  </si>
  <si>
    <t>FULLER PARK</t>
  </si>
  <si>
    <t>GRAND BOULEVARD</t>
  </si>
  <si>
    <t>KENWOOD</t>
  </si>
  <si>
    <t>WASHINGTON PARK</t>
  </si>
  <si>
    <t>6-B</t>
  </si>
  <si>
    <t>HYDE PARK</t>
  </si>
  <si>
    <t>WOODLAWN</t>
  </si>
  <si>
    <t>SOUTH SHORE</t>
  </si>
  <si>
    <t>CHATHAM</t>
  </si>
  <si>
    <t>6-C</t>
  </si>
  <si>
    <t>AVALON PARK</t>
  </si>
  <si>
    <t>SOUTH CHICAGO</t>
  </si>
  <si>
    <t>BURNSIDE</t>
  </si>
  <si>
    <t>CALUMET HEIGHTS</t>
  </si>
  <si>
    <t>GREATER GRAND CROSSING</t>
  </si>
  <si>
    <t>NEAR NORTH SIDE</t>
  </si>
  <si>
    <t>CENTRAL</t>
  </si>
  <si>
    <t>WEST TOWN</t>
  </si>
  <si>
    <t>3-B</t>
  </si>
  <si>
    <t>NEAR WEST SIDE</t>
  </si>
  <si>
    <t>LOWER WEST SIDE</t>
  </si>
  <si>
    <t>LOOP</t>
  </si>
  <si>
    <t>NEAR SOUTH SIDE</t>
  </si>
  <si>
    <t>Chicago Bike Network</t>
  </si>
  <si>
    <t>Date of GIS export</t>
  </si>
  <si>
    <t>Formula for MI_LANE</t>
  </si>
  <si>
    <t>FID</t>
  </si>
  <si>
    <t>STREET</t>
  </si>
  <si>
    <t>PRE_DIR</t>
  </si>
  <si>
    <t>ST_NAME</t>
  </si>
  <si>
    <t>ST_TYPE</t>
  </si>
  <si>
    <t>ONEWAY_DIR</t>
  </si>
  <si>
    <t>L_F_ADDR</t>
  </si>
  <si>
    <t>R_F_ADDR</t>
  </si>
  <si>
    <t>F_STREET</t>
  </si>
  <si>
    <t>L_T_ADDR</t>
  </si>
  <si>
    <t>R_T_ADDR</t>
  </si>
  <si>
    <t>T_STREET</t>
  </si>
  <si>
    <t>CLASS</t>
  </si>
  <si>
    <t>BIKEROUTE</t>
  </si>
  <si>
    <t>INST_TYPE</t>
  </si>
  <si>
    <t>PROJECT_ID</t>
  </si>
  <si>
    <t>INST_PRO</t>
  </si>
  <si>
    <t>INST_YR</t>
  </si>
  <si>
    <t>INST_MO</t>
  </si>
  <si>
    <t>INST_NOTES</t>
  </si>
  <si>
    <t>MAIN_PRO</t>
  </si>
  <si>
    <t>MAIN_YR</t>
  </si>
  <si>
    <t>MAIN_MO</t>
  </si>
  <si>
    <t>MAIN_NOTES</t>
  </si>
  <si>
    <t>RESTRIPED</t>
  </si>
  <si>
    <t>RESURFACED</t>
  </si>
  <si>
    <t>MI_CTRLINE</t>
  </si>
  <si>
    <t>MI_LANE</t>
  </si>
  <si>
    <t>BR_NAME</t>
  </si>
  <si>
    <t>BR_ONEWAY</t>
  </si>
  <si>
    <t>BR_OW_DIR</t>
  </si>
  <si>
    <t>CONTRAFLOW</t>
  </si>
  <si>
    <t>PBL_ADJ_TW</t>
  </si>
  <si>
    <t>PBL_PROTEC</t>
  </si>
  <si>
    <t>PASSING</t>
  </si>
  <si>
    <t>CONC_PVMT</t>
  </si>
  <si>
    <t>CONC_YR</t>
  </si>
  <si>
    <t>EQUITY_N</t>
  </si>
  <si>
    <t>EQUITY_NW</t>
  </si>
  <si>
    <t>EQUITY_W</t>
  </si>
  <si>
    <t>EQUITY_S</t>
  </si>
  <si>
    <t>EQUITY_SW</t>
  </si>
  <si>
    <t>EQUITY_FS</t>
  </si>
  <si>
    <t>EQUITY_C</t>
  </si>
  <si>
    <t>DISPLAYROU</t>
  </si>
  <si>
    <t>EQUITY CHECK</t>
  </si>
  <si>
    <t>EDIT_DATE_</t>
  </si>
  <si>
    <t>EDIT_QA</t>
  </si>
  <si>
    <t>Curbside</t>
  </si>
  <si>
    <t>NETWORKTYP</t>
  </si>
  <si>
    <t>ROUTE_TYPE</t>
  </si>
  <si>
    <t>S_Speed</t>
  </si>
  <si>
    <t>MARQUETTE RD</t>
  </si>
  <si>
    <t>MARQUETTE</t>
  </si>
  <si>
    <t>RD</t>
  </si>
  <si>
    <t>-</t>
  </si>
  <si>
    <t>S CENTRAL PARK AVE</t>
  </si>
  <si>
    <t>S KEDZIE AVE</t>
  </si>
  <si>
    <t>UPGRADE</t>
  </si>
  <si>
    <t>2002-17</t>
  </si>
  <si>
    <t>STP RESURFACING</t>
  </si>
  <si>
    <t>EB curbside</t>
  </si>
  <si>
    <t>BIKE LANE RESTRIPING 2020</t>
  </si>
  <si>
    <t xml:space="preserve"> </t>
  </si>
  <si>
    <t>04.07.2022</t>
  </si>
  <si>
    <t>JP</t>
  </si>
  <si>
    <t>Y</t>
  </si>
  <si>
    <t>Arterial</t>
  </si>
  <si>
    <t>S SACRAMENTO AVE</t>
  </si>
  <si>
    <t>MAINTAIN</t>
  </si>
  <si>
    <t>18TH ST</t>
  </si>
  <si>
    <t>18TH</t>
  </si>
  <si>
    <t>ST</t>
  </si>
  <si>
    <t>S DAMEN AVE</t>
  </si>
  <si>
    <t>S LOOMIS ST</t>
  </si>
  <si>
    <t>NEW</t>
  </si>
  <si>
    <t>2011-3</t>
  </si>
  <si>
    <t>CMAQ 2009</t>
  </si>
  <si>
    <t>Divvy Restriping</t>
  </si>
  <si>
    <t>LAKE SHORE DR</t>
  </si>
  <si>
    <t>LAKE SHORE</t>
  </si>
  <si>
    <t>DR</t>
  </si>
  <si>
    <t>E 81ST ST</t>
  </si>
  <si>
    <t>E 87TH ST</t>
  </si>
  <si>
    <t>2013-9</t>
  </si>
  <si>
    <t>US 41 EXTENSION</t>
  </si>
  <si>
    <t>12.08.2020</t>
  </si>
  <si>
    <t>LAKE ST</t>
  </si>
  <si>
    <t>LAKE</t>
  </si>
  <si>
    <t>N KEDZIE AVE</t>
  </si>
  <si>
    <t>N DAMEN AVE</t>
  </si>
  <si>
    <t>2012-24</t>
  </si>
  <si>
    <t>AR 21 - FED</t>
  </si>
  <si>
    <t>CONCRETE</t>
  </si>
  <si>
    <t>11.17.2022</t>
  </si>
  <si>
    <t>WELLS ST</t>
  </si>
  <si>
    <t>WELLS</t>
  </si>
  <si>
    <t>W VAN BUREN ST</t>
  </si>
  <si>
    <t>W ARCADE PL</t>
  </si>
  <si>
    <t>2012-28</t>
  </si>
  <si>
    <t>BIKE PRGM 12</t>
  </si>
  <si>
    <t>55TH PL</t>
  </si>
  <si>
    <t>E</t>
  </si>
  <si>
    <t>55TH</t>
  </si>
  <si>
    <t>PL</t>
  </si>
  <si>
    <t>S DORCHESTER AVE</t>
  </si>
  <si>
    <t>E 55TH ST</t>
  </si>
  <si>
    <t>ROAD DIET</t>
  </si>
  <si>
    <t>CDOT RESTRIPING</t>
  </si>
  <si>
    <t>AR 18</t>
  </si>
  <si>
    <t>RESURFACED, CONCRETE UPGRADES</t>
  </si>
  <si>
    <t>NONE</t>
  </si>
  <si>
    <t>10.25.2022</t>
  </si>
  <si>
    <t>WABASH AVE</t>
  </si>
  <si>
    <t>WABASH</t>
  </si>
  <si>
    <t>AVE</t>
  </si>
  <si>
    <t>E 9TH ST</t>
  </si>
  <si>
    <t>E HARRISON ST</t>
  </si>
  <si>
    <t>2012-27</t>
  </si>
  <si>
    <t>JACKSON BLVD</t>
  </si>
  <si>
    <t>JACKSON</t>
  </si>
  <si>
    <t>BLVD</t>
  </si>
  <si>
    <t>S HAMLIN BLVD</t>
  </si>
  <si>
    <t>S CENTRAL PARK BLVD</t>
  </si>
  <si>
    <t>DIVVY 18</t>
  </si>
  <si>
    <t>POST</t>
  </si>
  <si>
    <t>05.18.2022</t>
  </si>
  <si>
    <t>ELSTON AVE</t>
  </si>
  <si>
    <t>ELSTON</t>
  </si>
  <si>
    <t>N MILWAUKEE AVE</t>
  </si>
  <si>
    <t>W CHESTNUT ST</t>
  </si>
  <si>
    <t>AR 11</t>
  </si>
  <si>
    <t>HALSTED ST</t>
  </si>
  <si>
    <t>HALSTED</t>
  </si>
  <si>
    <t>W ARMITAGE AVE</t>
  </si>
  <si>
    <t>W WEBSTER AVE</t>
  </si>
  <si>
    <t>BIKE PRGM 00</t>
  </si>
  <si>
    <t>AR 17</t>
  </si>
  <si>
    <t>W DIVERSEY PKWY</t>
  </si>
  <si>
    <t>W WELLINGTON AVE</t>
  </si>
  <si>
    <t>2004-8</t>
  </si>
  <si>
    <t>EMERGENCY REPAIR PROGRAM</t>
  </si>
  <si>
    <t>MAINTENANCE 2020</t>
  </si>
  <si>
    <t>08.28.2020</t>
  </si>
  <si>
    <t>CALIFORNIA AVE</t>
  </si>
  <si>
    <t>CALIFORNIA</t>
  </si>
  <si>
    <t>W 24TH BLVD</t>
  </si>
  <si>
    <t>W CERMAK RD</t>
  </si>
  <si>
    <t>CMAQ V(2)</t>
  </si>
  <si>
    <t>Divvy 18</t>
  </si>
  <si>
    <t>S EBERHART AVE</t>
  </si>
  <si>
    <t>S COTTAGE GROVE AVE</t>
  </si>
  <si>
    <t>CMAQ IV</t>
  </si>
  <si>
    <t>Bike Program Maintenance 2021</t>
  </si>
  <si>
    <t>03.24.2022</t>
  </si>
  <si>
    <t>WASHINGTON BLVD</t>
  </si>
  <si>
    <t>WASHINGTON</t>
  </si>
  <si>
    <t>N HALSTED ST</t>
  </si>
  <si>
    <t>I-90/94</t>
  </si>
  <si>
    <t>2006-8</t>
  </si>
  <si>
    <t>LOOP LINK</t>
  </si>
  <si>
    <t>OAKWOOD BLVD</t>
  </si>
  <si>
    <t>OAKWOOD</t>
  </si>
  <si>
    <t>S DR MARTIN LUTHER KING JR DR</t>
  </si>
  <si>
    <t>S VINCENNES AVE</t>
  </si>
  <si>
    <t>CMAQ III</t>
  </si>
  <si>
    <t>VZ2018</t>
  </si>
  <si>
    <t>S LANGLEY AVE</t>
  </si>
  <si>
    <t>UTILITY</t>
  </si>
  <si>
    <t>ALBION AVE</t>
  </si>
  <si>
    <t>ALBION</t>
  </si>
  <si>
    <t>N LAKEWOOD AVE</t>
  </si>
  <si>
    <t>N SHERIDAN RD</t>
  </si>
  <si>
    <t>WB CONTRAFLOW LANE</t>
  </si>
  <si>
    <t>W 74TH ST</t>
  </si>
  <si>
    <t>W 69TH ST</t>
  </si>
  <si>
    <t>2012-19</t>
  </si>
  <si>
    <t>KENMORE AVE</t>
  </si>
  <si>
    <t>KENMORE</t>
  </si>
  <si>
    <t>W ARDMORE AVE</t>
  </si>
  <si>
    <t>W THORNDALE AVE</t>
  </si>
  <si>
    <t>BIKE PRGM 14</t>
  </si>
  <si>
    <t>83RD ST</t>
  </si>
  <si>
    <t>83RD</t>
  </si>
  <si>
    <t>S SOUTH SHORE DR</t>
  </si>
  <si>
    <t>S GREEN BAY AVE</t>
  </si>
  <si>
    <t>2011-9</t>
  </si>
  <si>
    <t>MENU RESURFACING</t>
  </si>
  <si>
    <t>DESPLAINES ST</t>
  </si>
  <si>
    <t>DESPLAINES</t>
  </si>
  <si>
    <t>W HARRISON ST</t>
  </si>
  <si>
    <t>W MADISON ST</t>
  </si>
  <si>
    <t>2012-12</t>
  </si>
  <si>
    <t>CLARK ST</t>
  </si>
  <si>
    <t>CLARK</t>
  </si>
  <si>
    <t>W OAK ST</t>
  </si>
  <si>
    <t>W NORTH AVE</t>
  </si>
  <si>
    <t>2012-8</t>
  </si>
  <si>
    <t>BERTEAU AVE</t>
  </si>
  <si>
    <t>BERTEAU</t>
  </si>
  <si>
    <t>N ASHLAND AVE</t>
  </si>
  <si>
    <t>2013-2</t>
  </si>
  <si>
    <t>MENU STRIPING</t>
  </si>
  <si>
    <t>BERTEAU GREENWAY</t>
  </si>
  <si>
    <t>SOUTH CHICAGO AVE</t>
  </si>
  <si>
    <t>S BALTIMORE AVE</t>
  </si>
  <si>
    <t>E 79TH ST</t>
  </si>
  <si>
    <t>1996-9</t>
  </si>
  <si>
    <t>ROAD DIET; RESURFACED</t>
  </si>
  <si>
    <t>W CHICAGO AVE</t>
  </si>
  <si>
    <t>1993-4</t>
  </si>
  <si>
    <t>AR 12</t>
  </si>
  <si>
    <t>MILWAUKEE AVE</t>
  </si>
  <si>
    <t>MILWAUKEE</t>
  </si>
  <si>
    <t>N CARMEN AVE</t>
  </si>
  <si>
    <t>N HYACINTH ST</t>
  </si>
  <si>
    <t>2011-28</t>
  </si>
  <si>
    <t>AR 14</t>
  </si>
  <si>
    <t>GRAND AVE</t>
  </si>
  <si>
    <t>GRAND</t>
  </si>
  <si>
    <t>N DEARBORN ST</t>
  </si>
  <si>
    <t>N STATE ST</t>
  </si>
  <si>
    <t>2011-20</t>
  </si>
  <si>
    <t>N LEAVITT ST</t>
  </si>
  <si>
    <t>DASHED BIKE LANE</t>
  </si>
  <si>
    <t>2005-9</t>
  </si>
  <si>
    <t>BIKE PRGM 17</t>
  </si>
  <si>
    <t>DASHED BIKE LANE FOR MAJORITY</t>
  </si>
  <si>
    <t>W ADDISON ST</t>
  </si>
  <si>
    <t>N MONTROSE AVE</t>
  </si>
  <si>
    <t>2011-12</t>
  </si>
  <si>
    <t>S WESTERN AVE</t>
  </si>
  <si>
    <t>S OAKLEY BLVD</t>
  </si>
  <si>
    <t>2011-22</t>
  </si>
  <si>
    <t>TERM 11</t>
  </si>
  <si>
    <t>WESTBOUND - BIKE LANE</t>
  </si>
  <si>
    <t>S HOYNE AVE</t>
  </si>
  <si>
    <t>WB BL; EB curbside PBL</t>
  </si>
  <si>
    <t>W OGDEN AVE</t>
  </si>
  <si>
    <t>E CERMAK RD</t>
  </si>
  <si>
    <t>E 18TH ST</t>
  </si>
  <si>
    <t>1996-10</t>
  </si>
  <si>
    <t>STATE ST</t>
  </si>
  <si>
    <t>STATE</t>
  </si>
  <si>
    <t>W CULLERTON ST</t>
  </si>
  <si>
    <t>W 18TH ST</t>
  </si>
  <si>
    <t>2013-12</t>
  </si>
  <si>
    <t>08.25.2020</t>
  </si>
  <si>
    <t>PAYNE DR</t>
  </si>
  <si>
    <t>PAYNE</t>
  </si>
  <si>
    <t>E RAINEY DR</t>
  </si>
  <si>
    <t>AR 21 - FEDERAL</t>
  </si>
  <si>
    <t>09.20.2022</t>
  </si>
  <si>
    <t>VINCENNES AVE</t>
  </si>
  <si>
    <t>VINCENNES</t>
  </si>
  <si>
    <t>W 76TH ST</t>
  </si>
  <si>
    <t>SFC I</t>
  </si>
  <si>
    <t>03.17.2022</t>
  </si>
  <si>
    <t>100TH ST</t>
  </si>
  <si>
    <t>100TH</t>
  </si>
  <si>
    <t>S TORRENCE AVE</t>
  </si>
  <si>
    <t>S AVE L</t>
  </si>
  <si>
    <t>2011-1</t>
  </si>
  <si>
    <t>AR 10</t>
  </si>
  <si>
    <t>CALUMET RIVER TO CALUMET RIVER - CONCRETE PVMT - 2018</t>
  </si>
  <si>
    <t>NORTHWEST HWY</t>
  </si>
  <si>
    <t>HWY</t>
  </si>
  <si>
    <t>N OKETO AVE</t>
  </si>
  <si>
    <t>W DEVON AVE</t>
  </si>
  <si>
    <t>2011-32</t>
  </si>
  <si>
    <t>N NAGLE AVE</t>
  </si>
  <si>
    <t>N SAYRE AVE</t>
  </si>
  <si>
    <t>TOUHY AVE</t>
  </si>
  <si>
    <t>TOUHY</t>
  </si>
  <si>
    <t>N WESTERN AVE</t>
  </si>
  <si>
    <t>MORSE AVE</t>
  </si>
  <si>
    <t>MORSE</t>
  </si>
  <si>
    <t>N WAYNE AVE</t>
  </si>
  <si>
    <t>2011-30</t>
  </si>
  <si>
    <t>STREETSCAPE</t>
  </si>
  <si>
    <t>N ELSTON AVE</t>
  </si>
  <si>
    <t>FRANKLIN ST</t>
  </si>
  <si>
    <t>FRANKLIN</t>
  </si>
  <si>
    <t>W LAKE ST</t>
  </si>
  <si>
    <t>WACKER DRIVE RECONSTRUCTION</t>
  </si>
  <si>
    <t>RESURFACED; 2018 RANDOLPH TO COUCH UTILITY MAINTENANCE</t>
  </si>
  <si>
    <t>W ROOSEVELT RD</t>
  </si>
  <si>
    <t>W POLK ST</t>
  </si>
  <si>
    <t>RESURFACED 2014 POLK TO CABRINI</t>
  </si>
  <si>
    <t>W MONROE ST</t>
  </si>
  <si>
    <t>2012-18</t>
  </si>
  <si>
    <t>ELLSWORTH DR</t>
  </si>
  <si>
    <t>ELLSWORTH</t>
  </si>
  <si>
    <t>E GARFIELD BLVD</t>
  </si>
  <si>
    <t>E 51ST ST</t>
  </si>
  <si>
    <t>2012-16</t>
  </si>
  <si>
    <t>CLYBOURN AVE</t>
  </si>
  <si>
    <t>CLYBOURN</t>
  </si>
  <si>
    <t>W SHEFFIELD AVE</t>
  </si>
  <si>
    <t>N SOUTHPORT AVE</t>
  </si>
  <si>
    <t>DIVVY RESTRIPING</t>
  </si>
  <si>
    <t>W ERIE ST</t>
  </si>
  <si>
    <t>N OGDEN AVE</t>
  </si>
  <si>
    <t>SFC IV 3B</t>
  </si>
  <si>
    <t>SACRAMENTO DR</t>
  </si>
  <si>
    <t>SACRAMENTO</t>
  </si>
  <si>
    <t>W 19TH ST</t>
  </si>
  <si>
    <t>2012-26</t>
  </si>
  <si>
    <t>WEST SIDE BOULEVARDS</t>
  </si>
  <si>
    <t>INDEPENDENCE BLVD</t>
  </si>
  <si>
    <t>INDEPENDENCE</t>
  </si>
  <si>
    <t>W DOUGLAS BLVD</t>
  </si>
  <si>
    <t>NEIGHBORHOOD BIKE NETWORK</t>
  </si>
  <si>
    <t>11.16.2021</t>
  </si>
  <si>
    <t>DOUGLAS BLVD</t>
  </si>
  <si>
    <t>S RIDGEWAY AVE</t>
  </si>
  <si>
    <t>S ALBANY AVE</t>
  </si>
  <si>
    <t>AR 15</t>
  </si>
  <si>
    <t>W KINZIE ST</t>
  </si>
  <si>
    <t>W HUBBARD STREET</t>
  </si>
  <si>
    <t>AR 22 - BOND</t>
  </si>
  <si>
    <t>11.28.2022</t>
  </si>
  <si>
    <t>DIVERSEY AVE</t>
  </si>
  <si>
    <t>DIVERSEY</t>
  </si>
  <si>
    <t>N PULASKI RD</t>
  </si>
  <si>
    <t>N KOSTNER AVE</t>
  </si>
  <si>
    <t>AR 02</t>
  </si>
  <si>
    <t>TRIPP TO KARLOV - CONCRETE PVMT - 2018; RESURFACED</t>
  </si>
  <si>
    <t>N LYNCH AVE</t>
  </si>
  <si>
    <t>N MELVINA AVE</t>
  </si>
  <si>
    <t>2006 RESURFACED BRYN MAWR TO MILWAUKEE; 2006 RESURFACED CICERO TO BRYN MAWR</t>
  </si>
  <si>
    <t>MARSHALL BLVD</t>
  </si>
  <si>
    <t>MARSHALL</t>
  </si>
  <si>
    <t>W 21ST ST</t>
  </si>
  <si>
    <t>MENU RESTRIPING</t>
  </si>
  <si>
    <t>24TH BLVD</t>
  </si>
  <si>
    <t>24TH</t>
  </si>
  <si>
    <t>S MARSHALL BLVD</t>
  </si>
  <si>
    <t>S CALIFORNIA AVE</t>
  </si>
  <si>
    <t>BROADWAY</t>
  </si>
  <si>
    <t>W MONTROSE AVE</t>
  </si>
  <si>
    <t>W WILSON AVE</t>
  </si>
  <si>
    <t>2014-3</t>
  </si>
  <si>
    <t>MARTIN LUTHER KING JR DR</t>
  </si>
  <si>
    <t>MARTIN LUTHER KING JR</t>
  </si>
  <si>
    <t>E 38TH ST</t>
  </si>
  <si>
    <t>COOK COUNTY STRIPING</t>
  </si>
  <si>
    <t>TERM 14</t>
  </si>
  <si>
    <t>DAMEN AVE</t>
  </si>
  <si>
    <t>DAMEN</t>
  </si>
  <si>
    <t>AR 19</t>
  </si>
  <si>
    <t>E 95TH ST</t>
  </si>
  <si>
    <t>CMAQ I</t>
  </si>
  <si>
    <t>W AUGUSTA AVE</t>
  </si>
  <si>
    <t>W DIVISION ST</t>
  </si>
  <si>
    <t>2007-28</t>
  </si>
  <si>
    <t>W MARQUETTE RD</t>
  </si>
  <si>
    <t>2014-8</t>
  </si>
  <si>
    <t>SFC II A</t>
  </si>
  <si>
    <t>ARDMORE AVE</t>
  </si>
  <si>
    <t>ARDMORE</t>
  </si>
  <si>
    <t>N WINTHROP AVE</t>
  </si>
  <si>
    <t>N KENMORE AVE</t>
  </si>
  <si>
    <t>CONTRAFLOW WB BIKE LANE</t>
  </si>
  <si>
    <t>LAWRENCE AVE</t>
  </si>
  <si>
    <t>LAWRENCE</t>
  </si>
  <si>
    <t>N MARINE DR</t>
  </si>
  <si>
    <t>AR 06</t>
  </si>
  <si>
    <t>AR 2020</t>
  </si>
  <si>
    <t>09.24.2021</t>
  </si>
  <si>
    <t>SOUTHPORT AVE</t>
  </si>
  <si>
    <t>SOUTHPORT</t>
  </si>
  <si>
    <t>W IRVING PARK RD</t>
  </si>
  <si>
    <t>N CLARK ST</t>
  </si>
  <si>
    <t>AR 04</t>
  </si>
  <si>
    <t>KEDZIE AVE</t>
  </si>
  <si>
    <t>KEDZIE</t>
  </si>
  <si>
    <t>N LINCOLN AVE</t>
  </si>
  <si>
    <t>2005-7</t>
  </si>
  <si>
    <t>CORTLAND ST</t>
  </si>
  <si>
    <t>CORTLAND</t>
  </si>
  <si>
    <t>SFC IV 3A</t>
  </si>
  <si>
    <t>BIKE FRIENDLY SPEED HUMPS</t>
  </si>
  <si>
    <t>N PAULINA ST</t>
  </si>
  <si>
    <t>RESURFACED 2007, RESURFACED SB ONLY DIVISION TO WOOD 2011</t>
  </si>
  <si>
    <t>DWM</t>
  </si>
  <si>
    <t>RESURFACED SB ONLY</t>
  </si>
  <si>
    <t>12.09.2020</t>
  </si>
  <si>
    <t>W SCHILLER ST</t>
  </si>
  <si>
    <t>N CLYBOURN AVE</t>
  </si>
  <si>
    <t>NB curbside only</t>
  </si>
  <si>
    <t>KINZIE ST</t>
  </si>
  <si>
    <t>KINZIE</t>
  </si>
  <si>
    <t>N DESPLAINES ST</t>
  </si>
  <si>
    <t>N WELLS ST</t>
  </si>
  <si>
    <t>Precast Concrete - Package 1</t>
  </si>
  <si>
    <t>Type III Concrete</t>
  </si>
  <si>
    <t>AR 16</t>
  </si>
  <si>
    <t>RESURFACED; CANAL TO KINGSBURY - CONCRETE PVMT - 2016</t>
  </si>
  <si>
    <t>CONCRETE (PRECAST)</t>
  </si>
  <si>
    <t>OGDEN AVE</t>
  </si>
  <si>
    <t>OGDEN</t>
  </si>
  <si>
    <t>W CONGRESS PKWY</t>
  </si>
  <si>
    <t>CMAQ IV UPGRADES</t>
  </si>
  <si>
    <t>BP-21 Restriping</t>
  </si>
  <si>
    <t>03.28.2021</t>
  </si>
  <si>
    <t>N WABASH AVE</t>
  </si>
  <si>
    <t>GRAND/STATE RED LINE PROJECT</t>
  </si>
  <si>
    <t>W WACKER DR</t>
  </si>
  <si>
    <t>LINCOLN AVE</t>
  </si>
  <si>
    <t>LINCOLN</t>
  </si>
  <si>
    <t>LOCAL</t>
  </si>
  <si>
    <t>9' TRAVEL LANES</t>
  </si>
  <si>
    <t>RESURFACED BELLE PLAINE TO MONTROSE NB ONLY</t>
  </si>
  <si>
    <t>E 60TH ST</t>
  </si>
  <si>
    <t>NB BL is curbside</t>
  </si>
  <si>
    <t>N CALIFORNIA AVE</t>
  </si>
  <si>
    <t>QWICK KURB</t>
  </si>
  <si>
    <t>N SACRAMENTO</t>
  </si>
  <si>
    <t>W/ POST &amp; PAINT</t>
  </si>
  <si>
    <t>W 51ST ST</t>
  </si>
  <si>
    <t>W 47TH ST</t>
  </si>
  <si>
    <t>2011-17</t>
  </si>
  <si>
    <t>03.28.2022</t>
  </si>
  <si>
    <t>08.18.2020</t>
  </si>
  <si>
    <t>W LE MOYNE ST</t>
  </si>
  <si>
    <t>1996-5</t>
  </si>
  <si>
    <t>FARMERS MARKET DRIVEWAY</t>
  </si>
  <si>
    <t>HOME DEPOT DRIVEWAY</t>
  </si>
  <si>
    <t>NB BBL; SB curbside BL</t>
  </si>
  <si>
    <t>W BARRY AVE</t>
  </si>
  <si>
    <t>BP-22-29</t>
  </si>
  <si>
    <t>Type II Precast</t>
  </si>
  <si>
    <t>CDWM</t>
  </si>
  <si>
    <t>RESURFACED IRENE TO ELSTON NB ONLY</t>
  </si>
  <si>
    <t>N NARRAGANSETT AVE</t>
  </si>
  <si>
    <t>N PARKSIDE AVE</t>
  </si>
  <si>
    <t>BOND (NEIGHBORHOODS)</t>
  </si>
  <si>
    <t>9-ft travel lanes</t>
  </si>
  <si>
    <t>09.27.2021</t>
  </si>
  <si>
    <t>PALMER CT</t>
  </si>
  <si>
    <t>PALMER</t>
  </si>
  <si>
    <t>CT</t>
  </si>
  <si>
    <t>W PALMER ST</t>
  </si>
  <si>
    <t>N KEDZIE BLVD</t>
  </si>
  <si>
    <t>2009-2</t>
  </si>
  <si>
    <t>PALMER BLVD</t>
  </si>
  <si>
    <t>N HUMBOLDT BLVD</t>
  </si>
  <si>
    <t>2011-13</t>
  </si>
  <si>
    <t>MFT RESURFACING</t>
  </si>
  <si>
    <t>DASHED</t>
  </si>
  <si>
    <t>130TH ST</t>
  </si>
  <si>
    <t>130TH</t>
  </si>
  <si>
    <t>S SAGINAW AVE</t>
  </si>
  <si>
    <t>2012-1</t>
  </si>
  <si>
    <t>TERM 12</t>
  </si>
  <si>
    <t>CAMPBELL AVE</t>
  </si>
  <si>
    <t>CAMPBELL</t>
  </si>
  <si>
    <t>W BELMONT AVE</t>
  </si>
  <si>
    <t>W ROSCOE ST</t>
  </si>
  <si>
    <t>AR 21 BOND</t>
  </si>
  <si>
    <t>ARCHER AVE</t>
  </si>
  <si>
    <t>ARCHER</t>
  </si>
  <si>
    <t>S CANAL ST</t>
  </si>
  <si>
    <t>W ALDINE AVE</t>
  </si>
  <si>
    <t>BIKE PRGM 04</t>
  </si>
  <si>
    <t>ROOSEVELT RD</t>
  </si>
  <si>
    <t>ROOSEVELT</t>
  </si>
  <si>
    <t>S ASHLAND AVE</t>
  </si>
  <si>
    <t>S HALSTED ST</t>
  </si>
  <si>
    <t>CMAQ V(2) UPGRADES</t>
  </si>
  <si>
    <t>W ST JAMES PL</t>
  </si>
  <si>
    <t>SB BIKE/BUS SHARED LANE</t>
  </si>
  <si>
    <t>Resurfaced</t>
  </si>
  <si>
    <t>ILLINOIS ST</t>
  </si>
  <si>
    <t>ILLINOIS</t>
  </si>
  <si>
    <t>N LASALLE DR</t>
  </si>
  <si>
    <t>NORTHBOUND LEFT TURN BUFFERED BIKE LANE</t>
  </si>
  <si>
    <t>09.14.2020</t>
  </si>
  <si>
    <t>FRANCISCO AVE</t>
  </si>
  <si>
    <t>FRANCISCO</t>
  </si>
  <si>
    <t>W LAWRENCE AVE</t>
  </si>
  <si>
    <t>NORTH SHORE CHANNEL TRAIL</t>
  </si>
  <si>
    <t>2006-5</t>
  </si>
  <si>
    <t>CDOT BRIDGES</t>
  </si>
  <si>
    <t xml:space="preserve"> GREEN MARKINGS ONLY</t>
  </si>
  <si>
    <t>MORGAN DR</t>
  </si>
  <si>
    <t>MORGAN</t>
  </si>
  <si>
    <t>RAINEY DR</t>
  </si>
  <si>
    <t>RAINEY</t>
  </si>
  <si>
    <t>E MORGAN DR</t>
  </si>
  <si>
    <t>S PAYNE DR</t>
  </si>
  <si>
    <t>BRYN MAWR AVE</t>
  </si>
  <si>
    <t>BRYN MAWR</t>
  </si>
  <si>
    <t>N WOLCOTT AVE</t>
  </si>
  <si>
    <t>N BOWMANVILLE AVE</t>
  </si>
  <si>
    <t>W BRYN MAWR AVE</t>
  </si>
  <si>
    <t>STRIPING ONLY</t>
  </si>
  <si>
    <t>S CLARK ST</t>
  </si>
  <si>
    <t>2011-4</t>
  </si>
  <si>
    <t>BIKE PRGM 11</t>
  </si>
  <si>
    <t>BRIDGE PLATES INSTALLED</t>
  </si>
  <si>
    <t>DEVON AVE</t>
  </si>
  <si>
    <t>DEVON</t>
  </si>
  <si>
    <t>DIVVY 16</t>
  </si>
  <si>
    <t>ASHLAND BLVD</t>
  </si>
  <si>
    <t>ASHLAND</t>
  </si>
  <si>
    <t>W FARGO AVE</t>
  </si>
  <si>
    <t>N ROGERS AVE</t>
  </si>
  <si>
    <t>2011-10</t>
  </si>
  <si>
    <t>55TH ST</t>
  </si>
  <si>
    <t>S LAKE PARK AVE</t>
  </si>
  <si>
    <t>S HYDE PARK BLVD</t>
  </si>
  <si>
    <t>S EWING AVE</t>
  </si>
  <si>
    <t>E 87TH AVE</t>
  </si>
  <si>
    <t>DREXEL BLVD</t>
  </si>
  <si>
    <t>DREXEL</t>
  </si>
  <si>
    <t>E HYDE PARK BLVD</t>
  </si>
  <si>
    <t>E OAKWOOD BLVD</t>
  </si>
  <si>
    <t>BL MILEAGE ACCOUNTS FOR SB DREXEL</t>
  </si>
  <si>
    <t>S JEFFERSON ST</t>
  </si>
  <si>
    <t>AR 2020 - Federal</t>
  </si>
  <si>
    <t>AUGUSTA BLVD</t>
  </si>
  <si>
    <t>AUGUSTA</t>
  </si>
  <si>
    <t>N TRUMBULL AVE</t>
  </si>
  <si>
    <t>W GRAND AVE</t>
  </si>
  <si>
    <t>2002-5</t>
  </si>
  <si>
    <t>GRAND TO HOMAN</t>
  </si>
  <si>
    <t>RANDOLPH ST</t>
  </si>
  <si>
    <t>RANDOLPH</t>
  </si>
  <si>
    <t>N COLUMBUS DR</t>
  </si>
  <si>
    <t>N FIELD BLVD</t>
  </si>
  <si>
    <t>S STATE ST</t>
  </si>
  <si>
    <t>S WABASH AVE</t>
  </si>
  <si>
    <t>CDOT BIKE INITIATIVE</t>
  </si>
  <si>
    <t>CENTRAL PARK BLVD</t>
  </si>
  <si>
    <t>CENTRAL PARK</t>
  </si>
  <si>
    <t>W JACKSON BLVD</t>
  </si>
  <si>
    <t>W MADISON AVE</t>
  </si>
  <si>
    <t>W MAXWELL ST</t>
  </si>
  <si>
    <t>BIKE PRGM 13</t>
  </si>
  <si>
    <t>DIVISION ST</t>
  </si>
  <si>
    <t>DIVISION</t>
  </si>
  <si>
    <t>NARRAGANSETT AVE</t>
  </si>
  <si>
    <t>NARRAGANSETT</t>
  </si>
  <si>
    <t>W FULLERTON AVE</t>
  </si>
  <si>
    <t>W DIVERSEY AVE</t>
  </si>
  <si>
    <t>2011-31</t>
  </si>
  <si>
    <t>W WASHINGTON BLVD</t>
  </si>
  <si>
    <t>2012-9</t>
  </si>
  <si>
    <t>2007-10</t>
  </si>
  <si>
    <t>S SHORE DR</t>
  </si>
  <si>
    <t>AR 05</t>
  </si>
  <si>
    <t>31ST ST</t>
  </si>
  <si>
    <t>31ST</t>
  </si>
  <si>
    <t>S MOE DR</t>
  </si>
  <si>
    <t>2012-3</t>
  </si>
  <si>
    <t>BIKE PRGM 12/AR 12</t>
  </si>
  <si>
    <t>33RD ST</t>
  </si>
  <si>
    <t>33RD</t>
  </si>
  <si>
    <t>S MICHIGAN AVE</t>
  </si>
  <si>
    <t>BP-21-46</t>
  </si>
  <si>
    <t>WARREN DR</t>
  </si>
  <si>
    <t>WARREN</t>
  </si>
  <si>
    <t>N HOMAN BLVD</t>
  </si>
  <si>
    <t>IDOT RESURFACING</t>
  </si>
  <si>
    <t>TAYLOR ST</t>
  </si>
  <si>
    <t>TAYLOR</t>
  </si>
  <si>
    <t>S OGDEN AVE</t>
  </si>
  <si>
    <t>2007-29</t>
  </si>
  <si>
    <t>E PERSHING RD</t>
  </si>
  <si>
    <t>2002-20</t>
  </si>
  <si>
    <t>N HAMLIN BLVD</t>
  </si>
  <si>
    <t>WILSON AVE</t>
  </si>
  <si>
    <t>WILSON</t>
  </si>
  <si>
    <t>N BROADWAY</t>
  </si>
  <si>
    <t>N CLARENDON AVE</t>
  </si>
  <si>
    <t>AR18</t>
  </si>
  <si>
    <t>N RAVENSWOOD AVE</t>
  </si>
  <si>
    <t>N MALDEN ST</t>
  </si>
  <si>
    <t>2007-31</t>
  </si>
  <si>
    <t>FULLERTON AVE</t>
  </si>
  <si>
    <t>FULLERTON</t>
  </si>
  <si>
    <t>N GREENVIEW AVE</t>
  </si>
  <si>
    <t>N RACINE AVE</t>
  </si>
  <si>
    <t>N MCCLURG CT</t>
  </si>
  <si>
    <t>S WENTWORTH AVE</t>
  </si>
  <si>
    <t>2002-3</t>
  </si>
  <si>
    <t>SHARROW ON NORTH SIDE</t>
  </si>
  <si>
    <t>W OHIO ST</t>
  </si>
  <si>
    <t>CLARENDON AVE</t>
  </si>
  <si>
    <t>CLARENDON</t>
  </si>
  <si>
    <t>W GRACE ST</t>
  </si>
  <si>
    <t>2007-8</t>
  </si>
  <si>
    <t>W CORNELIA AVE</t>
  </si>
  <si>
    <t>N NOBLE ST</t>
  </si>
  <si>
    <t>2007-7</t>
  </si>
  <si>
    <t>SFC II B</t>
  </si>
  <si>
    <t>BUFFERED NORTH SIDE ONLY, SOUTH SIDE BL</t>
  </si>
  <si>
    <t>2002-8</t>
  </si>
  <si>
    <t>N MARSHFIELD AVE</t>
  </si>
  <si>
    <t>2003-9</t>
  </si>
  <si>
    <t>W HUBBARD ST</t>
  </si>
  <si>
    <t>W DICKENS AVE</t>
  </si>
  <si>
    <t>2002-16</t>
  </si>
  <si>
    <t>CDOT RECONSTRUCTION</t>
  </si>
  <si>
    <t>N KENNEDY DAMEN AVE XR</t>
  </si>
  <si>
    <t>2007-18</t>
  </si>
  <si>
    <t>W 18TH DR</t>
  </si>
  <si>
    <t>N KINGSBURY ST</t>
  </si>
  <si>
    <t>EASTBOUND SHARED LANE</t>
  </si>
  <si>
    <t>CLINTON ST</t>
  </si>
  <si>
    <t>CLINTON</t>
  </si>
  <si>
    <t>W TAYLOR ST</t>
  </si>
  <si>
    <t>CALIFORNIA BLVD</t>
  </si>
  <si>
    <t>W 31ST BLVD</t>
  </si>
  <si>
    <t>W 26TH ST</t>
  </si>
  <si>
    <t>2004-4</t>
  </si>
  <si>
    <t>W RANDOLPH ST</t>
  </si>
  <si>
    <t>RESURFACED; 2-WAY PBL</t>
  </si>
  <si>
    <t>W GRANVILLE AVE</t>
  </si>
  <si>
    <t>31ST BLVD</t>
  </si>
  <si>
    <t>S CALIFORNIA BLVD</t>
  </si>
  <si>
    <t>W 31ST ST</t>
  </si>
  <si>
    <t>E ROOSEVELT RD</t>
  </si>
  <si>
    <t>N BRANCH CHICAGO RIVER</t>
  </si>
  <si>
    <t>BOND (CORRIDORS)</t>
  </si>
  <si>
    <t>W FULTON ST</t>
  </si>
  <si>
    <t>2003-19</t>
  </si>
  <si>
    <t>ARMITAGE AVE</t>
  </si>
  <si>
    <t>ARMITAGE</t>
  </si>
  <si>
    <t>AR 00</t>
  </si>
  <si>
    <t>WESTERN AVE</t>
  </si>
  <si>
    <t>WESTERN</t>
  </si>
  <si>
    <t>S WESTERN BLVD</t>
  </si>
  <si>
    <t>2004-14</t>
  </si>
  <si>
    <t>BLUE ISLAND AVE</t>
  </si>
  <si>
    <t>BLUE ISLAND</t>
  </si>
  <si>
    <t>S RACINE AVE</t>
  </si>
  <si>
    <t>2001-5</t>
  </si>
  <si>
    <t>W 103RD ST</t>
  </si>
  <si>
    <t>W 89TH ST</t>
  </si>
  <si>
    <t>2013-13</t>
  </si>
  <si>
    <t>W BELDEN AVE</t>
  </si>
  <si>
    <t>SOUTHBOUND SHARED LANE</t>
  </si>
  <si>
    <t>SOUTH SHORE DR</t>
  </si>
  <si>
    <t>2004-12</t>
  </si>
  <si>
    <t>LOGAN BLVD</t>
  </si>
  <si>
    <t>LOGAN</t>
  </si>
  <si>
    <t>N JONES ST</t>
  </si>
  <si>
    <t>CONCRETE PROTECTED BIKE LANE</t>
  </si>
  <si>
    <t>Type I &amp; III concrete</t>
  </si>
  <si>
    <t>FULTON ST</t>
  </si>
  <si>
    <t>FULTON</t>
  </si>
  <si>
    <t>N JEFFERSON ST</t>
  </si>
  <si>
    <t>N CLINTON ST</t>
  </si>
  <si>
    <t>COTTAGE GROVE AVE</t>
  </si>
  <si>
    <t>COTTAGE GROVE</t>
  </si>
  <si>
    <t>E 37TH PL</t>
  </si>
  <si>
    <t>E 35TH ST</t>
  </si>
  <si>
    <t>W PERSHING RD</t>
  </si>
  <si>
    <t>W 33RD ST</t>
  </si>
  <si>
    <t>AR 03</t>
  </si>
  <si>
    <t>HOWARD ST</t>
  </si>
  <si>
    <t>HOWARD</t>
  </si>
  <si>
    <t>N RIDGE BLVD</t>
  </si>
  <si>
    <t>EVANSTON RESURFACING</t>
  </si>
  <si>
    <t>2008 RESURFACED FROM CLARK TO PAULINA; RESURFACED 2014 WB ONLY DAMEN TO CLARK</t>
  </si>
  <si>
    <t>N VIRGINIA AVE</t>
  </si>
  <si>
    <t>N MAPLEWOOD AVE</t>
  </si>
  <si>
    <t>2002-6</t>
  </si>
  <si>
    <t>E 66TH ST</t>
  </si>
  <si>
    <t>E 63RD ST</t>
  </si>
  <si>
    <t>SB BBL curbside</t>
  </si>
  <si>
    <t>W FOSTER AVE</t>
  </si>
  <si>
    <t>ANTHONY AVE</t>
  </si>
  <si>
    <t>ANTHONY</t>
  </si>
  <si>
    <t>S JEFFERY BLVD</t>
  </si>
  <si>
    <t>E 83RD ST</t>
  </si>
  <si>
    <t>NB ONLY</t>
  </si>
  <si>
    <t>S HALSTED AVE</t>
  </si>
  <si>
    <t>CENTRAL PARK AVE</t>
  </si>
  <si>
    <t>S MARQUETTE AVE</t>
  </si>
  <si>
    <t>S EXCHANGE AVE</t>
  </si>
  <si>
    <t>S MARYLAND AVE</t>
  </si>
  <si>
    <t>S WOODLAWN AVE</t>
  </si>
  <si>
    <t>95TH ST</t>
  </si>
  <si>
    <t>95TH</t>
  </si>
  <si>
    <t>CALUMET RIVER</t>
  </si>
  <si>
    <t>S AVENUE O</t>
  </si>
  <si>
    <t>W 63RD ST</t>
  </si>
  <si>
    <t>W GARFIELD BLVD</t>
  </si>
  <si>
    <t>DEARBORN ST</t>
  </si>
  <si>
    <t>DEARBORN</t>
  </si>
  <si>
    <t>W SUPERIOR ST</t>
  </si>
  <si>
    <t>1993-3</t>
  </si>
  <si>
    <t>RESURFACED - UPGRADED TO BUFFERED MSL</t>
  </si>
  <si>
    <t>2006-4</t>
  </si>
  <si>
    <t>WRIGHTWOOD AVE</t>
  </si>
  <si>
    <t>WRIGHTWOOD</t>
  </si>
  <si>
    <t>N HAMLIN AVE</t>
  </si>
  <si>
    <t>N KIMBALL AVE</t>
  </si>
  <si>
    <t>2006-9</t>
  </si>
  <si>
    <t>LOGAN SQAURE/WEST TOWN</t>
  </si>
  <si>
    <t>RESURFACED WB ONLY; 2018 CENTRAL PARK TO DRAKE IHC</t>
  </si>
  <si>
    <t>12.10.2020</t>
  </si>
  <si>
    <t>COOK COUNTY RESURFACING</t>
  </si>
  <si>
    <t>N CENTRAL PARK AVE</t>
  </si>
  <si>
    <t>S STONY ISLAND AVE</t>
  </si>
  <si>
    <t>S ANTHONY AVE</t>
  </si>
  <si>
    <t>S AVENUE J</t>
  </si>
  <si>
    <t>S AVENUE G</t>
  </si>
  <si>
    <t>2011-2</t>
  </si>
  <si>
    <t>N SEELEY AVE</t>
  </si>
  <si>
    <t>2005-11</t>
  </si>
  <si>
    <t>S ST LAWRENCE AVE</t>
  </si>
  <si>
    <t>S HOUSTON AVE</t>
  </si>
  <si>
    <t>S ABERDEEN ST</t>
  </si>
  <si>
    <t>S MORGAN ST</t>
  </si>
  <si>
    <t>W 65TH ST</t>
  </si>
  <si>
    <t>W 63RD PKWY</t>
  </si>
  <si>
    <t>KENNEDY KING COLLEGE</t>
  </si>
  <si>
    <t>N BERNARD AVE</t>
  </si>
  <si>
    <t>N CICERO AVE</t>
  </si>
  <si>
    <t>N LARAMIE AVE</t>
  </si>
  <si>
    <t>RACINE AVE</t>
  </si>
  <si>
    <t>RACINE</t>
  </si>
  <si>
    <t>W 58TH ST</t>
  </si>
  <si>
    <t>2009-3</t>
  </si>
  <si>
    <t>AR 09</t>
  </si>
  <si>
    <t>7-ft striped curbside buffer. B | BL | T | T | BL | B</t>
  </si>
  <si>
    <t>2020 SB LANE WAS RESURFACED &amp; RESTRIPED</t>
  </si>
  <si>
    <t>10.06.2022</t>
  </si>
  <si>
    <t>48TH WARD MENU</t>
  </si>
  <si>
    <t>GUNNISON ST</t>
  </si>
  <si>
    <t>GUNNISON</t>
  </si>
  <si>
    <t>N AUSTIN AVE</t>
  </si>
  <si>
    <t>2007-21</t>
  </si>
  <si>
    <t>CHICAGO RIVER</t>
  </si>
  <si>
    <t>METRA TRACKS</t>
  </si>
  <si>
    <t>W ARMITAGE ST</t>
  </si>
  <si>
    <t>I-90</t>
  </si>
  <si>
    <t>W CARMEN AVE</t>
  </si>
  <si>
    <t>I-90 TO CARMEN - CONCRETE PVMT- 2017</t>
  </si>
  <si>
    <t>W WALTON ST</t>
  </si>
  <si>
    <t>2013-4</t>
  </si>
  <si>
    <t>63RD ST</t>
  </si>
  <si>
    <t>63RD</t>
  </si>
  <si>
    <t>S OAK PARK AVE</t>
  </si>
  <si>
    <t>S NARRAGANSETT AVE</t>
  </si>
  <si>
    <t>W CORTLAND ST</t>
  </si>
  <si>
    <t>2010-7</t>
  </si>
  <si>
    <t>2010-8</t>
  </si>
  <si>
    <t>AR 2021</t>
  </si>
  <si>
    <t>W 59TH ST</t>
  </si>
  <si>
    <t>DEVELOPMENT RESURFACING</t>
  </si>
  <si>
    <t>E ERIE ST</t>
  </si>
  <si>
    <t>SIGNALIZED GREEN WAVE - GRAND TO HURON</t>
  </si>
  <si>
    <t>WELLS GREEN WAVE</t>
  </si>
  <si>
    <t>ORLEANS ST</t>
  </si>
  <si>
    <t>ORLEANS</t>
  </si>
  <si>
    <t>WACKER TO KINZIE - CONCRETE PVMT - 2017</t>
  </si>
  <si>
    <t>W GUNNISON ST</t>
  </si>
  <si>
    <t>ROAD DIET - MONTROSE TO FOSTER</t>
  </si>
  <si>
    <t>W WAVELAND AVE</t>
  </si>
  <si>
    <t>EWING AVE</t>
  </si>
  <si>
    <t>EWING</t>
  </si>
  <si>
    <t>S CALUMET RIVER</t>
  </si>
  <si>
    <t>2010-3</t>
  </si>
  <si>
    <t>S HARBOR AVE</t>
  </si>
  <si>
    <t>ROGERS AVE</t>
  </si>
  <si>
    <t>ROGERS</t>
  </si>
  <si>
    <t>N EASTLAKE TER</t>
  </si>
  <si>
    <t>FRANKLIN BLVD</t>
  </si>
  <si>
    <t>N SACRAMENTO BLVD</t>
  </si>
  <si>
    <t>2012-17</t>
  </si>
  <si>
    <t>2"" CONCRETE UPGRADE 2016</t>
  </si>
  <si>
    <t>TERM 16</t>
  </si>
  <si>
    <t>W 25TH ST</t>
  </si>
  <si>
    <t>2007-14</t>
  </si>
  <si>
    <t>W AUGUSTA BLVD</t>
  </si>
  <si>
    <t>AR 01</t>
  </si>
  <si>
    <t>N CHESTNUT ST</t>
  </si>
  <si>
    <t>IDOT CIRCLE INTERSECTION</t>
  </si>
  <si>
    <t>AVENUE L</t>
  </si>
  <si>
    <t>AVENUE</t>
  </si>
  <si>
    <t>L</t>
  </si>
  <si>
    <t>E 99TH ST</t>
  </si>
  <si>
    <t>2011-11</t>
  </si>
  <si>
    <t>W 99TH ST</t>
  </si>
  <si>
    <t>2011-36</t>
  </si>
  <si>
    <t>N CENTRAL AVE</t>
  </si>
  <si>
    <t>2011-27</t>
  </si>
  <si>
    <t>E BISHOP FORD EXPY</t>
  </si>
  <si>
    <t>N SHEFFIELD AVE</t>
  </si>
  <si>
    <t>ELSTON TO N BRANCH - CONCRETE PVMT - 2015</t>
  </si>
  <si>
    <t>N ORLEANS ST</t>
  </si>
  <si>
    <t>2015-7</t>
  </si>
  <si>
    <t>IDOT 15</t>
  </si>
  <si>
    <t>W 41ST ST</t>
  </si>
  <si>
    <t>2013-6</t>
  </si>
  <si>
    <t>CANAL ST</t>
  </si>
  <si>
    <t>CANAL</t>
  </si>
  <si>
    <t>1993-1</t>
  </si>
  <si>
    <t>W ADAMS ST</t>
  </si>
  <si>
    <t>1993-2</t>
  </si>
  <si>
    <t>GREEN PAINT</t>
  </si>
  <si>
    <t>S TALMAN AVE</t>
  </si>
  <si>
    <t>S CAMPBELL AVE</t>
  </si>
  <si>
    <t>TALMAN TO CAMPBELL - CONCRETE PVMT - 2018</t>
  </si>
  <si>
    <t>W CALIFORNIA TER</t>
  </si>
  <si>
    <t>S LASALLE ST</t>
  </si>
  <si>
    <t>2011-33</t>
  </si>
  <si>
    <t>GREEN LINE RECONSTRUCTION</t>
  </si>
  <si>
    <t>LOOMIS ST</t>
  </si>
  <si>
    <t>LOOMIS</t>
  </si>
  <si>
    <t>S ELEANOR ST</t>
  </si>
  <si>
    <t>S THROOP ST</t>
  </si>
  <si>
    <t>CONCRETE UPGRADES</t>
  </si>
  <si>
    <t>MMA RESTRIPING ONLY</t>
  </si>
  <si>
    <t>S WOLCOTT AVE</t>
  </si>
  <si>
    <t>2012-6</t>
  </si>
  <si>
    <t>Green bike lane</t>
  </si>
  <si>
    <t>W WRIGHTWOOD AVE</t>
  </si>
  <si>
    <t>1999-2</t>
  </si>
  <si>
    <t>2014-18</t>
  </si>
  <si>
    <t>2015-8</t>
  </si>
  <si>
    <t xml:space="preserve"> RESURFACED - ALBANY TO MAPLEWOOD</t>
  </si>
  <si>
    <t>RESURFACED - ALBANY TO MAPLEWOOD</t>
  </si>
  <si>
    <t>N HONORE ST</t>
  </si>
  <si>
    <t>2003-4</t>
  </si>
  <si>
    <t>SFC II A &amp; BIKE PRGM 14</t>
  </si>
  <si>
    <t>RESURFACED - LOGAN TO PULASKI</t>
  </si>
  <si>
    <t>2015-10</t>
  </si>
  <si>
    <t>2017-12</t>
  </si>
  <si>
    <t>POLK ST</t>
  </si>
  <si>
    <t>POLK</t>
  </si>
  <si>
    <t>2017-15</t>
  </si>
  <si>
    <t>HARRISON ST</t>
  </si>
  <si>
    <t>HARRISON</t>
  </si>
  <si>
    <t>UIC</t>
  </si>
  <si>
    <t>GREEN PAVEMENT AND BOLLARDS</t>
  </si>
  <si>
    <t>26TH ST</t>
  </si>
  <si>
    <t>25TH TO 24TH - CONCRETE PVMT - 2017</t>
  </si>
  <si>
    <t>E 71ST ST</t>
  </si>
  <si>
    <t>W WABANSIA AVE</t>
  </si>
  <si>
    <t>W MOFFAT ST</t>
  </si>
  <si>
    <t>RESURFACED 2014 NB ONLY</t>
  </si>
  <si>
    <t>LAKEFRONT TRAL</t>
  </si>
  <si>
    <t>CDBG RESURFACING</t>
  </si>
  <si>
    <t>2017-10</t>
  </si>
  <si>
    <t>HALSTED TO DESPLAINES - CONCRETE PVMT - 2017</t>
  </si>
  <si>
    <t>N DAMEN  AVE</t>
  </si>
  <si>
    <t>SUMMIT AVE</t>
  </si>
  <si>
    <t>SUMMIT</t>
  </si>
  <si>
    <t>2014-20</t>
  </si>
  <si>
    <t>KIMBERLEY TO CICERO - CONCRETE PVMT - 2015; 2007 RESURFACED - LOWELL TO CICERO</t>
  </si>
  <si>
    <t>E 67TH ST</t>
  </si>
  <si>
    <t>N WILLARD CT</t>
  </si>
  <si>
    <t>E 113TH ST</t>
  </si>
  <si>
    <t>2017-5</t>
  </si>
  <si>
    <t>SB ONLY</t>
  </si>
  <si>
    <t>S KERFOOT AVE</t>
  </si>
  <si>
    <t>WOODLAWN AVE</t>
  </si>
  <si>
    <t>S DOTY AVE</t>
  </si>
  <si>
    <t>E 103RD ST</t>
  </si>
  <si>
    <t>31ST DR</t>
  </si>
  <si>
    <t>S FORT DEARBORN</t>
  </si>
  <si>
    <t>BBL ON-STREET (DO NOT CHANGE)</t>
  </si>
  <si>
    <t>33RD BLVD</t>
  </si>
  <si>
    <t>S DR MARTIN LUTHER KING DR</t>
  </si>
  <si>
    <t>W PRATT BLVD</t>
  </si>
  <si>
    <t>W FIFTH AVE</t>
  </si>
  <si>
    <t>INDEPENDENCE SQ</t>
  </si>
  <si>
    <t>SQ</t>
  </si>
  <si>
    <t>S INDEPENDENCE BLVD</t>
  </si>
  <si>
    <t>TERM 15</t>
  </si>
  <si>
    <t>2015-5</t>
  </si>
  <si>
    <t>DIVISION TO HALSTED - SOUTHBOUND - CONCRETE</t>
  </si>
  <si>
    <t>2002-4</t>
  </si>
  <si>
    <t>W 105TH ST</t>
  </si>
  <si>
    <t>2015-14</t>
  </si>
  <si>
    <t>BIKE PRGM 15</t>
  </si>
  <si>
    <t>WOOD ST</t>
  </si>
  <si>
    <t>WOOD</t>
  </si>
  <si>
    <t>2014-22</t>
  </si>
  <si>
    <t>CONTRA-FLOW BIKE LANE ON WICKER PARK AVE</t>
  </si>
  <si>
    <t>WOOD STREET GREENWAY</t>
  </si>
  <si>
    <t>2011-21</t>
  </si>
  <si>
    <t>26TH</t>
  </si>
  <si>
    <t>S KOSTNER AVE</t>
  </si>
  <si>
    <t>S PULASKI RD</t>
  </si>
  <si>
    <t>2002-1</t>
  </si>
  <si>
    <t>2006-2</t>
  </si>
  <si>
    <t>LAKEFRONT TRAIL</t>
  </si>
  <si>
    <t>2014-4</t>
  </si>
  <si>
    <t>WB ONLY</t>
  </si>
  <si>
    <t>CMAQ II</t>
  </si>
  <si>
    <t>BL NB ONLY</t>
  </si>
  <si>
    <t>W ROSEMONT AVE</t>
  </si>
  <si>
    <t>E 37TH ST</t>
  </si>
  <si>
    <t>E 26TH ST</t>
  </si>
  <si>
    <t>MACKINAW AVE</t>
  </si>
  <si>
    <t>MACKINAW</t>
  </si>
  <si>
    <t>E 91ST ST</t>
  </si>
  <si>
    <t>2013-10</t>
  </si>
  <si>
    <t>N OGDEN BLVD</t>
  </si>
  <si>
    <t>N PEORIIA ST</t>
  </si>
  <si>
    <t>2002-24</t>
  </si>
  <si>
    <t>N HASLTED ST</t>
  </si>
  <si>
    <t>SHEFFIELD TO FREMONT - CONCRETE PVMT - 2017</t>
  </si>
  <si>
    <t>NOBLE ST</t>
  </si>
  <si>
    <t>NOBLE</t>
  </si>
  <si>
    <t>2014-15</t>
  </si>
  <si>
    <t>2003-17</t>
  </si>
  <si>
    <t>2010-4</t>
  </si>
  <si>
    <t>SOME BIKE LANE REMOVED</t>
  </si>
  <si>
    <t>S DESPLAINES ST</t>
  </si>
  <si>
    <t>S FINANCIAL PL</t>
  </si>
  <si>
    <t>2014-5</t>
  </si>
  <si>
    <t>75TH ST</t>
  </si>
  <si>
    <t>75TH</t>
  </si>
  <si>
    <t>2011-8</t>
  </si>
  <si>
    <t>2003-16</t>
  </si>
  <si>
    <t>S MERRILL AVE</t>
  </si>
  <si>
    <t>S YATES BLVD</t>
  </si>
  <si>
    <t>ROSCOE ST</t>
  </si>
  <si>
    <t>ROSCOE</t>
  </si>
  <si>
    <t>N CAMPBELL AVE</t>
  </si>
  <si>
    <t>N HOYNE AVE</t>
  </si>
  <si>
    <t>2012-25</t>
  </si>
  <si>
    <t>N HAMILTON AVE</t>
  </si>
  <si>
    <t>W 17TH ST</t>
  </si>
  <si>
    <t>W 14TH ST</t>
  </si>
  <si>
    <t>CANAL VIADUCT RECONSTRUCTION</t>
  </si>
  <si>
    <t>16TH TO 16TH - CONCRETE PVMT - 2018</t>
  </si>
  <si>
    <t>2014-2</t>
  </si>
  <si>
    <t>WARREN BLVD</t>
  </si>
  <si>
    <t>N WOOD ST</t>
  </si>
  <si>
    <t>2002-23</t>
  </si>
  <si>
    <t>MORGAN ST</t>
  </si>
  <si>
    <t>2014-14</t>
  </si>
  <si>
    <t>IDOT CIRCLE INTERCHANGE</t>
  </si>
  <si>
    <t>CONGRESS TO TILDEN - CONCRETE PVMT - 2015</t>
  </si>
  <si>
    <t>HUBBARD ST</t>
  </si>
  <si>
    <t>HUBBARD</t>
  </si>
  <si>
    <t>2014-11</t>
  </si>
  <si>
    <t>N ELSTON PKWY</t>
  </si>
  <si>
    <t>PERSHING RD</t>
  </si>
  <si>
    <t>PERSHING</t>
  </si>
  <si>
    <t>2014-16</t>
  </si>
  <si>
    <t>PRATT BLVD</t>
  </si>
  <si>
    <t>PRATT</t>
  </si>
  <si>
    <t>N BELL AVE</t>
  </si>
  <si>
    <t>2002-21</t>
  </si>
  <si>
    <t>EB ONLY BELL TO RIDGE</t>
  </si>
  <si>
    <t>N AUSTIN BLVD</t>
  </si>
  <si>
    <t>2014-12</t>
  </si>
  <si>
    <t>N PINE AVE</t>
  </si>
  <si>
    <t>2017-6</t>
  </si>
  <si>
    <t>BALTIMORE AVE</t>
  </si>
  <si>
    <t>BALTIMORE</t>
  </si>
  <si>
    <t>S BRAINARD AVE</t>
  </si>
  <si>
    <t>E 130TH ST</t>
  </si>
  <si>
    <t>2017-3</t>
  </si>
  <si>
    <t>W TOUHY AVE</t>
  </si>
  <si>
    <t>2016-6</t>
  </si>
  <si>
    <t>N MICHIGAN AVE</t>
  </si>
  <si>
    <t>2016-8</t>
  </si>
  <si>
    <t>WASHINGTON ST</t>
  </si>
  <si>
    <t>N WACKER DR</t>
  </si>
  <si>
    <t>2015-9</t>
  </si>
  <si>
    <t>S INDIANA AVE</t>
  </si>
  <si>
    <t>S CALUMET AVE</t>
  </si>
  <si>
    <t>2014-1</t>
  </si>
  <si>
    <t>CALUMET AVE</t>
  </si>
  <si>
    <t>CALUMET</t>
  </si>
  <si>
    <t>E CULLERTON ST</t>
  </si>
  <si>
    <t>2014-6</t>
  </si>
  <si>
    <t>BIKE RAMP INSTALLED AND GREEN EMBEDDED SYMBOLS</t>
  </si>
  <si>
    <t>2003-23</t>
  </si>
  <si>
    <t>W PALMER BLVD</t>
  </si>
  <si>
    <t>2011-23</t>
  </si>
  <si>
    <t>N CENTRAL PARK DR</t>
  </si>
  <si>
    <t>W 83RD ST</t>
  </si>
  <si>
    <t>W 75TH ST</t>
  </si>
  <si>
    <t>2014-9</t>
  </si>
  <si>
    <t>70TH ST</t>
  </si>
  <si>
    <t>2015-13</t>
  </si>
  <si>
    <t>N ST. LOUIS AVE</t>
  </si>
  <si>
    <t>2016-9</t>
  </si>
  <si>
    <t>GLENWOOD AVE</t>
  </si>
  <si>
    <t>GLENWOOD</t>
  </si>
  <si>
    <t>N RIDGE AVE</t>
  </si>
  <si>
    <t>2017-8</t>
  </si>
  <si>
    <t>CONTRAFLOW LANE</t>
  </si>
  <si>
    <t>PLUS SPOT RESTRIPING N OF RIDGE TO EVANSTON (LFT ALT SCOPING)</t>
  </si>
  <si>
    <t>GLENWOOD GREENWAY</t>
  </si>
  <si>
    <t>CARMEN AVE</t>
  </si>
  <si>
    <t>CARMEN</t>
  </si>
  <si>
    <t>N GLENWOOD AVE</t>
  </si>
  <si>
    <t>2017-4</t>
  </si>
  <si>
    <t>2012-10</t>
  </si>
  <si>
    <t>2001-6</t>
  </si>
  <si>
    <t>W DOUGLAS DR</t>
  </si>
  <si>
    <t>2014-19</t>
  </si>
  <si>
    <t>CDOT TRAFFIC GROUP</t>
  </si>
  <si>
    <t>ROAD DIET - DOUGLAS TO ROOSEVELT</t>
  </si>
  <si>
    <t>IHC</t>
  </si>
  <si>
    <t>105TH ST</t>
  </si>
  <si>
    <t>105TH</t>
  </si>
  <si>
    <t>S VINCENNIES AVE</t>
  </si>
  <si>
    <t>MAJOR TAYLOR TRAIL</t>
  </si>
  <si>
    <t>2015-1</t>
  </si>
  <si>
    <t>W LOGAN BLVD</t>
  </si>
  <si>
    <t>W 79TH ST</t>
  </si>
  <si>
    <t>2015-15</t>
  </si>
  <si>
    <t>2015-11</t>
  </si>
  <si>
    <t>RAISED CYCLE TRACK</t>
  </si>
  <si>
    <t>RAISED</t>
  </si>
  <si>
    <t>W 84TH ST</t>
  </si>
  <si>
    <t>RESURFACED; ROAD DIET 83RD TO 79TH</t>
  </si>
  <si>
    <t>2017-13</t>
  </si>
  <si>
    <t>GALE TO I-90 - CONCRETE PVMT - 2017</t>
  </si>
  <si>
    <t>69TH ST</t>
  </si>
  <si>
    <t>79TH ST</t>
  </si>
  <si>
    <t>DOTY AVE</t>
  </si>
  <si>
    <t>DOTY</t>
  </si>
  <si>
    <t>E 111TH ST</t>
  </si>
  <si>
    <t>W HADDON AVE</t>
  </si>
  <si>
    <t>2007-12</t>
  </si>
  <si>
    <t>2002-7</t>
  </si>
  <si>
    <t>CONCRETE UPGRADE IN 2015</t>
  </si>
  <si>
    <t>W MERCHANDISE MART</t>
  </si>
  <si>
    <t>MERCH MART TO HURON - WELLS GREEN WAVE</t>
  </si>
  <si>
    <t>S LEAVITT ST</t>
  </si>
  <si>
    <t>EB CONTRAFLOW LANES</t>
  </si>
  <si>
    <t>W WACKER ST</t>
  </si>
  <si>
    <t>EXCLUDED CHICAGO RIVER BRIDGE</t>
  </si>
  <si>
    <t>UNION TO RUBLE - CONCRETE PVMT - 2017</t>
  </si>
  <si>
    <t>59TH ST</t>
  </si>
  <si>
    <t>59TH</t>
  </si>
  <si>
    <t>2007-4</t>
  </si>
  <si>
    <t>2004-10</t>
  </si>
  <si>
    <t>CONSERVATORY DR</t>
  </si>
  <si>
    <t>CONSERVATORY</t>
  </si>
  <si>
    <t>RAILROAD</t>
  </si>
  <si>
    <t>2011-16</t>
  </si>
  <si>
    <t>W 14TH PL</t>
  </si>
  <si>
    <t>S GILES AVE</t>
  </si>
  <si>
    <t>INDIANA TO KING - EB BBL; WB curbside</t>
  </si>
  <si>
    <t>N TALMAN AVE</t>
  </si>
  <si>
    <t>2015-6</t>
  </si>
  <si>
    <t>N KILPATRICK AVE</t>
  </si>
  <si>
    <t>BIKE PRGM 01</t>
  </si>
  <si>
    <t>RESURFACED NB ONLY</t>
  </si>
  <si>
    <t>S WELLS ST</t>
  </si>
  <si>
    <t>WENTWORTH TO LASALLE - CONCRETE PVMT - 2018</t>
  </si>
  <si>
    <t>Wentworth to LaSalle restriped 2018</t>
  </si>
  <si>
    <t>N STETSON AVE</t>
  </si>
  <si>
    <t>E RANDOLPH ST</t>
  </si>
  <si>
    <t>&lt;Null&gt;</t>
  </si>
  <si>
    <t>35TH ST</t>
  </si>
  <si>
    <t>35TH</t>
  </si>
  <si>
    <t>2015-2</t>
  </si>
  <si>
    <t>S HOMAN AVE</t>
  </si>
  <si>
    <t>2015-12</t>
  </si>
  <si>
    <t>2015-3</t>
  </si>
  <si>
    <t>W HOWARD ST</t>
  </si>
  <si>
    <t>2015-4</t>
  </si>
  <si>
    <t>N MENDELL ST</t>
  </si>
  <si>
    <t>2007-1</t>
  </si>
  <si>
    <t>JEFFERSON ST</t>
  </si>
  <si>
    <t>JEFFERSON</t>
  </si>
  <si>
    <t>AR 07</t>
  </si>
  <si>
    <t>S KENTON AVE</t>
  </si>
  <si>
    <t>N WEBSTER ST</t>
  </si>
  <si>
    <t>2007-17</t>
  </si>
  <si>
    <t>BUFFERED SHARED LANE</t>
  </si>
  <si>
    <t>ROOT ST</t>
  </si>
  <si>
    <t>ROOT</t>
  </si>
  <si>
    <t>S EMERALD AVE</t>
  </si>
  <si>
    <t>2017-17</t>
  </si>
  <si>
    <t>2016-4</t>
  </si>
  <si>
    <t>2016-5</t>
  </si>
  <si>
    <t>2016-1</t>
  </si>
  <si>
    <t>2016-3</t>
  </si>
  <si>
    <t>W AINSLIE ST</t>
  </si>
  <si>
    <t>2002-9</t>
  </si>
  <si>
    <t>OAK PARK AVE</t>
  </si>
  <si>
    <t>OAK PARK</t>
  </si>
  <si>
    <t>W FOREST PRESERVE DR</t>
  </si>
  <si>
    <t>2016-7</t>
  </si>
  <si>
    <t>RESURFACED KEDZIE TO CALIFORNIA</t>
  </si>
  <si>
    <t>2017-14</t>
  </si>
  <si>
    <t>ARGYLE ST</t>
  </si>
  <si>
    <t>ARGYLE</t>
  </si>
  <si>
    <t>ADVISORY LANE</t>
  </si>
  <si>
    <t>W SHERIDAN RD</t>
  </si>
  <si>
    <t>BL THROUGH CAMPUS</t>
  </si>
  <si>
    <t>LOYOLA PED MALL</t>
  </si>
  <si>
    <t>71ST ST</t>
  </si>
  <si>
    <t>71ST</t>
  </si>
  <si>
    <t>S CHAMPLAIN AVE</t>
  </si>
  <si>
    <t>S SOUTH CHICAGO AVE</t>
  </si>
  <si>
    <t>CREATE RESURFACING</t>
  </si>
  <si>
    <t>S CLINTON ST</t>
  </si>
  <si>
    <t>2001-2</t>
  </si>
  <si>
    <t>RESURFACED WABASH TO INDIANA - WB ONLY</t>
  </si>
  <si>
    <t>W 71ST ST</t>
  </si>
  <si>
    <t>2014-7</t>
  </si>
  <si>
    <t>2002-10</t>
  </si>
  <si>
    <t>W ARGYLE ST</t>
  </si>
  <si>
    <t>W BALMORAL AVE</t>
  </si>
  <si>
    <t>W FULTON MARKET</t>
  </si>
  <si>
    <t>W ERIE AVE</t>
  </si>
  <si>
    <t>1999-1</t>
  </si>
  <si>
    <t>OHIO TO ERIE - CONCRETE PVMT - 2017</t>
  </si>
  <si>
    <t>N LAKESHORE DR</t>
  </si>
  <si>
    <t>S ARCHER AVE</t>
  </si>
  <si>
    <t>2003-13</t>
  </si>
  <si>
    <t>S LUMBER ST</t>
  </si>
  <si>
    <t>2013-7</t>
  </si>
  <si>
    <t>ARCHER TO S BRANCH BRIDGE - CONCRETE PVMT - 2013</t>
  </si>
  <si>
    <t>W LUMBER ST</t>
  </si>
  <si>
    <t>2002-13</t>
  </si>
  <si>
    <t>17TH TO 14TH - CONCRETE PVMT - 2013</t>
  </si>
  <si>
    <t>2012-23</t>
  </si>
  <si>
    <t>S LAFLIN ST</t>
  </si>
  <si>
    <t>RESURFACED GREEN TO HALSTED 2015</t>
  </si>
  <si>
    <t>ROAD DIET - PINE TO LARAMIE; RESURFACED; ON-STREET IS BBL</t>
  </si>
  <si>
    <t>2014-13</t>
  </si>
  <si>
    <t>ROAD DIET - LARAMIE TO CICERO &amp; PULASKI TO CENTRAL PARK</t>
  </si>
  <si>
    <t>N KENNETH AVE</t>
  </si>
  <si>
    <t>2001-10</t>
  </si>
  <si>
    <t>CONCRETE PVMT - CICERO TO KEATING 2015, AVONDALE TO LECLAIRE 2017</t>
  </si>
  <si>
    <t>S MARTIN LUTHER KING JR DR</t>
  </si>
  <si>
    <t>TIF/GOB</t>
  </si>
  <si>
    <t>2014-17</t>
  </si>
  <si>
    <t>12.07.2020</t>
  </si>
  <si>
    <t>IHC RESURFACING</t>
  </si>
  <si>
    <t>WINTHROP AVE</t>
  </si>
  <si>
    <t>WINTHROP</t>
  </si>
  <si>
    <t>W 87TH ST</t>
  </si>
  <si>
    <t>N PULASKI AVE</t>
  </si>
  <si>
    <t xml:space="preserve"> STATE TO WABASH EB ONLY RESURFACED; WABASH TO INDIANA WB ONLY RESURFACED</t>
  </si>
  <si>
    <t>ROCKWELL ST</t>
  </si>
  <si>
    <t>ROCKWELL</t>
  </si>
  <si>
    <t>2017-16</t>
  </si>
  <si>
    <t>TRAFFIC STUDIES</t>
  </si>
  <si>
    <t>W 82ND ST</t>
  </si>
  <si>
    <t>2003-8</t>
  </si>
  <si>
    <t>SFC III A</t>
  </si>
  <si>
    <t>E 25TH ST</t>
  </si>
  <si>
    <t>1996-3</t>
  </si>
  <si>
    <t>S STEWART AVE</t>
  </si>
  <si>
    <t>2006-1</t>
  </si>
  <si>
    <t>S FEDERAL ST</t>
  </si>
  <si>
    <t>WENTWORTH TO LASALLE - CONCRETE PVMT - 2017</t>
  </si>
  <si>
    <t>S KING DR</t>
  </si>
  <si>
    <t>ELSTON PKWY</t>
  </si>
  <si>
    <t>PKWY</t>
  </si>
  <si>
    <t>N ELSTON CT</t>
  </si>
  <si>
    <t>2016-2</t>
  </si>
  <si>
    <t>IDOT RECONSTRUCTION</t>
  </si>
  <si>
    <t>S LAKE SHORE DRIVE</t>
  </si>
  <si>
    <t>2013-1</t>
  </si>
  <si>
    <t>US 41 EXTENSION IMPROVEMENTS</t>
  </si>
  <si>
    <t>W LELAND AVE</t>
  </si>
  <si>
    <t>S LAFAYETTE AVE</t>
  </si>
  <si>
    <t>2005-10</t>
  </si>
  <si>
    <t>N CANAL ST</t>
  </si>
  <si>
    <t>2004-13</t>
  </si>
  <si>
    <t>2017-7</t>
  </si>
  <si>
    <t>HALSTED TO UNION - CONCRETE PVMT - 2017</t>
  </si>
  <si>
    <t>MADISON ST</t>
  </si>
  <si>
    <t>MADISON</t>
  </si>
  <si>
    <t>S LARAMIE AVE</t>
  </si>
  <si>
    <t>2013-11</t>
  </si>
  <si>
    <t>2007-6</t>
  </si>
  <si>
    <t>2013-3</t>
  </si>
  <si>
    <t>E 100TH ST</t>
  </si>
  <si>
    <t>S AUSTIN AVE</t>
  </si>
  <si>
    <t>S CENTRAL AVE</t>
  </si>
  <si>
    <t>DASHED WB BIKE LANE</t>
  </si>
  <si>
    <t>N LAKE SHORE DR</t>
  </si>
  <si>
    <t>2010-6</t>
  </si>
  <si>
    <t>FRANKLIN TO LASALLE - RESURFACED</t>
  </si>
  <si>
    <t>FRANKLIN TO LASALLE - RESURFACED 2018</t>
  </si>
  <si>
    <t>E 115TH ST</t>
  </si>
  <si>
    <t>S LYON AVE</t>
  </si>
  <si>
    <t>S COTTAGE GROOVE AVE</t>
  </si>
  <si>
    <t>CONGRESS TO VAN BUREN - CONCRETE PVMT - 2017</t>
  </si>
  <si>
    <t>HAMLIN BLVD</t>
  </si>
  <si>
    <t>HAMLIN</t>
  </si>
  <si>
    <t>2003-11</t>
  </si>
  <si>
    <t>2018-2</t>
  </si>
  <si>
    <t>48TH WARD</t>
  </si>
  <si>
    <t>2018-3</t>
  </si>
  <si>
    <t>HOOKER TO DIVISION - CONCRETE PVMT - 2011</t>
  </si>
  <si>
    <t>NORTH BRANCH CANAL BRIDGE RECONSTRUCTION</t>
  </si>
  <si>
    <t>W THOME AVE</t>
  </si>
  <si>
    <t>2018-1</t>
  </si>
  <si>
    <t>LELAND AVE</t>
  </si>
  <si>
    <t>LELAND</t>
  </si>
  <si>
    <t>2017-11</t>
  </si>
  <si>
    <t>LELAND GREENWAY</t>
  </si>
  <si>
    <t>2018-4</t>
  </si>
  <si>
    <t>TRAFFIC SAFETY MENU</t>
  </si>
  <si>
    <t>?</t>
  </si>
  <si>
    <t xml:space="preserve"> RESURFACED - TILDEN TO VAN BUREN</t>
  </si>
  <si>
    <t>2018-5</t>
  </si>
  <si>
    <t>2013-15</t>
  </si>
  <si>
    <t>LAWRENCE DR</t>
  </si>
  <si>
    <t>N LSD LAWRENCE AVE</t>
  </si>
  <si>
    <t>2018-6</t>
  </si>
  <si>
    <t>VIADUCT</t>
  </si>
  <si>
    <t>MARINE DR</t>
  </si>
  <si>
    <t>MARINE</t>
  </si>
  <si>
    <t>W LAKESIDE PL</t>
  </si>
  <si>
    <t>LAKESIDE PL</t>
  </si>
  <si>
    <t>LAKESIDE</t>
  </si>
  <si>
    <t>N LSD WILSON AVE</t>
  </si>
  <si>
    <t>2018-7</t>
  </si>
  <si>
    <t>W EASTWOOD AVE</t>
  </si>
  <si>
    <t>ROUTE GOES THROUGH ALLEY</t>
  </si>
  <si>
    <t>EASTWOOD AVE</t>
  </si>
  <si>
    <t>EASTWOOD</t>
  </si>
  <si>
    <t>DEAD END</t>
  </si>
  <si>
    <t>2018-8</t>
  </si>
  <si>
    <t>UPLIFT ECO-PLAZA</t>
  </si>
  <si>
    <t>OAK ST</t>
  </si>
  <si>
    <t>OAK</t>
  </si>
  <si>
    <t>2018-9</t>
  </si>
  <si>
    <t>UNK</t>
  </si>
  <si>
    <t>2018-10</t>
  </si>
  <si>
    <t>STONY ISLAND AVE</t>
  </si>
  <si>
    <t>STONY ISLAND</t>
  </si>
  <si>
    <t>E 122ND ST</t>
  </si>
  <si>
    <t>2018-11</t>
  </si>
  <si>
    <t>E 55TH PL</t>
  </si>
  <si>
    <t>DEVELOPER</t>
  </si>
  <si>
    <t>EB CONTRAFLOW LANE</t>
  </si>
  <si>
    <t>AR 2021 FEDERAL</t>
  </si>
  <si>
    <t>Mileage accounts for other side of blvd</t>
  </si>
  <si>
    <t>BIKE PRGM 98</t>
  </si>
  <si>
    <t>2002-18</t>
  </si>
  <si>
    <t>103RD ST</t>
  </si>
  <si>
    <t>103RD</t>
  </si>
  <si>
    <t>NORTH BRANCH TRAIL</t>
  </si>
  <si>
    <t>EB BL; WB curbside PBL</t>
  </si>
  <si>
    <t>WELLS BRIDGE RECONSTRUCTION</t>
  </si>
  <si>
    <t>W POTOMAC AVE</t>
  </si>
  <si>
    <t>CTA ONLY PARKING</t>
  </si>
  <si>
    <t>MICHIGAN AVE</t>
  </si>
  <si>
    <t>MICHIGAN</t>
  </si>
  <si>
    <t>E WASHINGTON ST</t>
  </si>
  <si>
    <t>THORNDALE AVE</t>
  </si>
  <si>
    <t>THORNDALE</t>
  </si>
  <si>
    <t>FOSTER AVE</t>
  </si>
  <si>
    <t>FOSTER</t>
  </si>
  <si>
    <t>N LOVEJOY AVE</t>
  </si>
  <si>
    <t>N FRANKLIN ST</t>
  </si>
  <si>
    <t>RIVERSIDE PLAZA TO S BRANCH BRIDGE - CONCRETE PVMT - 2017, CLINTON TO CANAL - RAISED, CANAL TO WACKER - POST</t>
  </si>
  <si>
    <t>WENTWORTH AVE</t>
  </si>
  <si>
    <t>WENTWORTH</t>
  </si>
  <si>
    <t>W 16TH ST</t>
  </si>
  <si>
    <t>WELLS WENTWORTH CONNECTOR</t>
  </si>
  <si>
    <t>Concrete on on W side N of 18th</t>
  </si>
  <si>
    <t>CENTRAL AVE</t>
  </si>
  <si>
    <t>W SUNNYSIDE AVE</t>
  </si>
  <si>
    <t>W GOODMAN ST</t>
  </si>
  <si>
    <t>N CENTRAL PARK</t>
  </si>
  <si>
    <t>N DRAKE ST</t>
  </si>
  <si>
    <t>N TRUMBULL ST</t>
  </si>
  <si>
    <t>W WABANISA AVE</t>
  </si>
  <si>
    <t>IDOT</t>
  </si>
  <si>
    <t>BP-22-15</t>
  </si>
  <si>
    <t>Neigborhood Bike Network 2022</t>
  </si>
  <si>
    <t>E 59TH ST</t>
  </si>
  <si>
    <t>E 56TH ST</t>
  </si>
  <si>
    <t>DREXEL AVE</t>
  </si>
  <si>
    <t>Installed in 2018, leave as maintain AND LEAVE INST YR 0</t>
  </si>
  <si>
    <t>ASHLAND AVE</t>
  </si>
  <si>
    <t>S PARNELL AVE</t>
  </si>
  <si>
    <t>SFC IV 1A</t>
  </si>
  <si>
    <t>GREENVIEW AVE</t>
  </si>
  <si>
    <t>GREENVIEW</t>
  </si>
  <si>
    <t>W FARWELL AVE</t>
  </si>
  <si>
    <t>W JONQUIL TER</t>
  </si>
  <si>
    <t>JONQUIL TER</t>
  </si>
  <si>
    <t>JONQUIL</t>
  </si>
  <si>
    <t>TER</t>
  </si>
  <si>
    <t>PAULINA ST</t>
  </si>
  <si>
    <t>PAULINA</t>
  </si>
  <si>
    <t>W JUNEWAY TER</t>
  </si>
  <si>
    <t>JUNEWAY TER</t>
  </si>
  <si>
    <t>JUNEWAY</t>
  </si>
  <si>
    <t>CHICAGO AVE</t>
  </si>
  <si>
    <t>MANOR AVE</t>
  </si>
  <si>
    <t>MANOR</t>
  </si>
  <si>
    <t>MANOR GREENWAY</t>
  </si>
  <si>
    <t>ALDINE AVE</t>
  </si>
  <si>
    <t>ALDINE</t>
  </si>
  <si>
    <t>SCHOOL/ALDINE GREENWAY</t>
  </si>
  <si>
    <t>BBL FOR NB ONLY</t>
  </si>
  <si>
    <t>BROADWAY AVE</t>
  </si>
  <si>
    <t>SCHOOL ST</t>
  </si>
  <si>
    <t>SCHOOL</t>
  </si>
  <si>
    <t>ROSCOE GREENWAY</t>
  </si>
  <si>
    <t>SIDEWALK LEVEL LTL</t>
  </si>
  <si>
    <t>S DREXEL AVE</t>
  </si>
  <si>
    <t>S ELLIS AVE</t>
  </si>
  <si>
    <t>W 52ND ST</t>
  </si>
  <si>
    <t>E 93RD ST</t>
  </si>
  <si>
    <t>N NEVA  AVE</t>
  </si>
  <si>
    <t>N NEVA AVE</t>
  </si>
  <si>
    <t>N PEORIA ST</t>
  </si>
  <si>
    <t>SB BBL</t>
  </si>
  <si>
    <t>RESURFACED -  UPGRADED FROM MSL TO BUFFERED MSL</t>
  </si>
  <si>
    <t>BOND (CONNECTOR)</t>
  </si>
  <si>
    <t>W SCOTT ST</t>
  </si>
  <si>
    <t>W BELMONT</t>
  </si>
  <si>
    <t>W BRADLEY PL</t>
  </si>
  <si>
    <t>FARWELL AVE</t>
  </si>
  <si>
    <t>FARWELL</t>
  </si>
  <si>
    <t>W PALMER CT</t>
  </si>
  <si>
    <t>E 36TH ST</t>
  </si>
  <si>
    <t>WOOD NEIGHBORHOOD GREENWAY</t>
  </si>
  <si>
    <t>S DEARBORN ST</t>
  </si>
  <si>
    <t>S PLYMOUTH CT</t>
  </si>
  <si>
    <t>2-WAY S side of Polk</t>
  </si>
  <si>
    <t>PLYMOUTH CT</t>
  </si>
  <si>
    <t>PLLYMOUTH</t>
  </si>
  <si>
    <t>W 9TH ST</t>
  </si>
  <si>
    <t>9TH ST</t>
  </si>
  <si>
    <t>9TH</t>
  </si>
  <si>
    <t>CERMAK RD</t>
  </si>
  <si>
    <t>CERMAK</t>
  </si>
  <si>
    <t>S WOOD ST</t>
  </si>
  <si>
    <t>N SACRAMENTO AVE</t>
  </si>
  <si>
    <t>VZ 18</t>
  </si>
  <si>
    <t>STP/TIF</t>
  </si>
  <si>
    <t>ROSCOE NEIGHBORHOOD GREENWAY</t>
  </si>
  <si>
    <t>SCHOOL NEIGHBORHOOD GREENWEAY</t>
  </si>
  <si>
    <t>ROAD DIET W/BUMPOUTS</t>
  </si>
  <si>
    <t>RAVENSWOOD AVE</t>
  </si>
  <si>
    <t>RAVENSWOOD</t>
  </si>
  <si>
    <t>W SCHOOL ST</t>
  </si>
  <si>
    <t>SCHOOL NEIGHBORHOOD GREENWAY</t>
  </si>
  <si>
    <t>W 21ST PL</t>
  </si>
  <si>
    <t>21ST ST</t>
  </si>
  <si>
    <t>21ST</t>
  </si>
  <si>
    <t>S PAULINA ST</t>
  </si>
  <si>
    <t>GREEN PAINT FOR ENTIRE BIKE LANE</t>
  </si>
  <si>
    <t>GREEN PAINT FOR ENTIRE BUFFERED BIKE LANE</t>
  </si>
  <si>
    <t>W EDGEWATER AVE</t>
  </si>
  <si>
    <t>48TH WARD LOCAL</t>
  </si>
  <si>
    <t>W 115TH ST</t>
  </si>
  <si>
    <t>DIVVY</t>
  </si>
  <si>
    <t>W 119TH ST</t>
  </si>
  <si>
    <t>NORTH AVE</t>
  </si>
  <si>
    <t>IMD</t>
  </si>
  <si>
    <t>EB ONLY; WB AFTER RUSH CONSTRUCTION COMPLETE</t>
  </si>
  <si>
    <t>E 69TH ST</t>
  </si>
  <si>
    <t>E MARQUETTE RD</t>
  </si>
  <si>
    <t>69TH</t>
  </si>
  <si>
    <t>08.17.2020</t>
  </si>
  <si>
    <t>76TH ST</t>
  </si>
  <si>
    <t>76TH</t>
  </si>
  <si>
    <t>S MARTIN LUTHER KING DR</t>
  </si>
  <si>
    <t>INDIANA AVE</t>
  </si>
  <si>
    <t>INDIANA</t>
  </si>
  <si>
    <t>E 94TH ST</t>
  </si>
  <si>
    <t>SOUTH SIDE EXPANSION</t>
  </si>
  <si>
    <t>115TH ST</t>
  </si>
  <si>
    <t>115TH</t>
  </si>
  <si>
    <t>S UNION AVE</t>
  </si>
  <si>
    <t>W 124TH ST</t>
  </si>
  <si>
    <t>124TH ST</t>
  </si>
  <si>
    <t>124TH</t>
  </si>
  <si>
    <t>LOOMIS BLVD</t>
  </si>
  <si>
    <t>S VERNON AVE</t>
  </si>
  <si>
    <t>UNKNOWN</t>
  </si>
  <si>
    <t>S PRAIRIE AVE</t>
  </si>
  <si>
    <t>S HARTWELL AVE</t>
  </si>
  <si>
    <t>S PERRY AVE</t>
  </si>
  <si>
    <t>S LOWE AVE</t>
  </si>
  <si>
    <t>S GREEN ST</t>
  </si>
  <si>
    <t>S SANGAMON ST</t>
  </si>
  <si>
    <t>S LOOMIS BLVD</t>
  </si>
  <si>
    <t>S JUSTINE ST</t>
  </si>
  <si>
    <t>01.13.21</t>
  </si>
  <si>
    <t>MAINTENANCE</t>
  </si>
  <si>
    <t>N FULLERTON AVE</t>
  </si>
  <si>
    <t>W WOLFRAM ST</t>
  </si>
  <si>
    <t>08.12.2020</t>
  </si>
  <si>
    <t>W IRVING PARK RD/N CICERO AVE</t>
  </si>
  <si>
    <t>BP-22-39</t>
  </si>
  <si>
    <t>Concrete Upgrades</t>
  </si>
  <si>
    <t>Type I</t>
  </si>
  <si>
    <t>MSL AND CONTRAFLOW</t>
  </si>
  <si>
    <t>94TH ST</t>
  </si>
  <si>
    <t>94TH</t>
  </si>
  <si>
    <t>W GEORGE ST</t>
  </si>
  <si>
    <t>LAKEWOOD AVE</t>
  </si>
  <si>
    <t>LAKEWOOD</t>
  </si>
  <si>
    <t>W ALBION AVE</t>
  </si>
  <si>
    <t>W NORTH SHORE AVE</t>
  </si>
  <si>
    <t>NORTH SHORE AVE</t>
  </si>
  <si>
    <t>NORTH SHORE</t>
  </si>
  <si>
    <t>N UNION AVE</t>
  </si>
  <si>
    <t>W 85TH ST</t>
  </si>
  <si>
    <t>GAPS/CONNECTIONS</t>
  </si>
  <si>
    <t>DASHED BIKE LANES</t>
  </si>
  <si>
    <t>EBERHART AVE</t>
  </si>
  <si>
    <t>EBERHART</t>
  </si>
  <si>
    <t>S BLUE ISLAND AVE</t>
  </si>
  <si>
    <t>AVENUE G</t>
  </si>
  <si>
    <t>STATE LINE</t>
  </si>
  <si>
    <t>AVE G TURNS INTO ACCESS RD</t>
  </si>
  <si>
    <t>98TH ST</t>
  </si>
  <si>
    <t>98TH</t>
  </si>
  <si>
    <t>W 98TH ST</t>
  </si>
  <si>
    <t>134TH ST</t>
  </si>
  <si>
    <t>134TH</t>
  </si>
  <si>
    <t>S AVENUE K</t>
  </si>
  <si>
    <t>12.22.2020</t>
  </si>
  <si>
    <t>AVENUE N</t>
  </si>
  <si>
    <t>E 134TH ST</t>
  </si>
  <si>
    <t>S INDIANAPOLIS AVE</t>
  </si>
  <si>
    <t>E 106TH ST</t>
  </si>
  <si>
    <t>AVENUE J</t>
  </si>
  <si>
    <t>E 98TH ST</t>
  </si>
  <si>
    <t>S AVENUE L</t>
  </si>
  <si>
    <t>WEST SIDE</t>
  </si>
  <si>
    <t>N BELMONT ST</t>
  </si>
  <si>
    <t>N AVERS AVE</t>
  </si>
  <si>
    <t>SACRAMENTO AVE</t>
  </si>
  <si>
    <t>W PALMER SQUARE</t>
  </si>
  <si>
    <t>LOGAN SQUARE/WEST TOWN</t>
  </si>
  <si>
    <t>9-FOOT TRAVEL LANES</t>
  </si>
  <si>
    <t>GRACE ST</t>
  </si>
  <si>
    <t>GRACE</t>
  </si>
  <si>
    <t>S LINCOLN AVE</t>
  </si>
  <si>
    <t>47TH WARD</t>
  </si>
  <si>
    <t>MAPLEWOOD AVE</t>
  </si>
  <si>
    <t>MAPLEWOOD</t>
  </si>
  <si>
    <t>ONE-WAY NB</t>
  </si>
  <si>
    <t>ONE-WAY SB</t>
  </si>
  <si>
    <t>81ST ST</t>
  </si>
  <si>
    <t>81ST</t>
  </si>
  <si>
    <t>82ND ST</t>
  </si>
  <si>
    <t>82ND</t>
  </si>
  <si>
    <t>GREEN ST</t>
  </si>
  <si>
    <t>GREEN</t>
  </si>
  <si>
    <t>W 81ST ST</t>
  </si>
  <si>
    <t>S FRANKLIN ST</t>
  </si>
  <si>
    <t>N LISTER AVE</t>
  </si>
  <si>
    <t>N ST LOUIS AVE</t>
  </si>
  <si>
    <t>111TH ST</t>
  </si>
  <si>
    <t>111TH</t>
  </si>
  <si>
    <t>PBL TO BE INSTALLED IN 2021</t>
  </si>
  <si>
    <t>11.18.2021</t>
  </si>
  <si>
    <t>BOND (GAPS)</t>
  </si>
  <si>
    <t>S CICERO AVE</t>
  </si>
  <si>
    <t>W COLUMBUS AVE</t>
  </si>
  <si>
    <t>LONGWOOD AVE</t>
  </si>
  <si>
    <t>LONGWOOD</t>
  </si>
  <si>
    <t>W 95TH ST</t>
  </si>
  <si>
    <t>S LONGWOOD DR</t>
  </si>
  <si>
    <t>S PROSPECT AVE</t>
  </si>
  <si>
    <t>119TH ST</t>
  </si>
  <si>
    <t>119TH</t>
  </si>
  <si>
    <t>OHC EXIT</t>
  </si>
  <si>
    <t>W CORTEZ ST</t>
  </si>
  <si>
    <t>20 MPH</t>
  </si>
  <si>
    <t>112TH ST</t>
  </si>
  <si>
    <t>112TH</t>
  </si>
  <si>
    <t>S STATE LINE RD</t>
  </si>
  <si>
    <t>E 118TH ST</t>
  </si>
  <si>
    <t>E 114TH ST</t>
  </si>
  <si>
    <t>Road Diet</t>
  </si>
  <si>
    <t>CICERO AVE</t>
  </si>
  <si>
    <t>CICERO</t>
  </si>
  <si>
    <t>N KENTON AVE</t>
  </si>
  <si>
    <t>09.28.2021</t>
  </si>
  <si>
    <t>KOSTNER AVE</t>
  </si>
  <si>
    <t>KOSTNER</t>
  </si>
  <si>
    <t>N KEELER AVE</t>
  </si>
  <si>
    <t>KILBOURN AVE</t>
  </si>
  <si>
    <t>KILBOURN</t>
  </si>
  <si>
    <t>AUSTIN AVE</t>
  </si>
  <si>
    <t>9-ft travel lanes; 42-ft street width</t>
  </si>
  <si>
    <t>40-ft street width</t>
  </si>
  <si>
    <t>14TH ST</t>
  </si>
  <si>
    <t>14TH</t>
  </si>
  <si>
    <t>S HAMLIN AVE</t>
  </si>
  <si>
    <t>16TH ST</t>
  </si>
  <si>
    <t>16TH</t>
  </si>
  <si>
    <t>S KILBOURN AVE</t>
  </si>
  <si>
    <t>S SPAULDING AVE</t>
  </si>
  <si>
    <t>W HOLLYWOOD AVE</t>
  </si>
  <si>
    <t>EXIT RAMP</t>
  </si>
  <si>
    <t>MONTROSE AVE</t>
  </si>
  <si>
    <t>MONTROSE</t>
  </si>
  <si>
    <t>BP 21 (MENU 33W)</t>
  </si>
  <si>
    <t>BP 21 (MENU 47W)</t>
  </si>
  <si>
    <t>STREETSCAPES 2021</t>
  </si>
  <si>
    <t>S LYMAN ST</t>
  </si>
  <si>
    <t>JERSEY AVE</t>
  </si>
  <si>
    <t>JERSEY</t>
  </si>
  <si>
    <t>HAMLIN AVE</t>
  </si>
  <si>
    <t>Contraflow</t>
  </si>
  <si>
    <t>19TH ST</t>
  </si>
  <si>
    <t>19TH</t>
  </si>
  <si>
    <t>RIDGEWAY AVE</t>
  </si>
  <si>
    <t>RIDGEWAY</t>
  </si>
  <si>
    <t>09.27.20221</t>
  </si>
  <si>
    <t>N KILBOURN AVE</t>
  </si>
  <si>
    <t>N KEDVALE AVE</t>
  </si>
  <si>
    <t>KEDVALE AVE</t>
  </si>
  <si>
    <t>KEDVALE</t>
  </si>
  <si>
    <t>LARAMIE AVE</t>
  </si>
  <si>
    <t>LARAMIE</t>
  </si>
  <si>
    <t>AR 21 - COUNTY</t>
  </si>
  <si>
    <t>HOLLYWOOD AVE</t>
  </si>
  <si>
    <t>HOLLYWOOD</t>
  </si>
  <si>
    <t>Green backed sharrows</t>
  </si>
  <si>
    <t>S AUSTIN BLVD</t>
  </si>
  <si>
    <t>44-ft street width</t>
  </si>
  <si>
    <t>ROAD DIET; WB BBL curbside</t>
  </si>
  <si>
    <t>W FRANKLIN BLVD</t>
  </si>
  <si>
    <t>ERIE ST</t>
  </si>
  <si>
    <t>ERIE</t>
  </si>
  <si>
    <t>N ARMOUR ST</t>
  </si>
  <si>
    <t>42-FT WIDE STREET</t>
  </si>
  <si>
    <t>BERWN AVE</t>
  </si>
  <si>
    <t>BERWYN</t>
  </si>
  <si>
    <t>N SHORE CHANNEL TRAIL</t>
  </si>
  <si>
    <t>BP-22-22</t>
  </si>
  <si>
    <t>SUNNYSIDE AVE</t>
  </si>
  <si>
    <t>SUNNYSIDE</t>
  </si>
  <si>
    <t>BIKE 22 - MENU (47W)</t>
  </si>
  <si>
    <t>Bikes use Ped signal @ Western</t>
  </si>
  <si>
    <t>N/S</t>
  </si>
  <si>
    <t>W FERDINAND ST</t>
  </si>
  <si>
    <t>BIKE 21 - BOND (NEIGHBORHOODS)</t>
  </si>
  <si>
    <t>42-ft wide street</t>
  </si>
  <si>
    <t>W BLOOMINGDALE AVE</t>
  </si>
  <si>
    <t>Bike 21 - Bond (Neighborhoods)</t>
  </si>
  <si>
    <t>Neighborhood Bike Network</t>
  </si>
  <si>
    <t>09.29.2022</t>
  </si>
  <si>
    <t>N MEADE AVE</t>
  </si>
  <si>
    <t>N LONG AVE</t>
  </si>
  <si>
    <t>N LECLAIRE AVE</t>
  </si>
  <si>
    <t>S LAWNDALE AVE</t>
  </si>
  <si>
    <t>BIKE 22 - MENU (46W)</t>
  </si>
  <si>
    <t>Sidewalk shared-lanes</t>
  </si>
  <si>
    <t>Bike 22 - Menu (47W)</t>
  </si>
  <si>
    <t>Bike 22 - Menu (1W)</t>
  </si>
  <si>
    <t>Contraflow lanes</t>
  </si>
  <si>
    <t>Rockwell Greenway</t>
  </si>
  <si>
    <t>N ROCKWELL ST</t>
  </si>
  <si>
    <t>Post &amp; paint bumpouts</t>
  </si>
  <si>
    <t>Greenbacked sharrows</t>
  </si>
  <si>
    <t>SHARED LANE</t>
  </si>
  <si>
    <t>LYNDALE ST</t>
  </si>
  <si>
    <t>LYNDALE</t>
  </si>
  <si>
    <t>Lyndale Greenway</t>
  </si>
  <si>
    <t>W LYNDALE ST</t>
  </si>
  <si>
    <t>Paint &amp; Post bumpouts</t>
  </si>
  <si>
    <t>ADVISORY BIKE LANE</t>
  </si>
  <si>
    <t>HIRSCH ST</t>
  </si>
  <si>
    <t>HIRSCH</t>
  </si>
  <si>
    <t>EB</t>
  </si>
  <si>
    <t>N LAVERGNE AVE</t>
  </si>
  <si>
    <t>LE MOYNE ST</t>
  </si>
  <si>
    <t>LE MOYNE</t>
  </si>
  <si>
    <t>N LINDER AVE</t>
  </si>
  <si>
    <t>KEELER AVE</t>
  </si>
  <si>
    <t>KEELER</t>
  </si>
  <si>
    <t>W ARTHINGTON ST</t>
  </si>
  <si>
    <t>SB</t>
  </si>
  <si>
    <t>W WEST END AVE</t>
  </si>
  <si>
    <t>S DESPLAINES AVE</t>
  </si>
  <si>
    <t>ARTERIAL</t>
  </si>
  <si>
    <t>AR 2021 - FEDERAL</t>
  </si>
  <si>
    <t>10.26.2022</t>
  </si>
  <si>
    <t>E 76TH ST</t>
  </si>
  <si>
    <t>EXCHANGE AVE</t>
  </si>
  <si>
    <t>EXCHANGE</t>
  </si>
  <si>
    <t>AR 2022 - BOND</t>
  </si>
  <si>
    <t>HOMAN AVE</t>
  </si>
  <si>
    <t>HOMAN</t>
  </si>
  <si>
    <t>BP-21-42</t>
  </si>
  <si>
    <t>W OGDEN RD</t>
  </si>
  <si>
    <t>COMMERCIAL AVE</t>
  </si>
  <si>
    <t>COMMERCIAL</t>
  </si>
  <si>
    <t>E 100 TH ST</t>
  </si>
  <si>
    <t>DASHED BIKE ROUTE</t>
  </si>
  <si>
    <t>BP-22-32</t>
  </si>
  <si>
    <t>BELMONT AVE</t>
  </si>
  <si>
    <t>BELMONT</t>
  </si>
  <si>
    <t>Bus Lane Installs</t>
  </si>
  <si>
    <t>Annual Spending (Complete Streets Only)</t>
  </si>
  <si>
    <t>Total Pedestrian</t>
  </si>
  <si>
    <t>Total Transit</t>
  </si>
  <si>
    <t>ACS 1-Year B08006</t>
  </si>
  <si>
    <t>Bikeways Installs - COMPLETE STREETS ONLY</t>
  </si>
  <si>
    <t>Since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</si>
</sst>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0.000"/>
    <numFmt numFmtId="169" formatCode="_(&quot;$&quot;* #,##0_);_(&quot;$&quot;* \(#,##0\);_(&quot;$&quot;* &quot;-&quot;??_);_(@_)"/>
    <numFmt numFmtId="170" formatCode="_(&quot;$&quot;* #,##0_);_(&quot;$&quot;* \(#,##0\);_(&quot;$&quot;* &quot;-&quot;?_);_(@_)"/>
    <numFmt numFmtId="171" formatCode="_([$$-409]* #,##0_);_([$$-409]* \(#,##0\);_([$$-409]* &quot;-&quot;??_);_(@_)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u val="singleAccounting"/>
      <sz val="11"/>
      <color theme="8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F3F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FD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auto="1"/>
      </right>
      <top style="thin">
        <color theme="4"/>
      </top>
      <bottom style="thin">
        <color theme="4"/>
      </bottom>
      <diagonal/>
    </border>
    <border>
      <left/>
      <right/>
      <top style="thin">
        <color theme="0" tint="-0.14996795556505021"/>
      </top>
      <bottom style="thin">
        <color theme="1"/>
      </bottom>
      <diagonal/>
    </border>
  </borders>
  <cellStyleXfs count="42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1" fillId="2" borderId="0" applyNumberFormat="0" applyAlignment="0" applyProtection="0"/>
    <xf numFmtId="0" fontId="4" fillId="9" borderId="19" applyNumberFormat="0" applyAlignment="0" applyProtection="0"/>
    <xf numFmtId="0" fontId="4" fillId="0" borderId="19" applyNumberFormat="0" applyAlignment="0" applyProtection="0"/>
    <xf numFmtId="0" fontId="9" fillId="0" borderId="0" applyNumberFormat="0" applyAlignment="0" applyProtection="0"/>
    <xf numFmtId="0" fontId="31" fillId="11" borderId="0" applyNumberFormat="0" applyBorder="0" applyAlignment="0" applyProtection="0"/>
    <xf numFmtId="0" fontId="29" fillId="6" borderId="0" applyNumberFormat="0" applyBorder="0" applyAlignment="0" applyProtection="0"/>
    <xf numFmtId="0" fontId="33" fillId="13" borderId="0" applyNumberFormat="0" applyBorder="0" applyAlignment="0" applyProtection="0"/>
    <xf numFmtId="0" fontId="3" fillId="9" borderId="20" applyNumberFormat="0" applyAlignment="0" applyProtection="0"/>
    <xf numFmtId="0" fontId="25" fillId="0" borderId="0" applyNumberFormat="0" applyFill="0" applyBorder="0" applyAlignment="0" applyProtection="0"/>
    <xf numFmtId="0" fontId="22" fillId="0" borderId="0" applyNumberFormat="0" applyAlignment="0" applyProtection="0"/>
    <xf numFmtId="0" fontId="4" fillId="0" borderId="29" applyNumberFormat="0" applyAlignment="0" applyProtection="0"/>
    <xf numFmtId="169" fontId="3" fillId="9" borderId="16">
      <alignment horizontal="center"/>
    </xf>
    <xf numFmtId="0" fontId="13" fillId="10" borderId="17" applyNumberFormat="0" applyAlignment="0" applyProtection="0">
      <alignment horizontal="left"/>
    </xf>
    <xf numFmtId="0" fontId="30" fillId="3" borderId="18" applyNumberFormat="0" applyAlignment="0" applyProtection="0"/>
    <xf numFmtId="0" fontId="12" fillId="2" borderId="18" applyNumberFormat="0" applyAlignment="0" applyProtection="0"/>
    <xf numFmtId="0" fontId="32" fillId="6" borderId="21" applyNumberFormat="0" applyAlignment="0" applyProtection="0"/>
    <xf numFmtId="0" fontId="12" fillId="12" borderId="21" applyNumberFormat="0" applyAlignment="0" applyProtection="0">
      <alignment horizontal="left"/>
    </xf>
    <xf numFmtId="0" fontId="34" fillId="14" borderId="22" applyNumberFormat="0" applyAlignment="0" applyProtection="0"/>
    <xf numFmtId="0" fontId="12" fillId="7" borderId="22" applyNumberFormat="0" applyAlignment="0" applyProtection="0"/>
    <xf numFmtId="0" fontId="5" fillId="15" borderId="16" applyNumberFormat="0" applyAlignment="0" applyProtection="0"/>
    <xf numFmtId="0" fontId="5" fillId="16" borderId="23" applyNumberFormat="0" applyAlignment="0" applyProtection="0"/>
    <xf numFmtId="0" fontId="5" fillId="17" borderId="20" applyNumberFormat="0" applyAlignment="0" applyProtection="0"/>
    <xf numFmtId="0" fontId="35" fillId="11" borderId="24" applyNumberFormat="0" applyAlignment="0" applyProtection="0"/>
    <xf numFmtId="0" fontId="12" fillId="5" borderId="24" applyNumberFormat="0" applyAlignment="0" applyProtection="0"/>
    <xf numFmtId="0" fontId="3" fillId="0" borderId="25" applyNumberFormat="0" applyAlignment="0" applyProtection="0">
      <alignment horizontal="left"/>
    </xf>
    <xf numFmtId="0" fontId="6" fillId="15" borderId="25" applyNumberFormat="0" applyAlignment="0" applyProtection="0">
      <alignment horizontal="left"/>
    </xf>
    <xf numFmtId="0" fontId="3" fillId="9" borderId="26" applyNumberFormat="0" applyAlignment="0" applyProtection="0">
      <alignment horizontal="center"/>
    </xf>
    <xf numFmtId="0" fontId="36" fillId="18" borderId="27" applyNumberFormat="0" applyAlignment="0" applyProtection="0"/>
    <xf numFmtId="0" fontId="37" fillId="19" borderId="28" applyNumberFormat="0" applyAlignment="0" applyProtection="0"/>
    <xf numFmtId="0" fontId="12" fillId="20" borderId="28" applyNumberFormat="0" applyAlignment="0" applyProtection="0"/>
    <xf numFmtId="0" fontId="4" fillId="9" borderId="19" applyNumberFormat="0" applyAlignment="0" applyProtection="0"/>
    <xf numFmtId="0" fontId="38" fillId="13" borderId="30" applyNumberFormat="0" applyAlignment="0" applyProtection="0"/>
    <xf numFmtId="0" fontId="12" fillId="21" borderId="30" applyNumberFormat="0" applyAlignment="0" applyProtection="0"/>
    <xf numFmtId="0" fontId="39" fillId="0" borderId="0" applyNumberFormat="0" applyFill="0" applyBorder="0" applyAlignment="0" applyProtection="0"/>
  </cellStyleXfs>
  <cellXfs count="249">
    <xf numFmtId="0" fontId="0" fillId="0" borderId="0" xfId="0"/>
    <xf numFmtId="167" fontId="0" fillId="0" borderId="0" xfId="0" applyNumberFormat="1"/>
    <xf numFmtId="0" fontId="4" fillId="0" borderId="0" xfId="0" applyFont="1"/>
    <xf numFmtId="166" fontId="0" fillId="0" borderId="0" xfId="0" applyNumberFormat="1"/>
    <xf numFmtId="0" fontId="6" fillId="0" borderId="0" xfId="0" applyFont="1"/>
    <xf numFmtId="2" fontId="0" fillId="0" borderId="0" xfId="0" applyNumberForma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 indent="2"/>
    </xf>
    <xf numFmtId="0" fontId="11" fillId="2" borderId="0" xfId="0" applyFont="1" applyFill="1"/>
    <xf numFmtId="0" fontId="12" fillId="2" borderId="0" xfId="0" applyFont="1" applyFill="1"/>
    <xf numFmtId="0" fontId="10" fillId="0" borderId="0" xfId="0" applyFont="1" applyAlignment="1">
      <alignment horizontal="center"/>
    </xf>
    <xf numFmtId="166" fontId="13" fillId="0" borderId="0" xfId="1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6" fontId="13" fillId="0" borderId="0" xfId="1" applyNumberFormat="1" applyFont="1" applyFill="1"/>
    <xf numFmtId="166" fontId="14" fillId="0" borderId="0" xfId="0" applyNumberFormat="1" applyFont="1"/>
    <xf numFmtId="10" fontId="3" fillId="0" borderId="0" xfId="5" applyNumberFormat="1" applyFont="1"/>
    <xf numFmtId="10" fontId="4" fillId="0" borderId="0" xfId="5" applyNumberFormat="1" applyFont="1"/>
    <xf numFmtId="0" fontId="15" fillId="2" borderId="0" xfId="0" applyFont="1" applyFill="1" applyAlignment="1">
      <alignment horizontal="right"/>
    </xf>
    <xf numFmtId="167" fontId="13" fillId="0" borderId="0" xfId="5" applyNumberFormat="1" applyFont="1"/>
    <xf numFmtId="167" fontId="14" fillId="0" borderId="0" xfId="5" applyNumberFormat="1" applyFont="1"/>
    <xf numFmtId="167" fontId="16" fillId="3" borderId="3" xfId="5" applyNumberFormat="1" applyFont="1" applyFill="1" applyBorder="1"/>
    <xf numFmtId="167" fontId="16" fillId="3" borderId="4" xfId="5" applyNumberFormat="1" applyFont="1" applyFill="1" applyBorder="1"/>
    <xf numFmtId="167" fontId="17" fillId="3" borderId="5" xfId="5" applyNumberFormat="1" applyFont="1" applyFill="1" applyBorder="1"/>
    <xf numFmtId="0" fontId="18" fillId="0" borderId="0" xfId="0" applyFont="1"/>
    <xf numFmtId="0" fontId="5" fillId="0" borderId="0" xfId="0" applyFont="1"/>
    <xf numFmtId="0" fontId="19" fillId="0" borderId="0" xfId="0" applyFont="1" applyAlignment="1">
      <alignment horizontal="right"/>
    </xf>
    <xf numFmtId="168" fontId="13" fillId="0" borderId="0" xfId="0" applyNumberFormat="1" applyFont="1"/>
    <xf numFmtId="165" fontId="13" fillId="0" borderId="0" xfId="1" applyNumberFormat="1" applyFont="1" applyFill="1"/>
    <xf numFmtId="43" fontId="13" fillId="0" borderId="0" xfId="1" applyFont="1"/>
    <xf numFmtId="43" fontId="14" fillId="0" borderId="0" xfId="1" applyFont="1"/>
    <xf numFmtId="0" fontId="20" fillId="3" borderId="0" xfId="0" applyFont="1" applyFill="1"/>
    <xf numFmtId="0" fontId="21" fillId="3" borderId="0" xfId="0" applyFont="1" applyFill="1" applyAlignment="1">
      <alignment horizontal="right"/>
    </xf>
    <xf numFmtId="0" fontId="22" fillId="0" borderId="0" xfId="0" applyFont="1"/>
    <xf numFmtId="168" fontId="13" fillId="0" borderId="6" xfId="0" applyNumberFormat="1" applyFont="1" applyBorder="1"/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166" fontId="13" fillId="0" borderId="7" xfId="1" applyNumberFormat="1" applyFont="1" applyBorder="1"/>
    <xf numFmtId="166" fontId="13" fillId="0" borderId="8" xfId="1" applyNumberFormat="1" applyFont="1" applyBorder="1"/>
    <xf numFmtId="168" fontId="0" fillId="0" borderId="0" xfId="0" applyNumberFormat="1"/>
    <xf numFmtId="0" fontId="4" fillId="3" borderId="0" xfId="0" applyFont="1" applyFill="1"/>
    <xf numFmtId="0" fontId="0" fillId="3" borderId="0" xfId="0" applyFill="1"/>
    <xf numFmtId="165" fontId="13" fillId="0" borderId="0" xfId="1" applyNumberFormat="1" applyFont="1"/>
    <xf numFmtId="165" fontId="14" fillId="0" borderId="0" xfId="1" applyNumberFormat="1" applyFont="1"/>
    <xf numFmtId="166" fontId="14" fillId="0" borderId="0" xfId="1" applyNumberFormat="1" applyFont="1"/>
    <xf numFmtId="165" fontId="14" fillId="0" borderId="0" xfId="0" applyNumberFormat="1" applyFont="1"/>
    <xf numFmtId="166" fontId="14" fillId="0" borderId="2" xfId="0" applyNumberFormat="1" applyFont="1" applyBorder="1"/>
    <xf numFmtId="166" fontId="14" fillId="0" borderId="2" xfId="1" applyNumberFormat="1" applyFont="1" applyBorder="1"/>
    <xf numFmtId="0" fontId="4" fillId="0" borderId="2" xfId="0" applyFont="1" applyBorder="1"/>
    <xf numFmtId="166" fontId="14" fillId="0" borderId="2" xfId="1" applyNumberFormat="1" applyFont="1" applyFill="1" applyBorder="1"/>
    <xf numFmtId="0" fontId="23" fillId="0" borderId="0" xfId="0" applyFont="1"/>
    <xf numFmtId="0" fontId="24" fillId="0" borderId="0" xfId="0" applyFont="1"/>
    <xf numFmtId="0" fontId="6" fillId="0" borderId="2" xfId="0" applyFont="1" applyBorder="1"/>
    <xf numFmtId="0" fontId="0" fillId="0" borderId="2" xfId="0" applyBorder="1"/>
    <xf numFmtId="0" fontId="13" fillId="0" borderId="0" xfId="0" applyFont="1"/>
    <xf numFmtId="164" fontId="14" fillId="0" borderId="0" xfId="0" applyNumberFormat="1" applyFont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0" fontId="0" fillId="0" borderId="0" xfId="0" applyAlignment="1">
      <alignment horizontal="right"/>
    </xf>
    <xf numFmtId="14" fontId="0" fillId="6" borderId="9" xfId="0" applyNumberFormat="1" applyFill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19" fillId="0" borderId="0" xfId="0" applyFont="1"/>
    <xf numFmtId="2" fontId="13" fillId="0" borderId="0" xfId="0" applyNumberFormat="1" applyFont="1"/>
    <xf numFmtId="0" fontId="26" fillId="0" borderId="0" xfId="0" applyFont="1"/>
    <xf numFmtId="167" fontId="13" fillId="0" borderId="0" xfId="5" applyNumberFormat="1" applyFont="1" applyFill="1"/>
    <xf numFmtId="167" fontId="14" fillId="0" borderId="0" xfId="5" applyNumberFormat="1" applyFont="1" applyFill="1"/>
    <xf numFmtId="167" fontId="13" fillId="0" borderId="1" xfId="5" applyNumberFormat="1" applyFont="1" applyFill="1" applyBorder="1"/>
    <xf numFmtId="167" fontId="14" fillId="0" borderId="1" xfId="5" applyNumberFormat="1" applyFont="1" applyFill="1" applyBorder="1"/>
    <xf numFmtId="0" fontId="0" fillId="0" borderId="1" xfId="0" applyBorder="1" applyAlignment="1">
      <alignment horizontal="center"/>
    </xf>
    <xf numFmtId="166" fontId="14" fillId="0" borderId="0" xfId="1" applyNumberFormat="1" applyFont="1" applyFill="1"/>
    <xf numFmtId="0" fontId="22" fillId="0" borderId="0" xfId="0" applyFont="1" applyAlignment="1">
      <alignment horizontal="right"/>
    </xf>
    <xf numFmtId="0" fontId="7" fillId="0" borderId="0" xfId="0" applyFont="1"/>
    <xf numFmtId="0" fontId="27" fillId="0" borderId="0" xfId="0" applyFont="1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4"/>
    </xf>
    <xf numFmtId="166" fontId="0" fillId="0" borderId="0" xfId="1" applyNumberFormat="1" applyFont="1" applyBorder="1"/>
    <xf numFmtId="0" fontId="0" fillId="0" borderId="10" xfId="0" applyBorder="1"/>
    <xf numFmtId="169" fontId="0" fillId="0" borderId="0" xfId="2" applyNumberFormat="1" applyFont="1" applyFill="1" applyBorder="1"/>
    <xf numFmtId="169" fontId="0" fillId="0" borderId="11" xfId="2" applyNumberFormat="1" applyFont="1" applyFill="1" applyBorder="1"/>
    <xf numFmtId="169" fontId="0" fillId="0" borderId="10" xfId="2" applyNumberFormat="1" applyFont="1" applyFill="1" applyBorder="1"/>
    <xf numFmtId="169" fontId="0" fillId="0" borderId="11" xfId="0" applyNumberFormat="1" applyBorder="1"/>
    <xf numFmtId="169" fontId="0" fillId="0" borderId="10" xfId="0" applyNumberFormat="1" applyBorder="1"/>
    <xf numFmtId="169" fontId="0" fillId="0" borderId="0" xfId="0" applyNumberFormat="1"/>
    <xf numFmtId="170" fontId="4" fillId="0" borderId="2" xfId="0" applyNumberFormat="1" applyFont="1" applyBorder="1"/>
    <xf numFmtId="171" fontId="4" fillId="0" borderId="2" xfId="0" applyNumberFormat="1" applyFont="1" applyBorder="1"/>
    <xf numFmtId="2" fontId="0" fillId="0" borderId="10" xfId="0" applyNumberFormat="1" applyBorder="1"/>
    <xf numFmtId="2" fontId="0" fillId="0" borderId="11" xfId="0" applyNumberFormat="1" applyBorder="1"/>
    <xf numFmtId="0" fontId="12" fillId="2" borderId="10" xfId="0" applyFont="1" applyFill="1" applyBorder="1"/>
    <xf numFmtId="0" fontId="12" fillId="2" borderId="11" xfId="0" applyFont="1" applyFill="1" applyBorder="1"/>
    <xf numFmtId="164" fontId="13" fillId="0" borderId="10" xfId="0" applyNumberFormat="1" applyFont="1" applyBorder="1"/>
    <xf numFmtId="164" fontId="13" fillId="0" borderId="11" xfId="0" applyNumberFormat="1" applyFont="1" applyBorder="1"/>
    <xf numFmtId="0" fontId="0" fillId="0" borderId="11" xfId="0" applyBorder="1"/>
    <xf numFmtId="0" fontId="0" fillId="3" borderId="10" xfId="0" applyFill="1" applyBorder="1"/>
    <xf numFmtId="0" fontId="0" fillId="3" borderId="11" xfId="0" applyFill="1" applyBorder="1"/>
    <xf numFmtId="0" fontId="0" fillId="0" borderId="14" xfId="0" applyBorder="1"/>
    <xf numFmtId="0" fontId="0" fillId="0" borderId="15" xfId="0" applyBorder="1"/>
    <xf numFmtId="0" fontId="4" fillId="0" borderId="12" xfId="0" applyFont="1" applyBorder="1"/>
    <xf numFmtId="170" fontId="4" fillId="0" borderId="13" xfId="0" applyNumberFormat="1" applyFont="1" applyBorder="1"/>
    <xf numFmtId="0" fontId="22" fillId="0" borderId="10" xfId="0" applyFont="1" applyBorder="1" applyAlignment="1">
      <alignment horizontal="right"/>
    </xf>
    <xf numFmtId="0" fontId="22" fillId="0" borderId="11" xfId="0" applyFont="1" applyBorder="1" applyAlignment="1">
      <alignment horizontal="right"/>
    </xf>
    <xf numFmtId="166" fontId="0" fillId="0" borderId="10" xfId="1" applyNumberFormat="1" applyFont="1" applyBorder="1"/>
    <xf numFmtId="166" fontId="0" fillId="0" borderId="11" xfId="1" applyNumberFormat="1" applyFont="1" applyBorder="1"/>
    <xf numFmtId="167" fontId="0" fillId="0" borderId="10" xfId="0" applyNumberFormat="1" applyBorder="1"/>
    <xf numFmtId="167" fontId="0" fillId="0" borderId="11" xfId="0" applyNumberFormat="1" applyBorder="1"/>
    <xf numFmtId="170" fontId="4" fillId="0" borderId="12" xfId="0" applyNumberFormat="1" applyFont="1" applyBorder="1"/>
    <xf numFmtId="170" fontId="0" fillId="0" borderId="11" xfId="0" applyNumberFormat="1" applyBorder="1"/>
    <xf numFmtId="167" fontId="3" fillId="0" borderId="11" xfId="5" applyNumberFormat="1" applyFont="1" applyBorder="1"/>
    <xf numFmtId="164" fontId="28" fillId="0" borderId="11" xfId="0" applyNumberFormat="1" applyFont="1" applyBorder="1"/>
    <xf numFmtId="165" fontId="14" fillId="0" borderId="0" xfId="1" applyNumberFormat="1" applyFont="1" applyFill="1"/>
    <xf numFmtId="165" fontId="13" fillId="0" borderId="1" xfId="1" applyNumberFormat="1" applyFont="1" applyFill="1" applyBorder="1"/>
    <xf numFmtId="165" fontId="14" fillId="0" borderId="1" xfId="1" applyNumberFormat="1" applyFont="1" applyFill="1" applyBorder="1"/>
    <xf numFmtId="165" fontId="13" fillId="0" borderId="0" xfId="0" applyNumberFormat="1" applyFont="1"/>
    <xf numFmtId="165" fontId="14" fillId="0" borderId="0" xfId="1" applyNumberFormat="1" applyFont="1" applyFill="1" applyBorder="1"/>
    <xf numFmtId="165" fontId="14" fillId="0" borderId="2" xfId="1" applyNumberFormat="1" applyFont="1" applyFill="1" applyBorder="1"/>
    <xf numFmtId="165" fontId="13" fillId="0" borderId="0" xfId="1" applyNumberFormat="1" applyFont="1" applyAlignment="1">
      <alignment horizontal="left" indent="2"/>
    </xf>
    <xf numFmtId="165" fontId="14" fillId="0" borderId="0" xfId="1" applyNumberFormat="1" applyFont="1" applyAlignment="1">
      <alignment horizontal="left" indent="2"/>
    </xf>
    <xf numFmtId="165" fontId="3" fillId="0" borderId="0" xfId="5" applyNumberFormat="1" applyFont="1"/>
    <xf numFmtId="165" fontId="4" fillId="0" borderId="0" xfId="5" applyNumberFormat="1" applyFont="1"/>
    <xf numFmtId="165" fontId="20" fillId="3" borderId="0" xfId="0" applyNumberFormat="1" applyFont="1" applyFill="1"/>
    <xf numFmtId="165" fontId="21" fillId="3" borderId="0" xfId="0" applyNumberFormat="1" applyFont="1" applyFill="1" applyAlignment="1">
      <alignment horizontal="right"/>
    </xf>
    <xf numFmtId="165" fontId="0" fillId="0" borderId="0" xfId="0" applyNumberFormat="1"/>
    <xf numFmtId="165" fontId="4" fillId="0" borderId="0" xfId="0" applyNumberFormat="1" applyFont="1"/>
    <xf numFmtId="0" fontId="10" fillId="8" borderId="0" xfId="0" applyFont="1" applyFill="1" applyAlignment="1">
      <alignment horizontal="right"/>
    </xf>
    <xf numFmtId="168" fontId="0" fillId="8" borderId="0" xfId="0" applyNumberFormat="1" applyFill="1"/>
    <xf numFmtId="166" fontId="13" fillId="8" borderId="0" xfId="1" applyNumberFormat="1" applyFont="1" applyFill="1"/>
    <xf numFmtId="167" fontId="0" fillId="8" borderId="0" xfId="0" applyNumberFormat="1" applyFill="1"/>
    <xf numFmtId="167" fontId="4" fillId="8" borderId="0" xfId="0" applyNumberFormat="1" applyFont="1" applyFill="1"/>
    <xf numFmtId="169" fontId="25" fillId="6" borderId="11" xfId="0" applyNumberFormat="1" applyFont="1" applyFill="1" applyBorder="1"/>
    <xf numFmtId="169" fontId="25" fillId="6" borderId="11" xfId="2" applyNumberFormat="1" applyFont="1" applyFill="1" applyBorder="1"/>
    <xf numFmtId="171" fontId="23" fillId="6" borderId="13" xfId="0" applyNumberFormat="1" applyFont="1" applyFill="1" applyBorder="1"/>
    <xf numFmtId="169" fontId="0" fillId="0" borderId="11" xfId="2" applyNumberFormat="1" applyFont="1" applyBorder="1"/>
    <xf numFmtId="0" fontId="10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1" fillId="2" borderId="0" xfId="8"/>
    <xf numFmtId="0" fontId="3" fillId="0" borderId="25" xfId="32" applyAlignment="1"/>
    <xf numFmtId="0" fontId="4" fillId="0" borderId="29" xfId="18" applyAlignment="1"/>
    <xf numFmtId="0" fontId="4" fillId="9" borderId="19" xfId="38"/>
    <xf numFmtId="0" fontId="11" fillId="4" borderId="0" xfId="8" quotePrefix="1" applyFill="1" applyAlignment="1">
      <alignment horizontal="left"/>
    </xf>
    <xf numFmtId="0" fontId="11" fillId="4" borderId="0" xfId="8" applyFill="1"/>
    <xf numFmtId="0" fontId="11" fillId="2" borderId="0" xfId="8" quotePrefix="1" applyAlignment="1">
      <alignment horizontal="left"/>
    </xf>
    <xf numFmtId="0" fontId="11" fillId="4" borderId="10" xfId="8" applyFill="1" applyBorder="1"/>
    <xf numFmtId="0" fontId="11" fillId="4" borderId="11" xfId="8" applyFill="1" applyBorder="1"/>
    <xf numFmtId="0" fontId="11" fillId="2" borderId="10" xfId="8" applyBorder="1"/>
    <xf numFmtId="0" fontId="11" fillId="2" borderId="11" xfId="8" applyBorder="1"/>
    <xf numFmtId="167" fontId="4" fillId="9" borderId="19" xfId="5" applyNumberFormat="1" applyFont="1" applyFill="1" applyBorder="1"/>
    <xf numFmtId="167" fontId="4" fillId="9" borderId="35" xfId="5" applyNumberFormat="1" applyFont="1" applyFill="1" applyBorder="1"/>
    <xf numFmtId="167" fontId="4" fillId="9" borderId="36" xfId="5" applyNumberFormat="1" applyFont="1" applyFill="1" applyBorder="1"/>
    <xf numFmtId="0" fontId="11" fillId="2" borderId="0" xfId="8" applyAlignment="1"/>
    <xf numFmtId="43" fontId="3" fillId="0" borderId="25" xfId="1" applyFont="1" applyBorder="1" applyAlignment="1"/>
    <xf numFmtId="165" fontId="3" fillId="0" borderId="25" xfId="1" applyNumberFormat="1" applyFont="1" applyBorder="1" applyAlignment="1"/>
    <xf numFmtId="165" fontId="4" fillId="0" borderId="29" xfId="1" applyNumberFormat="1" applyFont="1" applyBorder="1"/>
    <xf numFmtId="166" fontId="3" fillId="0" borderId="25" xfId="1" applyNumberFormat="1" applyFont="1" applyBorder="1" applyAlignment="1"/>
    <xf numFmtId="166" fontId="4" fillId="0" borderId="29" xfId="1" applyNumberFormat="1" applyFont="1" applyBorder="1"/>
    <xf numFmtId="165" fontId="3" fillId="0" borderId="31" xfId="1" applyNumberFormat="1" applyFont="1" applyBorder="1" applyAlignment="1"/>
    <xf numFmtId="165" fontId="3" fillId="0" borderId="32" xfId="1" applyNumberFormat="1" applyFont="1" applyBorder="1" applyAlignment="1"/>
    <xf numFmtId="165" fontId="4" fillId="0" borderId="33" xfId="1" applyNumberFormat="1" applyFont="1" applyBorder="1"/>
    <xf numFmtId="165" fontId="4" fillId="0" borderId="34" xfId="1" applyNumberFormat="1" applyFont="1" applyBorder="1"/>
    <xf numFmtId="0" fontId="3" fillId="0" borderId="40" xfId="32" applyBorder="1" applyAlignment="1"/>
    <xf numFmtId="165" fontId="4" fillId="9" borderId="19" xfId="1" applyNumberFormat="1" applyFont="1" applyFill="1" applyBorder="1"/>
    <xf numFmtId="165" fontId="4" fillId="9" borderId="35" xfId="1" applyNumberFormat="1" applyFont="1" applyFill="1" applyBorder="1"/>
    <xf numFmtId="165" fontId="4" fillId="9" borderId="36" xfId="1" applyNumberFormat="1" applyFont="1" applyFill="1" applyBorder="1"/>
    <xf numFmtId="43" fontId="30" fillId="3" borderId="38" xfId="1" applyFont="1" applyFill="1" applyBorder="1" applyAlignment="1"/>
    <xf numFmtId="43" fontId="30" fillId="3" borderId="18" xfId="1" applyFont="1" applyFill="1" applyBorder="1" applyAlignment="1"/>
    <xf numFmtId="43" fontId="30" fillId="3" borderId="39" xfId="1" applyFont="1" applyFill="1" applyBorder="1" applyAlignment="1"/>
    <xf numFmtId="165" fontId="30" fillId="3" borderId="37" xfId="1" applyNumberFormat="1" applyFont="1" applyFill="1" applyBorder="1" applyAlignment="1"/>
    <xf numFmtId="165" fontId="30" fillId="3" borderId="38" xfId="1" applyNumberFormat="1" applyFont="1" applyFill="1" applyBorder="1" applyAlignment="1"/>
    <xf numFmtId="165" fontId="30" fillId="3" borderId="18" xfId="1" applyNumberFormat="1" applyFont="1" applyFill="1" applyBorder="1" applyAlignment="1"/>
    <xf numFmtId="165" fontId="30" fillId="3" borderId="39" xfId="1" applyNumberFormat="1" applyFont="1" applyFill="1" applyBorder="1" applyAlignment="1"/>
    <xf numFmtId="165" fontId="3" fillId="0" borderId="40" xfId="1" applyNumberFormat="1" applyFont="1" applyBorder="1" applyAlignment="1"/>
    <xf numFmtId="0" fontId="11" fillId="2" borderId="10" xfId="8" applyBorder="1" applyAlignment="1"/>
    <xf numFmtId="0" fontId="11" fillId="2" borderId="11" xfId="8" applyBorder="1" applyAlignment="1"/>
    <xf numFmtId="166" fontId="3" fillId="0" borderId="31" xfId="1" applyNumberFormat="1" applyFont="1" applyBorder="1" applyAlignment="1"/>
    <xf numFmtId="166" fontId="3" fillId="0" borderId="32" xfId="1" applyNumberFormat="1" applyFont="1" applyBorder="1" applyAlignment="1"/>
    <xf numFmtId="166" fontId="4" fillId="0" borderId="33" xfId="1" applyNumberFormat="1" applyFont="1" applyBorder="1"/>
    <xf numFmtId="166" fontId="4" fillId="0" borderId="34" xfId="1" applyNumberFormat="1" applyFont="1" applyBorder="1"/>
    <xf numFmtId="170" fontId="13" fillId="0" borderId="0" xfId="0" applyNumberFormat="1" applyFont="1"/>
    <xf numFmtId="164" fontId="0" fillId="0" borderId="0" xfId="0" applyNumberFormat="1"/>
    <xf numFmtId="43" fontId="37" fillId="19" borderId="28" xfId="36" applyNumberFormat="1" applyAlignment="1"/>
    <xf numFmtId="43" fontId="3" fillId="0" borderId="31" xfId="1" applyFont="1" applyBorder="1" applyAlignment="1"/>
    <xf numFmtId="43" fontId="3" fillId="0" borderId="32" xfId="1" applyFont="1" applyBorder="1" applyAlignment="1"/>
    <xf numFmtId="43" fontId="4" fillId="0" borderId="29" xfId="1" applyFont="1" applyBorder="1"/>
    <xf numFmtId="43" fontId="4" fillId="0" borderId="33" xfId="1" applyFont="1" applyBorder="1"/>
    <xf numFmtId="43" fontId="4" fillId="0" borderId="34" xfId="1" applyFont="1" applyBorder="1"/>
    <xf numFmtId="43" fontId="3" fillId="0" borderId="40" xfId="1" applyFont="1" applyBorder="1" applyAlignment="1"/>
    <xf numFmtId="43" fontId="4" fillId="9" borderId="19" xfId="1" applyFont="1" applyFill="1" applyBorder="1"/>
    <xf numFmtId="43" fontId="4" fillId="9" borderId="35" xfId="1" applyFont="1" applyFill="1" applyBorder="1"/>
    <xf numFmtId="43" fontId="4" fillId="9" borderId="36" xfId="1" applyFont="1" applyFill="1" applyBorder="1"/>
    <xf numFmtId="2" fontId="0" fillId="0" borderId="0" xfId="0" applyNumberFormat="1" applyAlignment="1">
      <alignment horizontal="center"/>
    </xf>
    <xf numFmtId="0" fontId="3" fillId="9" borderId="20" xfId="15" applyAlignment="1">
      <alignment horizontal="center"/>
    </xf>
    <xf numFmtId="43" fontId="0" fillId="0" borderId="10" xfId="0" applyNumberFormat="1" applyBorder="1"/>
    <xf numFmtId="43" fontId="32" fillId="6" borderId="21" xfId="23" applyNumberFormat="1" applyAlignment="1"/>
    <xf numFmtId="166" fontId="32" fillId="6" borderId="21" xfId="23" applyNumberFormat="1" applyAlignment="1"/>
    <xf numFmtId="0" fontId="39" fillId="0" borderId="0" xfId="41"/>
    <xf numFmtId="0" fontId="13" fillId="0" borderId="25" xfId="32" applyFont="1" applyAlignment="1"/>
    <xf numFmtId="9" fontId="0" fillId="0" borderId="0" xfId="5" applyFont="1"/>
    <xf numFmtId="9" fontId="4" fillId="9" borderId="19" xfId="5" applyFont="1" applyFill="1" applyBorder="1"/>
    <xf numFmtId="9" fontId="4" fillId="9" borderId="35" xfId="5" applyFont="1" applyFill="1" applyBorder="1"/>
    <xf numFmtId="9" fontId="4" fillId="9" borderId="36" xfId="5" applyFont="1" applyFill="1" applyBorder="1"/>
    <xf numFmtId="166" fontId="4" fillId="9" borderId="19" xfId="1" applyNumberFormat="1" applyFont="1" applyFill="1" applyBorder="1"/>
    <xf numFmtId="166" fontId="4" fillId="9" borderId="35" xfId="1" applyNumberFormat="1" applyFont="1" applyFill="1" applyBorder="1"/>
    <xf numFmtId="166" fontId="4" fillId="9" borderId="36" xfId="1" applyNumberFormat="1" applyFont="1" applyFill="1" applyBorder="1"/>
    <xf numFmtId="0" fontId="3" fillId="0" borderId="25" xfId="32" applyAlignment="1">
      <alignment horizontal="left" indent="2"/>
    </xf>
    <xf numFmtId="0" fontId="3" fillId="0" borderId="40" xfId="32" applyBorder="1" applyAlignment="1">
      <alignment horizontal="left" indent="2"/>
    </xf>
    <xf numFmtId="0" fontId="22" fillId="0" borderId="0" xfId="17"/>
    <xf numFmtId="166" fontId="30" fillId="3" borderId="39" xfId="1" applyNumberFormat="1" applyFont="1" applyFill="1" applyBorder="1" applyAlignment="1"/>
    <xf numFmtId="166" fontId="30" fillId="3" borderId="38" xfId="1" applyNumberFormat="1" applyFont="1" applyFill="1" applyBorder="1" applyAlignment="1"/>
    <xf numFmtId="166" fontId="30" fillId="3" borderId="18" xfId="1" applyNumberFormat="1" applyFont="1" applyFill="1" applyBorder="1" applyAlignment="1"/>
    <xf numFmtId="10" fontId="3" fillId="0" borderId="25" xfId="5" applyNumberFormat="1" applyFont="1" applyBorder="1" applyAlignment="1"/>
    <xf numFmtId="10" fontId="3" fillId="0" borderId="31" xfId="5" applyNumberFormat="1" applyFont="1" applyBorder="1" applyAlignment="1"/>
    <xf numFmtId="10" fontId="3" fillId="0" borderId="32" xfId="5" applyNumberFormat="1" applyFont="1" applyBorder="1" applyAlignment="1"/>
    <xf numFmtId="169" fontId="3" fillId="0" borderId="25" xfId="2" applyNumberFormat="1" applyFont="1" applyBorder="1" applyAlignment="1"/>
    <xf numFmtId="169" fontId="3" fillId="0" borderId="31" xfId="2" applyNumberFormat="1" applyFont="1" applyBorder="1" applyAlignment="1"/>
    <xf numFmtId="169" fontId="3" fillId="0" borderId="32" xfId="2" applyNumberFormat="1" applyFont="1" applyBorder="1" applyAlignment="1"/>
    <xf numFmtId="169" fontId="4" fillId="0" borderId="29" xfId="2" applyNumberFormat="1" applyFont="1" applyBorder="1"/>
    <xf numFmtId="169" fontId="4" fillId="0" borderId="33" xfId="2" applyNumberFormat="1" applyFont="1" applyBorder="1"/>
    <xf numFmtId="169" fontId="4" fillId="0" borderId="34" xfId="2" applyNumberFormat="1" applyFont="1" applyBorder="1"/>
    <xf numFmtId="169" fontId="4" fillId="9" borderId="19" xfId="2" applyNumberFormat="1" applyFont="1" applyFill="1" applyBorder="1"/>
    <xf numFmtId="169" fontId="4" fillId="9" borderId="35" xfId="2" applyNumberFormat="1" applyFont="1" applyFill="1" applyBorder="1"/>
    <xf numFmtId="169" fontId="4" fillId="9" borderId="36" xfId="2" applyNumberFormat="1" applyFont="1" applyFill="1" applyBorder="1"/>
    <xf numFmtId="169" fontId="30" fillId="3" borderId="38" xfId="2" applyNumberFormat="1" applyFont="1" applyFill="1" applyBorder="1" applyAlignment="1"/>
    <xf numFmtId="169" fontId="30" fillId="3" borderId="18" xfId="2" applyNumberFormat="1" applyFont="1" applyFill="1" applyBorder="1" applyAlignment="1"/>
    <xf numFmtId="169" fontId="30" fillId="3" borderId="39" xfId="2" applyNumberFormat="1" applyFont="1" applyFill="1" applyBorder="1" applyAlignment="1"/>
    <xf numFmtId="166" fontId="3" fillId="0" borderId="33" xfId="1" applyNumberFormat="1" applyFont="1" applyBorder="1" applyAlignment="1">
      <alignment horizontal="left" indent="2"/>
    </xf>
    <xf numFmtId="166" fontId="3" fillId="0" borderId="29" xfId="1" applyNumberFormat="1" applyFont="1" applyBorder="1" applyAlignment="1">
      <alignment horizontal="left" indent="2"/>
    </xf>
    <xf numFmtId="166" fontId="3" fillId="0" borderId="34" xfId="1" applyNumberFormat="1" applyFont="1" applyBorder="1" applyAlignment="1">
      <alignment horizontal="left" indent="2"/>
    </xf>
    <xf numFmtId="0" fontId="9" fillId="0" borderId="0" xfId="0" applyFont="1" applyAlignment="1">
      <alignment horizontal="center"/>
    </xf>
    <xf numFmtId="43" fontId="0" fillId="0" borderId="0" xfId="0" applyNumberFormat="1"/>
    <xf numFmtId="9" fontId="30" fillId="3" borderId="18" xfId="5" applyFont="1" applyFill="1" applyBorder="1" applyAlignment="1"/>
    <xf numFmtId="9" fontId="30" fillId="3" borderId="39" xfId="5" applyFont="1" applyFill="1" applyBorder="1" applyAlignment="1"/>
    <xf numFmtId="9" fontId="30" fillId="3" borderId="38" xfId="5" applyFont="1" applyFill="1" applyBorder="1" applyAlignment="1"/>
    <xf numFmtId="9" fontId="30" fillId="3" borderId="37" xfId="5" applyFont="1" applyFill="1" applyBorder="1" applyAlignment="1"/>
    <xf numFmtId="10" fontId="3" fillId="0" borderId="0" xfId="5" applyNumberFormat="1" applyFont="1" applyBorder="1" applyAlignment="1"/>
    <xf numFmtId="10" fontId="3" fillId="0" borderId="10" xfId="5" applyNumberFormat="1" applyFont="1" applyBorder="1" applyAlignment="1"/>
    <xf numFmtId="10" fontId="3" fillId="0" borderId="11" xfId="5" applyNumberFormat="1" applyFont="1" applyBorder="1" applyAlignment="1"/>
    <xf numFmtId="43" fontId="3" fillId="13" borderId="31" xfId="1" applyFont="1" applyFill="1" applyBorder="1" applyAlignment="1"/>
    <xf numFmtId="43" fontId="3" fillId="13" borderId="25" xfId="1" applyFont="1" applyFill="1" applyBorder="1" applyAlignment="1"/>
    <xf numFmtId="43" fontId="3" fillId="13" borderId="32" xfId="1" applyFont="1" applyFill="1" applyBorder="1" applyAlignment="1"/>
    <xf numFmtId="2" fontId="10" fillId="0" borderId="1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</cellXfs>
  <cellStyles count="42">
    <cellStyle name="_Gray - Currency" xfId="19" xr:uid="{B0CC6C49-8710-45B2-9B52-FA15FE985936}"/>
    <cellStyle name="Bad" xfId="13" builtinId="27" customBuiltin="1"/>
    <cellStyle name="Calculation 0" xfId="20" xr:uid="{9D6DE28E-2C06-4AD2-A495-BF594E2B510F}"/>
    <cellStyle name="Calculation 1" xfId="21" xr:uid="{779CE66F-F071-4452-9A3A-9AAAA17A0E57}"/>
    <cellStyle name="Calculation 3" xfId="22" xr:uid="{B2E5EC32-E505-46EE-8E33-8B01B3D61B81}"/>
    <cellStyle name="Comma" xfId="1" builtinId="3"/>
    <cellStyle name="Currency" xfId="2" builtinId="4"/>
    <cellStyle name="Currency 2" xfId="3" xr:uid="{00000000-0005-0000-0000-000003000000}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41" builtinId="8"/>
    <cellStyle name="Input" xfId="15" builtinId="20" customBuiltin="1"/>
    <cellStyle name="Negative 1" xfId="23" xr:uid="{AEBBAB2B-B93B-4B80-8586-3ED3A0F99843}"/>
    <cellStyle name="Negative 2" xfId="24" xr:uid="{67FB512F-124E-4296-A8E7-C75E861111E4}"/>
    <cellStyle name="Neutral" xfId="14" builtinId="28" customBuiltin="1"/>
    <cellStyle name="Normal" xfId="0" builtinId="0"/>
    <cellStyle name="Normal 2" xfId="4" xr:uid="{00000000-0005-0000-0000-000005000000}"/>
    <cellStyle name="Note" xfId="17" builtinId="10" customBuiltin="1"/>
    <cellStyle name="Orange 1" xfId="25" xr:uid="{6343EF52-4DEE-4C2B-856A-00E2241F6316}"/>
    <cellStyle name="Orange 2" xfId="26" xr:uid="{2F926CC3-DFB0-4874-949D-FE9C726CBEF1}"/>
    <cellStyle name="Override 0" xfId="27" xr:uid="{D39F0F1B-5841-45ED-A70C-875F0E37438C}"/>
    <cellStyle name="Override 1" xfId="28" xr:uid="{03C8CDC4-CE75-4271-9554-F1CE64E67B76}"/>
    <cellStyle name="Override 2" xfId="29" xr:uid="{C8E285A7-C360-41DC-8627-DAAA11EA2DD1}"/>
    <cellStyle name="Percent" xfId="5" builtinId="5"/>
    <cellStyle name="Percent 2" xfId="6" xr:uid="{00000000-0005-0000-0000-000007000000}"/>
    <cellStyle name="Positive 1" xfId="30" xr:uid="{9D2BBE42-BB64-4535-A358-82E409586BBE}"/>
    <cellStyle name="Positive 2" xfId="31" xr:uid="{F3DE4974-4F4F-47E2-9AE4-19685AA4B4DA}"/>
    <cellStyle name="Row 1" xfId="32" xr:uid="{E43D2B32-6837-4A8F-9BE2-6E45D8F7913A}"/>
    <cellStyle name="Row 2" xfId="33" xr:uid="{36542264-0A2E-43F4-85B9-1758E4A9CD8E}"/>
    <cellStyle name="Row 3" xfId="34" xr:uid="{B9AE61E8-2C31-468E-BD62-30142882E8B4}"/>
    <cellStyle name="Subtotal 0" xfId="35" xr:uid="{55900E8A-E944-4367-8E48-DAA23CD795A0}"/>
    <cellStyle name="Subtotal 1" xfId="36" xr:uid="{8FAF95D2-36DF-4A5D-A5EA-770FB214EFE8}"/>
    <cellStyle name="Subtotal 2" xfId="37" xr:uid="{AEEFC635-0B0D-4C41-A628-FB207D9C5BBC}"/>
    <cellStyle name="Title" xfId="7" builtinId="15" customBuiltin="1"/>
    <cellStyle name="Total" xfId="18" builtinId="25" customBuiltin="1"/>
    <cellStyle name="Total 1" xfId="38" xr:uid="{07E360A3-6632-48E6-9BC5-9BE144C2FE85}"/>
    <cellStyle name="Warning Text" xfId="16" builtinId="11" customBuiltin="1"/>
    <cellStyle name="Yellow 1" xfId="39" xr:uid="{8CF4D783-ACD0-424E-8933-AEA9B8B5D004}"/>
    <cellStyle name="Yellow 2" xfId="40" xr:uid="{840EAE10-6BE5-4FD3-B9AE-04B703959F00}"/>
  </cellStyles>
  <dxfs count="25"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color theme="5" tint="-0.24994659260841701"/>
      </font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theme="8" tint="-0.24994659260841701"/>
      </font>
      <fill>
        <patternFill>
          <bgColor theme="8" tint="0.7999816888943144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7" tint="-0.24994659260841701"/>
      </font>
      <fill>
        <patternFill>
          <bgColor theme="7" tint="0.79998168889431442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color theme="5" tint="-0.24994659260841701"/>
      </font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theme="8" tint="-0.24994659260841701"/>
      </font>
      <fill>
        <patternFill>
          <bgColor theme="8" tint="0.7999816888943144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7" tint="-0.24994659260841701"/>
      </font>
      <fill>
        <patternFill>
          <bgColor theme="7" tint="0.79998168889431442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  <a:effectLst/>
              </a:rPr>
              <a:t>Chicago On-Street Bikeway Network Growth (miles)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Dashboard!$A$15</c:f>
              <c:strCache>
                <c:ptCount val="1"/>
                <c:pt idx="0">
                  <c:v>Shared Lane</c:v>
                </c:pt>
              </c:strCache>
            </c:strRef>
          </c:tx>
          <c:spPr>
            <a:solidFill>
              <a:srgbClr val="EF6922"/>
            </a:solidFill>
            <a:ln w="25400">
              <a:noFill/>
            </a:ln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[0]!R_Bike_Net_SL</c:f>
              <c:numCache>
                <c:formatCode>General</c:formatCode>
                <c:ptCount val="16"/>
                <c:pt idx="0">
                  <c:v>30</c:v>
                </c:pt>
                <c:pt idx="1">
                  <c:v>39</c:v>
                </c:pt>
                <c:pt idx="2">
                  <c:v>39.85</c:v>
                </c:pt>
                <c:pt idx="3">
                  <c:v>40</c:v>
                </c:pt>
                <c:pt idx="4">
                  <c:v>41.5</c:v>
                </c:pt>
                <c:pt idx="5">
                  <c:v>45.7</c:v>
                </c:pt>
                <c:pt idx="6">
                  <c:v>45.7</c:v>
                </c:pt>
                <c:pt idx="7">
                  <c:v>45.4</c:v>
                </c:pt>
                <c:pt idx="8">
                  <c:v>45.474801331811747</c:v>
                </c:pt>
                <c:pt idx="9">
                  <c:v>44.4</c:v>
                </c:pt>
                <c:pt idx="10">
                  <c:v>44.9</c:v>
                </c:pt>
                <c:pt idx="11">
                  <c:v>52.026724711724498</c:v>
                </c:pt>
                <c:pt idx="12">
                  <c:v>49.74</c:v>
                </c:pt>
                <c:pt idx="13">
                  <c:v>48.3</c:v>
                </c:pt>
                <c:pt idx="14">
                  <c:v>47.6</c:v>
                </c:pt>
                <c:pt idx="15">
                  <c:v>46.98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A-46DD-B65A-565B9F96FA3E}"/>
            </c:ext>
          </c:extLst>
        </c:ser>
        <c:ser>
          <c:idx val="3"/>
          <c:order val="1"/>
          <c:tx>
            <c:strRef>
              <c:f>Dashboard!$A$14</c:f>
              <c:strCache>
                <c:ptCount val="1"/>
                <c:pt idx="0">
                  <c:v>Neighborhood</c:v>
                </c:pt>
              </c:strCache>
            </c:strRef>
          </c:tx>
          <c:spPr>
            <a:solidFill>
              <a:srgbClr val="8CC63F"/>
            </a:solidFill>
            <a:ln w="25400">
              <a:noFill/>
            </a:ln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2.1</c:v>
                </c:pt>
                <c:pt idx="7">
                  <c:v>3.2</c:v>
                </c:pt>
                <c:pt idx="8">
                  <c:v>11.448654824888697</c:v>
                </c:pt>
                <c:pt idx="9">
                  <c:v>14.4</c:v>
                </c:pt>
                <c:pt idx="10">
                  <c:v>17.399999999999999</c:v>
                </c:pt>
                <c:pt idx="11">
                  <c:v>26.8506288855971</c:v>
                </c:pt>
                <c:pt idx="12">
                  <c:v>39.17</c:v>
                </c:pt>
                <c:pt idx="13">
                  <c:v>57.2</c:v>
                </c:pt>
                <c:pt idx="14">
                  <c:v>71.95</c:v>
                </c:pt>
                <c:pt idx="15">
                  <c:v>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A-46DD-B65A-565B9F96FA3E}"/>
            </c:ext>
          </c:extLst>
        </c:ser>
        <c:ser>
          <c:idx val="2"/>
          <c:order val="2"/>
          <c:tx>
            <c:strRef>
              <c:f>Dashboard!$A$13</c:f>
              <c:strCache>
                <c:ptCount val="1"/>
                <c:pt idx="0">
                  <c:v>Bike Lane</c:v>
                </c:pt>
              </c:strCache>
            </c:strRef>
          </c:tx>
          <c:spPr>
            <a:solidFill>
              <a:srgbClr val="00A4E4"/>
            </a:solidFill>
            <a:ln w="25400">
              <a:noFill/>
            </a:ln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[0]!R_Bike_Net_BL</c:f>
              <c:numCache>
                <c:formatCode>General</c:formatCode>
                <c:ptCount val="16"/>
                <c:pt idx="0">
                  <c:v>116</c:v>
                </c:pt>
                <c:pt idx="1">
                  <c:v>133</c:v>
                </c:pt>
                <c:pt idx="2">
                  <c:v>134.19999999999999</c:v>
                </c:pt>
                <c:pt idx="3">
                  <c:v>117.5</c:v>
                </c:pt>
                <c:pt idx="4">
                  <c:v>99</c:v>
                </c:pt>
                <c:pt idx="5">
                  <c:v>88.5</c:v>
                </c:pt>
                <c:pt idx="6">
                  <c:v>85.6</c:v>
                </c:pt>
                <c:pt idx="7">
                  <c:v>82.7</c:v>
                </c:pt>
                <c:pt idx="8">
                  <c:v>83.228265631937759</c:v>
                </c:pt>
                <c:pt idx="9">
                  <c:v>88</c:v>
                </c:pt>
                <c:pt idx="10">
                  <c:v>103.3</c:v>
                </c:pt>
                <c:pt idx="11">
                  <c:v>113.05000987613971</c:v>
                </c:pt>
                <c:pt idx="12">
                  <c:v>126.1</c:v>
                </c:pt>
                <c:pt idx="13">
                  <c:v>130.4</c:v>
                </c:pt>
                <c:pt idx="14">
                  <c:v>136.94999999999999</c:v>
                </c:pt>
                <c:pt idx="15">
                  <c:v>138.5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A-46DD-B65A-565B9F96FA3E}"/>
            </c:ext>
          </c:extLst>
        </c:ser>
        <c:ser>
          <c:idx val="1"/>
          <c:order val="3"/>
          <c:tx>
            <c:strRef>
              <c:f>Dashboard!$A$12</c:f>
              <c:strCache>
                <c:ptCount val="1"/>
                <c:pt idx="0">
                  <c:v>Buffered Bike Lane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[0]!R_Bike_Net_BBL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18.649999999999999</c:v>
                </c:pt>
                <c:pt idx="3">
                  <c:v>33.5</c:v>
                </c:pt>
                <c:pt idx="4">
                  <c:v>67</c:v>
                </c:pt>
                <c:pt idx="5">
                  <c:v>87</c:v>
                </c:pt>
                <c:pt idx="6">
                  <c:v>88.8</c:v>
                </c:pt>
                <c:pt idx="7">
                  <c:v>95.1</c:v>
                </c:pt>
                <c:pt idx="8">
                  <c:v>105.885433742641</c:v>
                </c:pt>
                <c:pt idx="9">
                  <c:v>107.5</c:v>
                </c:pt>
                <c:pt idx="10">
                  <c:v>110.5</c:v>
                </c:pt>
                <c:pt idx="11">
                  <c:v>113.96737106439124</c:v>
                </c:pt>
                <c:pt idx="12">
                  <c:v>115.57</c:v>
                </c:pt>
                <c:pt idx="13">
                  <c:v>110.1</c:v>
                </c:pt>
                <c:pt idx="14">
                  <c:v>107.8</c:v>
                </c:pt>
                <c:pt idx="15">
                  <c:v>106.5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A-46DD-B65A-565B9F96FA3E}"/>
            </c:ext>
          </c:extLst>
        </c:ser>
        <c:ser>
          <c:idx val="0"/>
          <c:order val="4"/>
          <c:tx>
            <c:strRef>
              <c:f>Dashboard!$A$11</c:f>
              <c:strCache>
                <c:ptCount val="1"/>
                <c:pt idx="0">
                  <c:v>Protected Bike Lane</c:v>
                </c:pt>
              </c:strCache>
            </c:strRef>
          </c:tx>
          <c:spPr>
            <a:solidFill>
              <a:srgbClr val="014965"/>
            </a:solidFill>
            <a:ln w="25400">
              <a:noFill/>
            </a:ln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[0]!R_Bike_Net_PBL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11.4</c:v>
                </c:pt>
                <c:pt idx="3">
                  <c:v>15.5</c:v>
                </c:pt>
                <c:pt idx="4">
                  <c:v>18.5</c:v>
                </c:pt>
                <c:pt idx="5">
                  <c:v>21.35</c:v>
                </c:pt>
                <c:pt idx="6">
                  <c:v>22.55</c:v>
                </c:pt>
                <c:pt idx="7">
                  <c:v>22.5</c:v>
                </c:pt>
                <c:pt idx="8">
                  <c:v>23.450679652365004</c:v>
                </c:pt>
                <c:pt idx="9">
                  <c:v>24.3</c:v>
                </c:pt>
                <c:pt idx="10">
                  <c:v>26.7</c:v>
                </c:pt>
                <c:pt idx="11">
                  <c:v>35.220584989233799</c:v>
                </c:pt>
                <c:pt idx="12">
                  <c:v>37.56</c:v>
                </c:pt>
                <c:pt idx="13">
                  <c:v>47.2</c:v>
                </c:pt>
                <c:pt idx="14">
                  <c:v>57.3</c:v>
                </c:pt>
                <c:pt idx="15">
                  <c:v>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A-46DD-B65A-565B9F96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765328"/>
        <c:axId val="1"/>
      </c:areaChart>
      <c:catAx>
        <c:axId val="2537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5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  <a:effectLst/>
              </a:rPr>
              <a:t>Chicago Bikeway Network Growth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Dashboard!$A$29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25400">
              <a:noFill/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[0]!R_Bike_Net_Other</c:f>
              <c:numCache>
                <c:formatCode>General</c:formatCode>
                <c:ptCount val="16"/>
                <c:pt idx="0">
                  <c:v>146</c:v>
                </c:pt>
                <c:pt idx="1">
                  <c:v>173</c:v>
                </c:pt>
                <c:pt idx="2">
                  <c:v>192.7</c:v>
                </c:pt>
                <c:pt idx="3">
                  <c:v>191</c:v>
                </c:pt>
                <c:pt idx="4">
                  <c:v>207.5</c:v>
                </c:pt>
                <c:pt idx="5">
                  <c:v>221.20000000000005</c:v>
                </c:pt>
                <c:pt idx="6">
                  <c:v>220.1</c:v>
                </c:pt>
                <c:pt idx="7">
                  <c:v>223.2</c:v>
                </c:pt>
                <c:pt idx="8">
                  <c:v>234.58850070639053</c:v>
                </c:pt>
                <c:pt idx="9">
                  <c:v>239.90000000000003</c:v>
                </c:pt>
                <c:pt idx="10">
                  <c:v>258.69999999999993</c:v>
                </c:pt>
                <c:pt idx="11">
                  <c:v>279.04410565225544</c:v>
                </c:pt>
                <c:pt idx="12">
                  <c:v>291.41000000000003</c:v>
                </c:pt>
                <c:pt idx="13">
                  <c:v>288.80000000000007</c:v>
                </c:pt>
                <c:pt idx="14">
                  <c:v>292.34999999999997</c:v>
                </c:pt>
                <c:pt idx="15">
                  <c:v>291.98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8-447F-B3EC-1F96BC9558DE}"/>
            </c:ext>
          </c:extLst>
        </c:ser>
        <c:ser>
          <c:idx val="3"/>
          <c:order val="1"/>
          <c:tx>
            <c:strRef>
              <c:f>Dashboard!$A$28</c:f>
              <c:strCache>
                <c:ptCount val="1"/>
                <c:pt idx="0">
                  <c:v>Off-Street Trails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[0]!R_Bike_Net_Off_T</c:f>
              <c:numCache>
                <c:formatCode>General</c:formatCode>
                <c:ptCount val="16"/>
                <c:pt idx="0">
                  <c:v>47.2</c:v>
                </c:pt>
                <c:pt idx="1">
                  <c:v>47.2</c:v>
                </c:pt>
                <c:pt idx="2">
                  <c:v>47.76</c:v>
                </c:pt>
                <c:pt idx="3">
                  <c:v>47.76</c:v>
                </c:pt>
                <c:pt idx="4">
                  <c:v>47.76</c:v>
                </c:pt>
                <c:pt idx="5">
                  <c:v>51.53</c:v>
                </c:pt>
                <c:pt idx="6">
                  <c:v>51.81</c:v>
                </c:pt>
                <c:pt idx="7">
                  <c:v>54.62</c:v>
                </c:pt>
                <c:pt idx="8">
                  <c:v>54.92</c:v>
                </c:pt>
                <c:pt idx="9">
                  <c:v>54.92</c:v>
                </c:pt>
                <c:pt idx="10">
                  <c:v>55.27</c:v>
                </c:pt>
                <c:pt idx="11">
                  <c:v>55.27</c:v>
                </c:pt>
                <c:pt idx="12">
                  <c:v>55.27</c:v>
                </c:pt>
                <c:pt idx="13">
                  <c:v>55.3</c:v>
                </c:pt>
                <c:pt idx="14">
                  <c:v>55.3</c:v>
                </c:pt>
                <c:pt idx="15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B3-4186-A5AC-247C9BEF999C}"/>
            </c:ext>
          </c:extLst>
        </c:ser>
        <c:ser>
          <c:idx val="2"/>
          <c:order val="2"/>
          <c:tx>
            <c:strRef>
              <c:f>Dashboard!$A$27</c:f>
              <c:strCache>
                <c:ptCount val="1"/>
                <c:pt idx="0">
                  <c:v>Neighborhood Greenways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2.1</c:v>
                </c:pt>
                <c:pt idx="7">
                  <c:v>3.2</c:v>
                </c:pt>
                <c:pt idx="8">
                  <c:v>11.448654824888697</c:v>
                </c:pt>
                <c:pt idx="9">
                  <c:v>14.4</c:v>
                </c:pt>
                <c:pt idx="10">
                  <c:v>17.399999999999999</c:v>
                </c:pt>
                <c:pt idx="11">
                  <c:v>26.8506288855971</c:v>
                </c:pt>
                <c:pt idx="12">
                  <c:v>39.17</c:v>
                </c:pt>
                <c:pt idx="13">
                  <c:v>57.2</c:v>
                </c:pt>
                <c:pt idx="14">
                  <c:v>71.95</c:v>
                </c:pt>
                <c:pt idx="15">
                  <c:v>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3-4186-A5AC-247C9BEF999C}"/>
            </c:ext>
          </c:extLst>
        </c:ser>
        <c:ser>
          <c:idx val="1"/>
          <c:order val="3"/>
          <c:tx>
            <c:strRef>
              <c:f>Dashboard!$A$26</c:f>
              <c:strCache>
                <c:ptCount val="1"/>
                <c:pt idx="0">
                  <c:v>Protected Bike Lanes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[0]!R_Bike_Net_PBL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11.4</c:v>
                </c:pt>
                <c:pt idx="3">
                  <c:v>15.5</c:v>
                </c:pt>
                <c:pt idx="4">
                  <c:v>18.5</c:v>
                </c:pt>
                <c:pt idx="5">
                  <c:v>21.35</c:v>
                </c:pt>
                <c:pt idx="6">
                  <c:v>22.55</c:v>
                </c:pt>
                <c:pt idx="7">
                  <c:v>22.5</c:v>
                </c:pt>
                <c:pt idx="8">
                  <c:v>23.450679652365004</c:v>
                </c:pt>
                <c:pt idx="9">
                  <c:v>24.3</c:v>
                </c:pt>
                <c:pt idx="10">
                  <c:v>26.7</c:v>
                </c:pt>
                <c:pt idx="11">
                  <c:v>35.220584989233799</c:v>
                </c:pt>
                <c:pt idx="12">
                  <c:v>37.56</c:v>
                </c:pt>
                <c:pt idx="13">
                  <c:v>47.2</c:v>
                </c:pt>
                <c:pt idx="14">
                  <c:v>57.3</c:v>
                </c:pt>
                <c:pt idx="15">
                  <c:v>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3-4186-A5AC-247C9BEF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377023"/>
        <c:axId val="2120381599"/>
      </c:areaChart>
      <c:catAx>
        <c:axId val="212037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81599"/>
        <c:crosses val="autoZero"/>
        <c:auto val="1"/>
        <c:lblAlgn val="ctr"/>
        <c:lblOffset val="100"/>
        <c:noMultiLvlLbl val="0"/>
      </c:catAx>
      <c:valAx>
        <c:axId val="21203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7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Dashboard!$A$70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[0]!R_Bike_Install_Other</c:f>
              <c:numCache>
                <c:formatCode>General</c:formatCode>
                <c:ptCount val="16"/>
                <c:pt idx="0">
                  <c:v>0</c:v>
                </c:pt>
                <c:pt idx="1">
                  <c:v>27</c:v>
                </c:pt>
                <c:pt idx="2">
                  <c:v>19.699999999999996</c:v>
                </c:pt>
                <c:pt idx="3">
                  <c:v>17.25</c:v>
                </c:pt>
                <c:pt idx="4">
                  <c:v>35.75</c:v>
                </c:pt>
                <c:pt idx="5">
                  <c:v>22.1</c:v>
                </c:pt>
                <c:pt idx="6">
                  <c:v>3.1</c:v>
                </c:pt>
                <c:pt idx="7">
                  <c:v>15.899999999999999</c:v>
                </c:pt>
                <c:pt idx="8">
                  <c:v>18.509999999999998</c:v>
                </c:pt>
                <c:pt idx="9">
                  <c:v>7.6000000000000005</c:v>
                </c:pt>
                <c:pt idx="10">
                  <c:v>23.600000000000005</c:v>
                </c:pt>
                <c:pt idx="11">
                  <c:v>26.549999999999997</c:v>
                </c:pt>
                <c:pt idx="12">
                  <c:v>17.779999999999998</c:v>
                </c:pt>
                <c:pt idx="13">
                  <c:v>5.7999999999999972</c:v>
                </c:pt>
                <c:pt idx="14">
                  <c:v>15.150000000000002</c:v>
                </c:pt>
                <c:pt idx="15">
                  <c:v>3.8399999999999963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0-4EAE-AE29-DB700F42DE70}"/>
            </c:ext>
          </c:extLst>
        </c:ser>
        <c:ser>
          <c:idx val="0"/>
          <c:order val="1"/>
          <c:tx>
            <c:strRef>
              <c:f>Dashboard!$A$69</c:f>
              <c:strCache>
                <c:ptCount val="1"/>
                <c:pt idx="0">
                  <c:v>Low-Stress Bikeways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[0]!R_Bike_Install_LS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9.81</c:v>
                </c:pt>
                <c:pt idx="3">
                  <c:v>5</c:v>
                </c:pt>
                <c:pt idx="4">
                  <c:v>3.75</c:v>
                </c:pt>
                <c:pt idx="5">
                  <c:v>7.1200000000000028</c:v>
                </c:pt>
                <c:pt idx="6">
                  <c:v>2.23</c:v>
                </c:pt>
                <c:pt idx="7">
                  <c:v>5.109999999999995</c:v>
                </c:pt>
                <c:pt idx="8">
                  <c:v>11.58</c:v>
                </c:pt>
                <c:pt idx="9">
                  <c:v>5.45</c:v>
                </c:pt>
                <c:pt idx="10">
                  <c:v>5.75</c:v>
                </c:pt>
                <c:pt idx="11">
                  <c:v>17.68</c:v>
                </c:pt>
                <c:pt idx="12">
                  <c:v>17.3</c:v>
                </c:pt>
                <c:pt idx="13">
                  <c:v>44.62</c:v>
                </c:pt>
                <c:pt idx="14">
                  <c:v>30.45</c:v>
                </c:pt>
                <c:pt idx="15">
                  <c:v>26.060000000000002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0-4EAE-AE29-DB700F42D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06823359"/>
        <c:axId val="1206825759"/>
      </c:barChart>
      <c:catAx>
        <c:axId val="12068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5759"/>
        <c:crosses val="autoZero"/>
        <c:auto val="1"/>
        <c:lblAlgn val="ctr"/>
        <c:lblOffset val="100"/>
        <c:noMultiLvlLbl val="0"/>
      </c:catAx>
      <c:valAx>
        <c:axId val="120682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</a:rPr>
              <a:t>Annual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Dashboard!$A$66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[0]!R_Bike_Install_Other</c:f>
              <c:numCache>
                <c:formatCode>General</c:formatCode>
                <c:ptCount val="16"/>
                <c:pt idx="0">
                  <c:v>0</c:v>
                </c:pt>
                <c:pt idx="1">
                  <c:v>27</c:v>
                </c:pt>
                <c:pt idx="2">
                  <c:v>19.699999999999996</c:v>
                </c:pt>
                <c:pt idx="3">
                  <c:v>17.25</c:v>
                </c:pt>
                <c:pt idx="4">
                  <c:v>35.75</c:v>
                </c:pt>
                <c:pt idx="5">
                  <c:v>22.1</c:v>
                </c:pt>
                <c:pt idx="6">
                  <c:v>3.1</c:v>
                </c:pt>
                <c:pt idx="7">
                  <c:v>15.899999999999999</c:v>
                </c:pt>
                <c:pt idx="8">
                  <c:v>18.509999999999998</c:v>
                </c:pt>
                <c:pt idx="9">
                  <c:v>7.6000000000000005</c:v>
                </c:pt>
                <c:pt idx="10">
                  <c:v>23.600000000000005</c:v>
                </c:pt>
                <c:pt idx="11">
                  <c:v>26.549999999999997</c:v>
                </c:pt>
                <c:pt idx="12">
                  <c:v>17.779999999999998</c:v>
                </c:pt>
                <c:pt idx="13">
                  <c:v>5.7999999999999972</c:v>
                </c:pt>
                <c:pt idx="14">
                  <c:v>15.150000000000002</c:v>
                </c:pt>
                <c:pt idx="15">
                  <c:v>3.8399999999999963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BC-4DE0-8347-BCD29AD79379}"/>
            </c:ext>
          </c:extLst>
        </c:ser>
        <c:ser>
          <c:idx val="2"/>
          <c:order val="1"/>
          <c:tx>
            <c:strRef>
              <c:f>Dashboard!$A$65</c:f>
              <c:strCache>
                <c:ptCount val="1"/>
                <c:pt idx="0">
                  <c:v>Off-Street Trails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[0]!R_Bike_Install_Off_T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0.56000000000000005</c:v>
                </c:pt>
                <c:pt idx="3">
                  <c:v>0</c:v>
                </c:pt>
                <c:pt idx="4">
                  <c:v>0</c:v>
                </c:pt>
                <c:pt idx="5">
                  <c:v>3.7700000000000031</c:v>
                </c:pt>
                <c:pt idx="6">
                  <c:v>0.28000000000000003</c:v>
                </c:pt>
                <c:pt idx="7">
                  <c:v>2.8099999999999952</c:v>
                </c:pt>
                <c:pt idx="8">
                  <c:v>0.3</c:v>
                </c:pt>
                <c:pt idx="9">
                  <c:v>0</c:v>
                </c:pt>
                <c:pt idx="10">
                  <c:v>0.35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C-4DE0-8347-BCD29AD79379}"/>
            </c:ext>
          </c:extLst>
        </c:ser>
        <c:ser>
          <c:idx val="1"/>
          <c:order val="2"/>
          <c:tx>
            <c:strRef>
              <c:f>Dashboard!$A$64</c:f>
              <c:strCache>
                <c:ptCount val="1"/>
                <c:pt idx="0">
                  <c:v>Neighborhood Greenways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0.5</c:v>
                </c:pt>
                <c:pt idx="5">
                  <c:v>0</c:v>
                </c:pt>
                <c:pt idx="6">
                  <c:v>0.75</c:v>
                </c:pt>
                <c:pt idx="7">
                  <c:v>1.1000000000000001</c:v>
                </c:pt>
                <c:pt idx="8">
                  <c:v>7.92</c:v>
                </c:pt>
                <c:pt idx="9">
                  <c:v>3</c:v>
                </c:pt>
                <c:pt idx="10">
                  <c:v>3</c:v>
                </c:pt>
                <c:pt idx="11">
                  <c:v>9.18</c:v>
                </c:pt>
                <c:pt idx="12">
                  <c:v>12.3</c:v>
                </c:pt>
                <c:pt idx="13">
                  <c:v>17.54</c:v>
                </c:pt>
                <c:pt idx="14">
                  <c:v>15.25</c:v>
                </c:pt>
                <c:pt idx="15">
                  <c:v>13.67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C-4DE0-8347-BCD29AD79379}"/>
            </c:ext>
          </c:extLst>
        </c:ser>
        <c:ser>
          <c:idx val="0"/>
          <c:order val="3"/>
          <c:tx>
            <c:strRef>
              <c:f>Dashboard!$A$63</c:f>
              <c:strCache>
                <c:ptCount val="1"/>
                <c:pt idx="0">
                  <c:v>Protected Bike Lanes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[0]!R_Bike_Install_PBLA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9.25</c:v>
                </c:pt>
                <c:pt idx="3">
                  <c:v>4</c:v>
                </c:pt>
                <c:pt idx="4">
                  <c:v>3.25</c:v>
                </c:pt>
                <c:pt idx="5">
                  <c:v>3.35</c:v>
                </c:pt>
                <c:pt idx="6">
                  <c:v>1.2</c:v>
                </c:pt>
                <c:pt idx="7">
                  <c:v>1.2</c:v>
                </c:pt>
                <c:pt idx="8">
                  <c:v>3.36</c:v>
                </c:pt>
                <c:pt idx="9">
                  <c:v>2.4500000000000002</c:v>
                </c:pt>
                <c:pt idx="10">
                  <c:v>2.4</c:v>
                </c:pt>
                <c:pt idx="11">
                  <c:v>8.5</c:v>
                </c:pt>
                <c:pt idx="12">
                  <c:v>5</c:v>
                </c:pt>
                <c:pt idx="13">
                  <c:v>27.049999999999997</c:v>
                </c:pt>
                <c:pt idx="14">
                  <c:v>15.2</c:v>
                </c:pt>
                <c:pt idx="15">
                  <c:v>12.39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C-4DE0-8347-BCD29AD79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8690544"/>
        <c:axId val="1418691504"/>
      </c:barChart>
      <c:catAx>
        <c:axId val="14186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91504"/>
        <c:crosses val="autoZero"/>
        <c:auto val="1"/>
        <c:lblAlgn val="ctr"/>
        <c:lblOffset val="100"/>
        <c:noMultiLvlLbl val="0"/>
      </c:catAx>
      <c:valAx>
        <c:axId val="14186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9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</a:rPr>
              <a:t>Annual On-Street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Dashboard!$A$53</c:f>
              <c:strCache>
                <c:ptCount val="1"/>
                <c:pt idx="0">
                  <c:v>Shared Lane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[0]!R_Bike_Install_SL</c:f>
              <c:numCache>
                <c:formatCode>General</c:formatCode>
                <c:ptCount val="16"/>
                <c:pt idx="0">
                  <c:v>0</c:v>
                </c:pt>
                <c:pt idx="1">
                  <c:v>9</c:v>
                </c:pt>
                <c:pt idx="2">
                  <c:v>0.85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0</c:v>
                </c:pt>
                <c:pt idx="7">
                  <c:v>3.7</c:v>
                </c:pt>
                <c:pt idx="8">
                  <c:v>2.06</c:v>
                </c:pt>
                <c:pt idx="9">
                  <c:v>0.5</c:v>
                </c:pt>
                <c:pt idx="10">
                  <c:v>5.3</c:v>
                </c:pt>
                <c:pt idx="11">
                  <c:v>6.3</c:v>
                </c:pt>
                <c:pt idx="12">
                  <c:v>1</c:v>
                </c:pt>
                <c:pt idx="13">
                  <c:v>0.12</c:v>
                </c:pt>
                <c:pt idx="14">
                  <c:v>0.6</c:v>
                </c:pt>
                <c:pt idx="15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6-4ACD-8711-3BC83DC5C904}"/>
            </c:ext>
          </c:extLst>
        </c:ser>
        <c:ser>
          <c:idx val="3"/>
          <c:order val="1"/>
          <c:tx>
            <c:strRef>
              <c:f>Dashboard!$A$52</c:f>
              <c:strCache>
                <c:ptCount val="1"/>
                <c:pt idx="0">
                  <c:v>Neighborhood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0.5</c:v>
                </c:pt>
                <c:pt idx="5">
                  <c:v>0</c:v>
                </c:pt>
                <c:pt idx="6">
                  <c:v>0.75</c:v>
                </c:pt>
                <c:pt idx="7">
                  <c:v>1.1000000000000001</c:v>
                </c:pt>
                <c:pt idx="8">
                  <c:v>7.92</c:v>
                </c:pt>
                <c:pt idx="9">
                  <c:v>3</c:v>
                </c:pt>
                <c:pt idx="10">
                  <c:v>3</c:v>
                </c:pt>
                <c:pt idx="11">
                  <c:v>9.18</c:v>
                </c:pt>
                <c:pt idx="12">
                  <c:v>12.3</c:v>
                </c:pt>
                <c:pt idx="13">
                  <c:v>17.54</c:v>
                </c:pt>
                <c:pt idx="14">
                  <c:v>15.25</c:v>
                </c:pt>
                <c:pt idx="15">
                  <c:v>13.67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6-4ACD-8711-3BC83DC5C904}"/>
            </c:ext>
          </c:extLst>
        </c:ser>
        <c:ser>
          <c:idx val="2"/>
          <c:order val="2"/>
          <c:tx>
            <c:strRef>
              <c:f>Dashboard!$A$51</c:f>
              <c:strCache>
                <c:ptCount val="1"/>
                <c:pt idx="0">
                  <c:v>Bike Lane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[0]!R_Bike_Install_BL</c:f>
              <c:numCache>
                <c:formatCode>General</c:formatCode>
                <c:ptCount val="16"/>
                <c:pt idx="0">
                  <c:v>0</c:v>
                </c:pt>
                <c:pt idx="1">
                  <c:v>17</c:v>
                </c:pt>
                <c:pt idx="2">
                  <c:v>1.2</c:v>
                </c:pt>
                <c:pt idx="3">
                  <c:v>2.25</c:v>
                </c:pt>
                <c:pt idx="4">
                  <c:v>2.5</c:v>
                </c:pt>
                <c:pt idx="5">
                  <c:v>0.5</c:v>
                </c:pt>
                <c:pt idx="6">
                  <c:v>1.3</c:v>
                </c:pt>
                <c:pt idx="7">
                  <c:v>3.3</c:v>
                </c:pt>
                <c:pt idx="8">
                  <c:v>5.63</c:v>
                </c:pt>
                <c:pt idx="9">
                  <c:v>4.8</c:v>
                </c:pt>
                <c:pt idx="10">
                  <c:v>15.3</c:v>
                </c:pt>
                <c:pt idx="11">
                  <c:v>16.34</c:v>
                </c:pt>
                <c:pt idx="12">
                  <c:v>13.7</c:v>
                </c:pt>
                <c:pt idx="13">
                  <c:v>5.53</c:v>
                </c:pt>
                <c:pt idx="14">
                  <c:v>12.15</c:v>
                </c:pt>
                <c:pt idx="1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6-4ACD-8711-3BC83DC5C904}"/>
            </c:ext>
          </c:extLst>
        </c:ser>
        <c:ser>
          <c:idx val="1"/>
          <c:order val="3"/>
          <c:tx>
            <c:strRef>
              <c:f>Dashboard!$A$50</c:f>
              <c:strCache>
                <c:ptCount val="1"/>
                <c:pt idx="0">
                  <c:v>Buffered Bike Lane</c:v>
                </c:pt>
              </c:strCache>
            </c:strRef>
          </c:tx>
          <c:spPr>
            <a:pattFill prst="dkUpDiag">
              <a:fgClr>
                <a:schemeClr val="tx2"/>
              </a:fgClr>
              <a:bgClr>
                <a:schemeClr val="accent1"/>
              </a:bgClr>
            </a:patt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[0]!R_Bike_Install_BBL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17.649999999999999</c:v>
                </c:pt>
                <c:pt idx="3">
                  <c:v>15</c:v>
                </c:pt>
                <c:pt idx="4">
                  <c:v>33.25</c:v>
                </c:pt>
                <c:pt idx="5">
                  <c:v>20</c:v>
                </c:pt>
                <c:pt idx="6">
                  <c:v>1.8</c:v>
                </c:pt>
                <c:pt idx="7">
                  <c:v>8.9</c:v>
                </c:pt>
                <c:pt idx="8">
                  <c:v>10.82</c:v>
                </c:pt>
                <c:pt idx="9">
                  <c:v>2.2999999999999998</c:v>
                </c:pt>
                <c:pt idx="10">
                  <c:v>3</c:v>
                </c:pt>
                <c:pt idx="11">
                  <c:v>3.9099999999999997</c:v>
                </c:pt>
                <c:pt idx="12">
                  <c:v>3.08</c:v>
                </c:pt>
                <c:pt idx="13">
                  <c:v>0.15</c:v>
                </c:pt>
                <c:pt idx="14">
                  <c:v>2.4</c:v>
                </c:pt>
                <c:pt idx="1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6-4ACD-8711-3BC83DC5C904}"/>
            </c:ext>
          </c:extLst>
        </c:ser>
        <c:ser>
          <c:idx val="0"/>
          <c:order val="4"/>
          <c:tx>
            <c:strRef>
              <c:f>Dashboard!$A$49</c:f>
              <c:strCache>
                <c:ptCount val="1"/>
                <c:pt idx="0">
                  <c:v>Protected Bike Lane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9.25</c:v>
                </c:pt>
                <c:pt idx="3">
                  <c:v>4</c:v>
                </c:pt>
                <c:pt idx="4">
                  <c:v>3.25</c:v>
                </c:pt>
                <c:pt idx="5">
                  <c:v>3.35</c:v>
                </c:pt>
                <c:pt idx="6">
                  <c:v>1.2</c:v>
                </c:pt>
                <c:pt idx="7">
                  <c:v>1.2</c:v>
                </c:pt>
                <c:pt idx="8">
                  <c:v>1</c:v>
                </c:pt>
                <c:pt idx="9">
                  <c:v>0.76</c:v>
                </c:pt>
                <c:pt idx="10">
                  <c:v>2.4</c:v>
                </c:pt>
                <c:pt idx="11">
                  <c:v>8.5</c:v>
                </c:pt>
                <c:pt idx="12">
                  <c:v>2.36</c:v>
                </c:pt>
                <c:pt idx="13">
                  <c:v>9.49</c:v>
                </c:pt>
                <c:pt idx="14">
                  <c:v>11.7</c:v>
                </c:pt>
                <c:pt idx="15">
                  <c:v>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6-4ACD-8711-3BC83DC5C904}"/>
            </c:ext>
          </c:extLst>
        </c:ser>
        <c:ser>
          <c:idx val="5"/>
          <c:order val="5"/>
          <c:tx>
            <c:strRef>
              <c:f>Dashboard!$A$48</c:f>
              <c:strCache>
                <c:ptCount val="1"/>
                <c:pt idx="0">
                  <c:v>Concrete PBL Upgrade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[0]!R_Bike_Install_PBLC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</c:v>
                </c:pt>
                <c:pt idx="9">
                  <c:v>1.69</c:v>
                </c:pt>
                <c:pt idx="10">
                  <c:v>0</c:v>
                </c:pt>
                <c:pt idx="11">
                  <c:v>0</c:v>
                </c:pt>
                <c:pt idx="12">
                  <c:v>2.64</c:v>
                </c:pt>
                <c:pt idx="13">
                  <c:v>17.559999999999999</c:v>
                </c:pt>
                <c:pt idx="14">
                  <c:v>3.5</c:v>
                </c:pt>
                <c:pt idx="15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A-484B-A5F1-6EB7E071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11870367"/>
        <c:axId val="1211863167"/>
      </c:barChart>
      <c:catAx>
        <c:axId val="121187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63167"/>
        <c:crosses val="autoZero"/>
        <c:auto val="1"/>
        <c:lblAlgn val="ctr"/>
        <c:lblOffset val="100"/>
        <c:noMultiLvlLbl val="0"/>
      </c:catAx>
      <c:valAx>
        <c:axId val="12118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7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  <a:effectLst/>
                <a:latin typeface="+mn-lt"/>
                <a:ea typeface="+mn-ea"/>
                <a:cs typeface="+mn-cs"/>
              </a:rPr>
              <a:t>Chicago Bikeway Network Growth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rgbClr val="37373B">
                  <a:lumMod val="65000"/>
                  <a:lumOff val="35000"/>
                </a:srgb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Dashboard!$A$33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bg1">
                  <a:alpha val="97000"/>
                </a:schemeClr>
              </a:solidFill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[0]!R_Bike_Net_Other</c:f>
              <c:numCache>
                <c:formatCode>General</c:formatCode>
                <c:ptCount val="16"/>
                <c:pt idx="0">
                  <c:v>146</c:v>
                </c:pt>
                <c:pt idx="1">
                  <c:v>173</c:v>
                </c:pt>
                <c:pt idx="2">
                  <c:v>192.7</c:v>
                </c:pt>
                <c:pt idx="3">
                  <c:v>191</c:v>
                </c:pt>
                <c:pt idx="4">
                  <c:v>207.5</c:v>
                </c:pt>
                <c:pt idx="5">
                  <c:v>221.20000000000005</c:v>
                </c:pt>
                <c:pt idx="6">
                  <c:v>220.1</c:v>
                </c:pt>
                <c:pt idx="7">
                  <c:v>223.2</c:v>
                </c:pt>
                <c:pt idx="8">
                  <c:v>234.58850070639053</c:v>
                </c:pt>
                <c:pt idx="9">
                  <c:v>239.90000000000003</c:v>
                </c:pt>
                <c:pt idx="10">
                  <c:v>258.69999999999993</c:v>
                </c:pt>
                <c:pt idx="11">
                  <c:v>279.04410565225544</c:v>
                </c:pt>
                <c:pt idx="12">
                  <c:v>291.41000000000003</c:v>
                </c:pt>
                <c:pt idx="13">
                  <c:v>288.80000000000007</c:v>
                </c:pt>
                <c:pt idx="14">
                  <c:v>292.34999999999997</c:v>
                </c:pt>
                <c:pt idx="15">
                  <c:v>291.98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D-48DE-9AFA-DB84BD8D49B9}"/>
            </c:ext>
          </c:extLst>
        </c:ser>
        <c:ser>
          <c:idx val="1"/>
          <c:order val="1"/>
          <c:tx>
            <c:strRef>
              <c:f>Dashboard!$A$32</c:f>
              <c:strCache>
                <c:ptCount val="1"/>
                <c:pt idx="0">
                  <c:v>Low-Stress Bikeways</c:v>
                </c:pt>
              </c:strCache>
            </c:strRef>
          </c:tx>
          <c:spPr>
            <a:solidFill>
              <a:schemeClr val="accent4"/>
            </a:solidFill>
            <a:ln w="38100">
              <a:solidFill>
                <a:schemeClr val="bg1"/>
              </a:solidFill>
            </a:ln>
            <a:effectLst/>
          </c:spPr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[0]!R_Bike_Net_LS</c:f>
              <c:numCache>
                <c:formatCode>General</c:formatCode>
                <c:ptCount val="16"/>
                <c:pt idx="0">
                  <c:v>47.2</c:v>
                </c:pt>
                <c:pt idx="1">
                  <c:v>49.2</c:v>
                </c:pt>
                <c:pt idx="2">
                  <c:v>59.16</c:v>
                </c:pt>
                <c:pt idx="3">
                  <c:v>64.259999999999991</c:v>
                </c:pt>
                <c:pt idx="4">
                  <c:v>67.759999999999991</c:v>
                </c:pt>
                <c:pt idx="5">
                  <c:v>74.38</c:v>
                </c:pt>
                <c:pt idx="6">
                  <c:v>76.460000000000008</c:v>
                </c:pt>
                <c:pt idx="7">
                  <c:v>80.319999999999993</c:v>
                </c:pt>
                <c:pt idx="8">
                  <c:v>89.819334477253705</c:v>
                </c:pt>
                <c:pt idx="9">
                  <c:v>93.62</c:v>
                </c:pt>
                <c:pt idx="10">
                  <c:v>99.37</c:v>
                </c:pt>
                <c:pt idx="11">
                  <c:v>117.34121387483091</c:v>
                </c:pt>
                <c:pt idx="12">
                  <c:v>132</c:v>
                </c:pt>
                <c:pt idx="13">
                  <c:v>159.69999999999999</c:v>
                </c:pt>
                <c:pt idx="14">
                  <c:v>184.55</c:v>
                </c:pt>
                <c:pt idx="15">
                  <c:v>209.2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D-48DE-9AFA-DB84BD8D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474927"/>
        <c:axId val="1384463695"/>
      </c:areaChart>
      <c:catAx>
        <c:axId val="138447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63695"/>
        <c:crosses val="autoZero"/>
        <c:auto val="1"/>
        <c:lblAlgn val="ctr"/>
        <c:lblOffset val="100"/>
        <c:tickMarkSkip val="1"/>
        <c:noMultiLvlLbl val="0"/>
      </c:catAx>
      <c:valAx>
        <c:axId val="1384463695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Dashboard!$A$70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[0]!R_Bike_Install_Other</c:f>
              <c:numCache>
                <c:formatCode>General</c:formatCode>
                <c:ptCount val="16"/>
                <c:pt idx="0">
                  <c:v>0</c:v>
                </c:pt>
                <c:pt idx="1">
                  <c:v>27</c:v>
                </c:pt>
                <c:pt idx="2">
                  <c:v>19.699999999999996</c:v>
                </c:pt>
                <c:pt idx="3">
                  <c:v>17.25</c:v>
                </c:pt>
                <c:pt idx="4">
                  <c:v>35.75</c:v>
                </c:pt>
                <c:pt idx="5">
                  <c:v>22.1</c:v>
                </c:pt>
                <c:pt idx="6">
                  <c:v>3.1</c:v>
                </c:pt>
                <c:pt idx="7">
                  <c:v>15.899999999999999</c:v>
                </c:pt>
                <c:pt idx="8">
                  <c:v>18.509999999999998</c:v>
                </c:pt>
                <c:pt idx="9">
                  <c:v>7.6000000000000005</c:v>
                </c:pt>
                <c:pt idx="10">
                  <c:v>23.600000000000005</c:v>
                </c:pt>
                <c:pt idx="11">
                  <c:v>26.549999999999997</c:v>
                </c:pt>
                <c:pt idx="12">
                  <c:v>17.779999999999998</c:v>
                </c:pt>
                <c:pt idx="13">
                  <c:v>5.7999999999999972</c:v>
                </c:pt>
                <c:pt idx="14">
                  <c:v>15.150000000000002</c:v>
                </c:pt>
                <c:pt idx="15">
                  <c:v>3.8399999999999963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1-4624-A8C5-6E15FD388E9A}"/>
            </c:ext>
          </c:extLst>
        </c:ser>
        <c:ser>
          <c:idx val="0"/>
          <c:order val="1"/>
          <c:tx>
            <c:strRef>
              <c:f>Dashboard!$A$69</c:f>
              <c:strCache>
                <c:ptCount val="1"/>
                <c:pt idx="0">
                  <c:v>Low-Stress Bikeways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[0]!R_Bike_Install_LS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9.81</c:v>
                </c:pt>
                <c:pt idx="3">
                  <c:v>5</c:v>
                </c:pt>
                <c:pt idx="4">
                  <c:v>3.75</c:v>
                </c:pt>
                <c:pt idx="5">
                  <c:v>7.1200000000000028</c:v>
                </c:pt>
                <c:pt idx="6">
                  <c:v>2.23</c:v>
                </c:pt>
                <c:pt idx="7">
                  <c:v>5.109999999999995</c:v>
                </c:pt>
                <c:pt idx="8">
                  <c:v>11.58</c:v>
                </c:pt>
                <c:pt idx="9">
                  <c:v>5.45</c:v>
                </c:pt>
                <c:pt idx="10">
                  <c:v>5.75</c:v>
                </c:pt>
                <c:pt idx="11">
                  <c:v>17.68</c:v>
                </c:pt>
                <c:pt idx="12">
                  <c:v>17.3</c:v>
                </c:pt>
                <c:pt idx="13">
                  <c:v>44.62</c:v>
                </c:pt>
                <c:pt idx="14">
                  <c:v>30.45</c:v>
                </c:pt>
                <c:pt idx="15">
                  <c:v>26.060000000000002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1-4624-A8C5-6E15FD38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06823359"/>
        <c:axId val="1206825759"/>
      </c:barChart>
      <c:catAx>
        <c:axId val="12068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5759"/>
        <c:crosses val="autoZero"/>
        <c:auto val="1"/>
        <c:lblAlgn val="ctr"/>
        <c:lblOffset val="100"/>
        <c:noMultiLvlLbl val="0"/>
      </c:catAx>
      <c:valAx>
        <c:axId val="120682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</a:rPr>
              <a:t>Annual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Dashboard!$A$66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[0]!R_Bike_Install_Other</c:f>
              <c:numCache>
                <c:formatCode>General</c:formatCode>
                <c:ptCount val="16"/>
                <c:pt idx="0">
                  <c:v>0</c:v>
                </c:pt>
                <c:pt idx="1">
                  <c:v>27</c:v>
                </c:pt>
                <c:pt idx="2">
                  <c:v>19.699999999999996</c:v>
                </c:pt>
                <c:pt idx="3">
                  <c:v>17.25</c:v>
                </c:pt>
                <c:pt idx="4">
                  <c:v>35.75</c:v>
                </c:pt>
                <c:pt idx="5">
                  <c:v>22.1</c:v>
                </c:pt>
                <c:pt idx="6">
                  <c:v>3.1</c:v>
                </c:pt>
                <c:pt idx="7">
                  <c:v>15.899999999999999</c:v>
                </c:pt>
                <c:pt idx="8">
                  <c:v>18.509999999999998</c:v>
                </c:pt>
                <c:pt idx="9">
                  <c:v>7.6000000000000005</c:v>
                </c:pt>
                <c:pt idx="10">
                  <c:v>23.600000000000005</c:v>
                </c:pt>
                <c:pt idx="11">
                  <c:v>26.549999999999997</c:v>
                </c:pt>
                <c:pt idx="12">
                  <c:v>17.779999999999998</c:v>
                </c:pt>
                <c:pt idx="13">
                  <c:v>5.7999999999999972</c:v>
                </c:pt>
                <c:pt idx="14">
                  <c:v>15.150000000000002</c:v>
                </c:pt>
                <c:pt idx="15">
                  <c:v>3.8399999999999963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2-4F3A-B83E-530F6CC10AFF}"/>
            </c:ext>
          </c:extLst>
        </c:ser>
        <c:ser>
          <c:idx val="2"/>
          <c:order val="1"/>
          <c:tx>
            <c:strRef>
              <c:f>Dashboard!$A$65</c:f>
              <c:strCache>
                <c:ptCount val="1"/>
                <c:pt idx="0">
                  <c:v>Off-Street Trails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[0]!R_Bike_Install_Off_T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0.56000000000000005</c:v>
                </c:pt>
                <c:pt idx="3">
                  <c:v>0</c:v>
                </c:pt>
                <c:pt idx="4">
                  <c:v>0</c:v>
                </c:pt>
                <c:pt idx="5">
                  <c:v>3.7700000000000031</c:v>
                </c:pt>
                <c:pt idx="6">
                  <c:v>0.28000000000000003</c:v>
                </c:pt>
                <c:pt idx="7">
                  <c:v>2.8099999999999952</c:v>
                </c:pt>
                <c:pt idx="8">
                  <c:v>0.3</c:v>
                </c:pt>
                <c:pt idx="9">
                  <c:v>0</c:v>
                </c:pt>
                <c:pt idx="10">
                  <c:v>0.35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2-4F3A-B83E-530F6CC10AFF}"/>
            </c:ext>
          </c:extLst>
        </c:ser>
        <c:ser>
          <c:idx val="1"/>
          <c:order val="2"/>
          <c:tx>
            <c:strRef>
              <c:f>Dashboard!$A$64</c:f>
              <c:strCache>
                <c:ptCount val="1"/>
                <c:pt idx="0">
                  <c:v>Neighborhood Greenways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0.5</c:v>
                </c:pt>
                <c:pt idx="5">
                  <c:v>0</c:v>
                </c:pt>
                <c:pt idx="6">
                  <c:v>0.75</c:v>
                </c:pt>
                <c:pt idx="7">
                  <c:v>1.1000000000000001</c:v>
                </c:pt>
                <c:pt idx="8">
                  <c:v>7.92</c:v>
                </c:pt>
                <c:pt idx="9">
                  <c:v>3</c:v>
                </c:pt>
                <c:pt idx="10">
                  <c:v>3</c:v>
                </c:pt>
                <c:pt idx="11">
                  <c:v>9.18</c:v>
                </c:pt>
                <c:pt idx="12">
                  <c:v>12.3</c:v>
                </c:pt>
                <c:pt idx="13">
                  <c:v>17.54</c:v>
                </c:pt>
                <c:pt idx="14">
                  <c:v>15.25</c:v>
                </c:pt>
                <c:pt idx="15">
                  <c:v>13.67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2-4F3A-B83E-530F6CC10AFF}"/>
            </c:ext>
          </c:extLst>
        </c:ser>
        <c:ser>
          <c:idx val="0"/>
          <c:order val="3"/>
          <c:tx>
            <c:strRef>
              <c:f>Dashboard!$A$63</c:f>
              <c:strCache>
                <c:ptCount val="1"/>
                <c:pt idx="0">
                  <c:v>Protected Bike Lanes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[0]!R_Bike_Install_PBLA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9.25</c:v>
                </c:pt>
                <c:pt idx="3">
                  <c:v>4</c:v>
                </c:pt>
                <c:pt idx="4">
                  <c:v>3.25</c:v>
                </c:pt>
                <c:pt idx="5">
                  <c:v>3.35</c:v>
                </c:pt>
                <c:pt idx="6">
                  <c:v>1.2</c:v>
                </c:pt>
                <c:pt idx="7">
                  <c:v>1.2</c:v>
                </c:pt>
                <c:pt idx="8">
                  <c:v>3.36</c:v>
                </c:pt>
                <c:pt idx="9">
                  <c:v>2.4500000000000002</c:v>
                </c:pt>
                <c:pt idx="10">
                  <c:v>2.4</c:v>
                </c:pt>
                <c:pt idx="11">
                  <c:v>8.5</c:v>
                </c:pt>
                <c:pt idx="12">
                  <c:v>5</c:v>
                </c:pt>
                <c:pt idx="13">
                  <c:v>27.049999999999997</c:v>
                </c:pt>
                <c:pt idx="14">
                  <c:v>15.2</c:v>
                </c:pt>
                <c:pt idx="15">
                  <c:v>12.39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42-4F3A-B83E-530F6CC10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8690544"/>
        <c:axId val="1418691504"/>
      </c:barChart>
      <c:catAx>
        <c:axId val="14186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91504"/>
        <c:crosses val="autoZero"/>
        <c:auto val="1"/>
        <c:lblAlgn val="ctr"/>
        <c:lblOffset val="100"/>
        <c:noMultiLvlLbl val="0"/>
      </c:catAx>
      <c:valAx>
        <c:axId val="14186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9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37373B">
                    <a:lumMod val="65000"/>
                    <a:lumOff val="35000"/>
                  </a:srgbClr>
                </a:solidFill>
              </a:rPr>
              <a:t>Annual On-Street Bikeways Installs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Dashboard!$A$53</c:f>
              <c:strCache>
                <c:ptCount val="1"/>
                <c:pt idx="0">
                  <c:v>Shared Lane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[0]!R_Bike_Install_SL</c:f>
              <c:numCache>
                <c:formatCode>General</c:formatCode>
                <c:ptCount val="16"/>
                <c:pt idx="0">
                  <c:v>0</c:v>
                </c:pt>
                <c:pt idx="1">
                  <c:v>9</c:v>
                </c:pt>
                <c:pt idx="2">
                  <c:v>0.85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0</c:v>
                </c:pt>
                <c:pt idx="7">
                  <c:v>3.7</c:v>
                </c:pt>
                <c:pt idx="8">
                  <c:v>2.06</c:v>
                </c:pt>
                <c:pt idx="9">
                  <c:v>0.5</c:v>
                </c:pt>
                <c:pt idx="10">
                  <c:v>5.3</c:v>
                </c:pt>
                <c:pt idx="11">
                  <c:v>6.3</c:v>
                </c:pt>
                <c:pt idx="12">
                  <c:v>1</c:v>
                </c:pt>
                <c:pt idx="13">
                  <c:v>0.12</c:v>
                </c:pt>
                <c:pt idx="14">
                  <c:v>0.6</c:v>
                </c:pt>
                <c:pt idx="15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7-44AD-BCA4-822A2FFCB31F}"/>
            </c:ext>
          </c:extLst>
        </c:ser>
        <c:ser>
          <c:idx val="3"/>
          <c:order val="1"/>
          <c:tx>
            <c:strRef>
              <c:f>Dashboard!$A$52</c:f>
              <c:strCache>
                <c:ptCount val="1"/>
                <c:pt idx="0">
                  <c:v>Neighborhood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[0]!R_Bike_Install_NG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0.5</c:v>
                </c:pt>
                <c:pt idx="5">
                  <c:v>0</c:v>
                </c:pt>
                <c:pt idx="6">
                  <c:v>0.75</c:v>
                </c:pt>
                <c:pt idx="7">
                  <c:v>1.1000000000000001</c:v>
                </c:pt>
                <c:pt idx="8">
                  <c:v>7.92</c:v>
                </c:pt>
                <c:pt idx="9">
                  <c:v>3</c:v>
                </c:pt>
                <c:pt idx="10">
                  <c:v>3</c:v>
                </c:pt>
                <c:pt idx="11">
                  <c:v>9.18</c:v>
                </c:pt>
                <c:pt idx="12">
                  <c:v>12.3</c:v>
                </c:pt>
                <c:pt idx="13">
                  <c:v>17.54</c:v>
                </c:pt>
                <c:pt idx="14">
                  <c:v>15.25</c:v>
                </c:pt>
                <c:pt idx="15">
                  <c:v>13.67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7-44AD-BCA4-822A2FFCB31F}"/>
            </c:ext>
          </c:extLst>
        </c:ser>
        <c:ser>
          <c:idx val="2"/>
          <c:order val="2"/>
          <c:tx>
            <c:strRef>
              <c:f>Dashboard!$A$51</c:f>
              <c:strCache>
                <c:ptCount val="1"/>
                <c:pt idx="0">
                  <c:v>Bike Lane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[0]!R_Bike_Install_BL</c:f>
              <c:numCache>
                <c:formatCode>General</c:formatCode>
                <c:ptCount val="16"/>
                <c:pt idx="0">
                  <c:v>0</c:v>
                </c:pt>
                <c:pt idx="1">
                  <c:v>17</c:v>
                </c:pt>
                <c:pt idx="2">
                  <c:v>1.2</c:v>
                </c:pt>
                <c:pt idx="3">
                  <c:v>2.25</c:v>
                </c:pt>
                <c:pt idx="4">
                  <c:v>2.5</c:v>
                </c:pt>
                <c:pt idx="5">
                  <c:v>0.5</c:v>
                </c:pt>
                <c:pt idx="6">
                  <c:v>1.3</c:v>
                </c:pt>
                <c:pt idx="7">
                  <c:v>3.3</c:v>
                </c:pt>
                <c:pt idx="8">
                  <c:v>5.63</c:v>
                </c:pt>
                <c:pt idx="9">
                  <c:v>4.8</c:v>
                </c:pt>
                <c:pt idx="10">
                  <c:v>15.3</c:v>
                </c:pt>
                <c:pt idx="11">
                  <c:v>16.34</c:v>
                </c:pt>
                <c:pt idx="12">
                  <c:v>13.7</c:v>
                </c:pt>
                <c:pt idx="13">
                  <c:v>5.53</c:v>
                </c:pt>
                <c:pt idx="14">
                  <c:v>12.15</c:v>
                </c:pt>
                <c:pt idx="1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07-44AD-BCA4-822A2FFCB31F}"/>
            </c:ext>
          </c:extLst>
        </c:ser>
        <c:ser>
          <c:idx val="1"/>
          <c:order val="3"/>
          <c:tx>
            <c:strRef>
              <c:f>Dashboard!$A$50</c:f>
              <c:strCache>
                <c:ptCount val="1"/>
                <c:pt idx="0">
                  <c:v>Buffered Bike Lane</c:v>
                </c:pt>
              </c:strCache>
            </c:strRef>
          </c:tx>
          <c:spPr>
            <a:pattFill prst="dkUpDiag">
              <a:fgClr>
                <a:schemeClr val="tx2"/>
              </a:fgClr>
              <a:bgClr>
                <a:schemeClr val="accent1"/>
              </a:bgClr>
            </a:patt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[0]!R_Bike_Install_BBL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17.649999999999999</c:v>
                </c:pt>
                <c:pt idx="3">
                  <c:v>15</c:v>
                </c:pt>
                <c:pt idx="4">
                  <c:v>33.25</c:v>
                </c:pt>
                <c:pt idx="5">
                  <c:v>20</c:v>
                </c:pt>
                <c:pt idx="6">
                  <c:v>1.8</c:v>
                </c:pt>
                <c:pt idx="7">
                  <c:v>8.9</c:v>
                </c:pt>
                <c:pt idx="8">
                  <c:v>10.82</c:v>
                </c:pt>
                <c:pt idx="9">
                  <c:v>2.2999999999999998</c:v>
                </c:pt>
                <c:pt idx="10">
                  <c:v>3</c:v>
                </c:pt>
                <c:pt idx="11">
                  <c:v>3.9099999999999997</c:v>
                </c:pt>
                <c:pt idx="12">
                  <c:v>3.08</c:v>
                </c:pt>
                <c:pt idx="13">
                  <c:v>0.15</c:v>
                </c:pt>
                <c:pt idx="14">
                  <c:v>2.4</c:v>
                </c:pt>
                <c:pt idx="1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07-44AD-BCA4-822A2FFCB31F}"/>
            </c:ext>
          </c:extLst>
        </c:ser>
        <c:ser>
          <c:idx val="0"/>
          <c:order val="4"/>
          <c:tx>
            <c:strRef>
              <c:f>Dashboard!$A$49</c:f>
              <c:strCache>
                <c:ptCount val="1"/>
                <c:pt idx="0">
                  <c:v>Protected Bike Lane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9.25</c:v>
                </c:pt>
                <c:pt idx="3">
                  <c:v>4</c:v>
                </c:pt>
                <c:pt idx="4">
                  <c:v>3.25</c:v>
                </c:pt>
                <c:pt idx="5">
                  <c:v>3.35</c:v>
                </c:pt>
                <c:pt idx="6">
                  <c:v>1.2</c:v>
                </c:pt>
                <c:pt idx="7">
                  <c:v>1.2</c:v>
                </c:pt>
                <c:pt idx="8">
                  <c:v>1</c:v>
                </c:pt>
                <c:pt idx="9">
                  <c:v>0.76</c:v>
                </c:pt>
                <c:pt idx="10">
                  <c:v>2.4</c:v>
                </c:pt>
                <c:pt idx="11">
                  <c:v>8.5</c:v>
                </c:pt>
                <c:pt idx="12">
                  <c:v>2.36</c:v>
                </c:pt>
                <c:pt idx="13">
                  <c:v>9.49</c:v>
                </c:pt>
                <c:pt idx="14">
                  <c:v>11.7</c:v>
                </c:pt>
                <c:pt idx="15">
                  <c:v>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07-44AD-BCA4-822A2FFCB31F}"/>
            </c:ext>
          </c:extLst>
        </c:ser>
        <c:ser>
          <c:idx val="5"/>
          <c:order val="5"/>
          <c:tx>
            <c:strRef>
              <c:f>Dashboard!$A$48</c:f>
              <c:strCache>
                <c:ptCount val="1"/>
                <c:pt idx="0">
                  <c:v>Concrete PBL Upgrade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[0]!R_Date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[0]!R_Bike_Install_PBLC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2.36</c:v>
                </c:pt>
                <c:pt idx="9">
                  <c:v>1.69</c:v>
                </c:pt>
                <c:pt idx="10">
                  <c:v>0</c:v>
                </c:pt>
                <c:pt idx="11">
                  <c:v>0</c:v>
                </c:pt>
                <c:pt idx="12">
                  <c:v>2.64</c:v>
                </c:pt>
                <c:pt idx="13">
                  <c:v>17.559999999999999</c:v>
                </c:pt>
                <c:pt idx="14">
                  <c:v>3.5</c:v>
                </c:pt>
                <c:pt idx="15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07-44AD-BCA4-822A2FFCB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11870367"/>
        <c:axId val="1211863167"/>
      </c:barChart>
      <c:catAx>
        <c:axId val="121187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63167"/>
        <c:crosses val="autoZero"/>
        <c:auto val="1"/>
        <c:lblAlgn val="ctr"/>
        <c:lblOffset val="100"/>
        <c:noMultiLvlLbl val="0"/>
      </c:catAx>
      <c:valAx>
        <c:axId val="12118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7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9</xdr:row>
      <xdr:rowOff>0</xdr:rowOff>
    </xdr:from>
    <xdr:to>
      <xdr:col>64</xdr:col>
      <xdr:colOff>0</xdr:colOff>
      <xdr:row>33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73E462D-F97A-4FB2-989B-10F6851B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593911</xdr:colOff>
      <xdr:row>9</xdr:row>
      <xdr:rowOff>0</xdr:rowOff>
    </xdr:from>
    <xdr:to>
      <xdr:col>50</xdr:col>
      <xdr:colOff>593911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71B57-80C8-9696-33EE-BD3319794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38</xdr:col>
      <xdr:colOff>0</xdr:colOff>
      <xdr:row>70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D86736-5F2C-25BC-DDFB-92FA55F15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46</xdr:row>
      <xdr:rowOff>0</xdr:rowOff>
    </xdr:from>
    <xdr:to>
      <xdr:col>51</xdr:col>
      <xdr:colOff>0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88BE37-6A5D-7CB9-281A-F33208CF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46</xdr:row>
      <xdr:rowOff>0</xdr:rowOff>
    </xdr:from>
    <xdr:to>
      <xdr:col>64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934D0F-6E92-E533-E0CB-4B79C4926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9</xdr:row>
      <xdr:rowOff>0</xdr:rowOff>
    </xdr:from>
    <xdr:to>
      <xdr:col>38</xdr:col>
      <xdr:colOff>0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AD475E-1E6E-481D-BCFF-35EC9036D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74</xdr:row>
      <xdr:rowOff>0</xdr:rowOff>
    </xdr:from>
    <xdr:to>
      <xdr:col>38</xdr:col>
      <xdr:colOff>0</xdr:colOff>
      <xdr:row>98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43C8D-C285-4631-A82F-D5B2D4189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74</xdr:row>
      <xdr:rowOff>0</xdr:rowOff>
    </xdr:from>
    <xdr:to>
      <xdr:col>51</xdr:col>
      <xdr:colOff>0</xdr:colOff>
      <xdr:row>98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2E73FA-0D39-4CDB-94EC-B20748542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52</xdr:col>
      <xdr:colOff>0</xdr:colOff>
      <xdr:row>74</xdr:row>
      <xdr:rowOff>0</xdr:rowOff>
    </xdr:from>
    <xdr:to>
      <xdr:col>64</xdr:col>
      <xdr:colOff>0</xdr:colOff>
      <xdr:row>98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109FB9-BDFC-4C34-AE15-7563784BD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0.36365</cdr:x>
      <cdr:y>0.51716</cdr:y>
    </cdr:from>
    <cdr:to>
      <cdr:x>0.63321</cdr:x>
      <cdr:y>0.59325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E5597A-EDB2-6E74-D94A-97799CE3FEE2}"/>
            </a:ext>
          </a:extLst>
        </cdr:cNvPr>
        <cdr:cNvSpPr txBox="1"/>
      </cdr:nvSpPr>
      <cdr:spPr>
        <a:xfrm xmlns:a="http://schemas.openxmlformats.org/drawingml/2006/main">
          <a:off x="2591695" y="2364442"/>
          <a:ext cx="1921138" cy="347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600" b="1">
              <a:solidFill>
                <a:schemeClr val="bg1"/>
              </a:solidFill>
            </a:rPr>
            <a:t>Low-Stress</a:t>
          </a:r>
          <a:r>
            <a:rPr lang="en-US" sz="1600" b="1" baseline="0">
              <a:solidFill>
                <a:schemeClr val="bg1"/>
              </a:solidFill>
            </a:rPr>
            <a:t> Bikeways</a:t>
          </a:r>
          <a:endParaRPr lang="en-US" sz="1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0.36563</cdr:x>
      <cdr:y>0.66375</cdr:y>
    </cdr:from>
    <cdr:to>
      <cdr:x>0.63519</cdr:x>
      <cdr:y>0.73984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269F29E-9718-2256-4819-EAFA81D12F8B}"/>
            </a:ext>
          </a:extLst>
        </cdr:cNvPr>
        <cdr:cNvSpPr txBox="1"/>
      </cdr:nvSpPr>
      <cdr:spPr>
        <a:xfrm xmlns:a="http://schemas.openxmlformats.org/drawingml/2006/main">
          <a:off x="2605806" y="3034684"/>
          <a:ext cx="1921138" cy="3478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bg1"/>
              </a:solidFill>
            </a:rPr>
            <a:t>Other</a:t>
          </a:r>
          <a:r>
            <a:rPr lang="en-US" sz="1600" b="1" baseline="0">
              <a:solidFill>
                <a:schemeClr val="bg1"/>
              </a:solidFill>
            </a:rPr>
            <a:t> Bikeways</a:t>
          </a:r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B6FDA-A87A-4CE5-A399-308D7DFBADF6}" name="T_CA" displayName="T_CA" ref="A1:H78" totalsRowShown="0">
  <autoFilter ref="A1:H78" xr:uid="{7ECB6FDA-A87A-4CE5-A399-308D7DFBADF6}"/>
  <sortState xmlns:xlrd2="http://schemas.microsoft.com/office/spreadsheetml/2017/richdata2" ref="A2:H78">
    <sortCondition ref="D1:D78"/>
  </sortState>
  <tableColumns count="8">
    <tableColumn id="1" xr3:uid="{95E24DA3-EC72-4743-8403-775719177616}" name="AREA_NUMBER" dataDxfId="24"/>
    <tableColumn id="2" xr3:uid="{7515902D-01A8-420E-BE2A-B37410CCF824}" name="AREA_NAME"/>
    <tableColumn id="3" xr3:uid="{32B69653-DF6A-4A46-BFAB-FC8FCE669D76}" name="COM_GROUP" dataDxfId="23"/>
    <tableColumn id="4" xr3:uid="{FC53301C-613E-4F2D-812F-BCBD4D619AD7}" name="PLAN_DIST" dataDxfId="22"/>
    <tableColumn id="5" xr3:uid="{7DCC3FD1-D127-484F-9223-101D4F9B23C6}" name="PLAN_REGIO"/>
    <tableColumn id="6" xr3:uid="{40D2BF82-7C31-428F-8B39-11725A1D0370}" name="Mob_Index" dataDxfId="21"/>
    <tableColumn id="7" xr3:uid="{D6D85732-3959-478E-A91C-67C342112240}" name="EcoH_Index" dataDxfId="20"/>
    <tableColumn id="8" xr3:uid="{9AD450C7-6291-4DC3-B586-058B7A8F9CB8}" name="MobEco_Ind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DOT_Colors">
      <a:dk1>
        <a:srgbClr val="37373B"/>
      </a:dk1>
      <a:lt1>
        <a:sysClr val="window" lastClr="FFFFFF"/>
      </a:lt1>
      <a:dk2>
        <a:srgbClr val="014965"/>
      </a:dk2>
      <a:lt2>
        <a:srgbClr val="F1F2F4"/>
      </a:lt2>
      <a:accent1>
        <a:srgbClr val="00A4E4"/>
      </a:accent1>
      <a:accent2>
        <a:srgbClr val="E82125"/>
      </a:accent2>
      <a:accent3>
        <a:srgbClr val="FCBD25"/>
      </a:accent3>
      <a:accent4>
        <a:srgbClr val="8CC63F"/>
      </a:accent4>
      <a:accent5>
        <a:srgbClr val="EF6922"/>
      </a:accent5>
      <a:accent6>
        <a:srgbClr val="0BAFA1"/>
      </a:accent6>
      <a:hlink>
        <a:srgbClr val="00A4E4"/>
      </a:hlink>
      <a:folHlink>
        <a:srgbClr val="01496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dot.illinois.gov/transportation-system/network-overview/highway-system/reports/illinois-travel-statistic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F269"/>
  <sheetViews>
    <sheetView showGridLines="0" tabSelected="1" zoomScale="70" zoomScaleNormal="70" workbookViewId="0">
      <pane xSplit="1" ySplit="8" topLeftCell="Y9" activePane="bottomRight" state="frozen"/>
      <selection pane="topRight" activeCell="B1" sqref="B1"/>
      <selection pane="bottomLeft" activeCell="A9" sqref="A9"/>
      <selection pane="bottomRight" activeCell="H22" sqref="H22"/>
    </sheetView>
  </sheetViews>
  <sheetFormatPr defaultColWidth="8.88671875" defaultRowHeight="14.4" x14ac:dyDescent="0.3"/>
  <cols>
    <col min="1" max="1" width="34.33203125" customWidth="1"/>
    <col min="2" max="24" width="17.109375" customWidth="1"/>
    <col min="25" max="25" width="2.88671875" customWidth="1"/>
    <col min="26" max="26" width="21.33203125" bestFit="1" customWidth="1"/>
  </cols>
  <sheetData>
    <row r="1" spans="1:27" ht="18" x14ac:dyDescent="0.35">
      <c r="A1" s="6" t="s">
        <v>0</v>
      </c>
    </row>
    <row r="2" spans="1:27" x14ac:dyDescent="0.3">
      <c r="A2" t="s">
        <v>1</v>
      </c>
      <c r="Q2" s="232"/>
      <c r="AA2" s="198"/>
    </row>
    <row r="5" spans="1:27" x14ac:dyDescent="0.3">
      <c r="A5" s="194">
        <v>2010</v>
      </c>
      <c r="B5" t="s">
        <v>2</v>
      </c>
      <c r="AA5" t="s">
        <v>3</v>
      </c>
    </row>
    <row r="6" spans="1:27" ht="16.2" x14ac:dyDescent="0.45">
      <c r="A6" s="194">
        <v>2025</v>
      </c>
      <c r="B6" t="s">
        <v>4</v>
      </c>
      <c r="C6" s="243" t="s">
        <v>5</v>
      </c>
      <c r="D6" s="244"/>
      <c r="E6" s="244"/>
      <c r="F6" s="245"/>
      <c r="G6" s="243" t="s">
        <v>6</v>
      </c>
      <c r="H6" s="244"/>
      <c r="I6" s="244"/>
      <c r="J6" s="245"/>
      <c r="K6" s="243" t="s">
        <v>7</v>
      </c>
      <c r="L6" s="244"/>
      <c r="M6" s="244"/>
      <c r="N6" s="245"/>
      <c r="O6" s="243" t="s">
        <v>8</v>
      </c>
      <c r="P6" s="244"/>
      <c r="Q6" s="244"/>
      <c r="R6" s="245"/>
      <c r="S6" s="243"/>
      <c r="T6" s="244"/>
      <c r="U6" s="244"/>
      <c r="V6" s="245"/>
      <c r="AA6" t="s">
        <v>9</v>
      </c>
    </row>
    <row r="7" spans="1:27" x14ac:dyDescent="0.3">
      <c r="B7" s="5"/>
      <c r="C7" s="91"/>
      <c r="D7" s="5"/>
      <c r="E7" s="5"/>
      <c r="F7" s="92"/>
      <c r="G7" s="91"/>
      <c r="H7" s="5"/>
      <c r="J7" s="97"/>
      <c r="K7" s="82"/>
      <c r="N7" s="97"/>
      <c r="O7" s="82"/>
      <c r="R7" s="97"/>
      <c r="S7" s="82"/>
      <c r="V7" s="97"/>
    </row>
    <row r="8" spans="1:27" ht="16.2" x14ac:dyDescent="0.45">
      <c r="A8" s="2" t="s">
        <v>10</v>
      </c>
      <c r="B8" s="8">
        <v>2010</v>
      </c>
      <c r="C8" s="137">
        <v>2011</v>
      </c>
      <c r="D8" s="8">
        <v>2012</v>
      </c>
      <c r="E8" s="8">
        <v>2013</v>
      </c>
      <c r="F8" s="138">
        <v>2014</v>
      </c>
      <c r="G8" s="137">
        <v>2015</v>
      </c>
      <c r="H8" s="8">
        <v>2016</v>
      </c>
      <c r="I8" s="8">
        <v>2017</v>
      </c>
      <c r="J8" s="138">
        <v>2018</v>
      </c>
      <c r="K8" s="137">
        <v>2019</v>
      </c>
      <c r="L8" s="8">
        <v>2020</v>
      </c>
      <c r="M8" s="8">
        <v>2021</v>
      </c>
      <c r="N8" s="138">
        <v>2022</v>
      </c>
      <c r="O8" s="137">
        <v>2023</v>
      </c>
      <c r="P8" s="8">
        <v>2024</v>
      </c>
      <c r="Q8" s="8">
        <v>2025</v>
      </c>
      <c r="R8" s="138"/>
      <c r="S8" s="137" t="s">
        <v>1955</v>
      </c>
      <c r="T8" s="8"/>
      <c r="U8" s="8"/>
      <c r="V8" s="138"/>
      <c r="W8" s="8"/>
      <c r="X8" s="8"/>
    </row>
    <row r="9" spans="1:27" x14ac:dyDescent="0.3">
      <c r="A9" s="143" t="s">
        <v>11</v>
      </c>
      <c r="B9" s="144"/>
      <c r="C9" s="146"/>
      <c r="D9" s="144"/>
      <c r="E9" s="144"/>
      <c r="F9" s="147"/>
      <c r="G9" s="146"/>
      <c r="H9" s="144"/>
      <c r="I9" s="144"/>
      <c r="J9" s="147"/>
      <c r="K9" s="146"/>
      <c r="L9" s="144"/>
      <c r="M9" s="144"/>
      <c r="N9" s="147"/>
      <c r="O9" s="146"/>
      <c r="P9" s="144"/>
      <c r="Q9" s="144"/>
      <c r="R9" s="147"/>
      <c r="S9" s="146"/>
      <c r="T9" s="144"/>
      <c r="U9" s="144"/>
      <c r="V9" s="147"/>
      <c r="W9" s="144"/>
      <c r="X9" s="144"/>
    </row>
    <row r="10" spans="1:27" x14ac:dyDescent="0.3">
      <c r="A10" s="145" t="s">
        <v>12</v>
      </c>
      <c r="B10" s="139"/>
      <c r="C10" s="148"/>
      <c r="D10" s="139"/>
      <c r="E10" s="139"/>
      <c r="F10" s="149"/>
      <c r="G10" s="148"/>
      <c r="H10" s="139"/>
      <c r="I10" s="139"/>
      <c r="J10" s="149"/>
      <c r="K10" s="148"/>
      <c r="L10" s="139"/>
      <c r="M10" s="139"/>
      <c r="N10" s="149"/>
      <c r="O10" s="148"/>
      <c r="P10" s="139"/>
      <c r="Q10" s="139"/>
      <c r="R10" s="149"/>
      <c r="S10" s="148"/>
      <c r="T10" s="139"/>
      <c r="U10" s="139"/>
      <c r="V10" s="149"/>
      <c r="W10" s="139"/>
      <c r="X10" s="139"/>
      <c r="Z10" s="2" t="s">
        <v>13</v>
      </c>
    </row>
    <row r="11" spans="1:27" ht="15" customHeight="1" x14ac:dyDescent="0.3">
      <c r="A11" s="207" t="s">
        <v>14</v>
      </c>
      <c r="B11" s="155"/>
      <c r="C11" s="159">
        <v>2</v>
      </c>
      <c r="D11" s="155">
        <v>11.4</v>
      </c>
      <c r="E11" s="155">
        <v>15.5</v>
      </c>
      <c r="F11" s="160">
        <v>18.5</v>
      </c>
      <c r="G11" s="159">
        <v>21.35</v>
      </c>
      <c r="H11" s="155">
        <v>22.55</v>
      </c>
      <c r="I11" s="155">
        <v>22.5</v>
      </c>
      <c r="J11" s="160">
        <v>23.450679652365004</v>
      </c>
      <c r="K11" s="159">
        <v>24.3</v>
      </c>
      <c r="L11" s="155">
        <v>26.7</v>
      </c>
      <c r="M11" s="155">
        <v>35.220584989233799</v>
      </c>
      <c r="N11" s="160">
        <v>37.56</v>
      </c>
      <c r="O11" s="159">
        <v>47.2</v>
      </c>
      <c r="P11" s="155">
        <v>57.3</v>
      </c>
      <c r="Q11" s="155">
        <v>68.7</v>
      </c>
      <c r="R11" s="160"/>
      <c r="S11" s="159">
        <f>Q11-I11</f>
        <v>46.2</v>
      </c>
      <c r="T11" s="155"/>
      <c r="U11" s="155"/>
      <c r="V11" s="160"/>
      <c r="W11" s="155"/>
      <c r="X11" s="155"/>
    </row>
    <row r="12" spans="1:27" ht="15" customHeight="1" x14ac:dyDescent="0.3">
      <c r="A12" s="207" t="s">
        <v>15</v>
      </c>
      <c r="B12" s="155"/>
      <c r="C12" s="159">
        <v>1</v>
      </c>
      <c r="D12" s="155">
        <v>18.649999999999999</v>
      </c>
      <c r="E12" s="155">
        <v>33.5</v>
      </c>
      <c r="F12" s="160">
        <v>67</v>
      </c>
      <c r="G12" s="159">
        <v>87</v>
      </c>
      <c r="H12" s="155">
        <v>88.8</v>
      </c>
      <c r="I12" s="155">
        <v>95.1</v>
      </c>
      <c r="J12" s="160">
        <v>105.885433742641</v>
      </c>
      <c r="K12" s="159">
        <v>107.5</v>
      </c>
      <c r="L12" s="155">
        <v>110.5</v>
      </c>
      <c r="M12" s="155">
        <v>113.96737106439124</v>
      </c>
      <c r="N12" s="160">
        <v>115.57</v>
      </c>
      <c r="O12" s="159">
        <v>110.1</v>
      </c>
      <c r="P12" s="155">
        <v>107.8</v>
      </c>
      <c r="Q12" s="155">
        <v>106.5</v>
      </c>
      <c r="R12" s="160"/>
      <c r="S12" s="159">
        <f t="shared" ref="S12:S15" si="0">Q12-I12</f>
        <v>11.400000000000006</v>
      </c>
      <c r="T12" s="155"/>
      <c r="U12" s="155"/>
      <c r="V12" s="160"/>
      <c r="W12" s="155"/>
      <c r="X12" s="155"/>
    </row>
    <row r="13" spans="1:27" ht="15" customHeight="1" x14ac:dyDescent="0.3">
      <c r="A13" s="207" t="s">
        <v>16</v>
      </c>
      <c r="B13" s="155">
        <v>116</v>
      </c>
      <c r="C13" s="159">
        <v>133</v>
      </c>
      <c r="D13" s="155">
        <v>134.19999999999999</v>
      </c>
      <c r="E13" s="155">
        <v>117.5</v>
      </c>
      <c r="F13" s="160">
        <v>99</v>
      </c>
      <c r="G13" s="159">
        <v>88.5</v>
      </c>
      <c r="H13" s="155">
        <v>85.6</v>
      </c>
      <c r="I13" s="155">
        <v>82.7</v>
      </c>
      <c r="J13" s="160">
        <v>83.228265631937759</v>
      </c>
      <c r="K13" s="159">
        <v>88</v>
      </c>
      <c r="L13" s="155">
        <v>103.3</v>
      </c>
      <c r="M13" s="155">
        <v>113.05000987613971</v>
      </c>
      <c r="N13" s="160">
        <v>126.1</v>
      </c>
      <c r="O13" s="159">
        <v>130.4</v>
      </c>
      <c r="P13" s="155">
        <v>136.94999999999999</v>
      </c>
      <c r="Q13" s="155">
        <v>138.5</v>
      </c>
      <c r="R13" s="160"/>
      <c r="S13" s="159">
        <f t="shared" si="0"/>
        <v>55.8</v>
      </c>
      <c r="T13" s="155"/>
      <c r="U13" s="155"/>
      <c r="V13" s="160"/>
      <c r="W13" s="155"/>
      <c r="X13" s="155"/>
    </row>
    <row r="14" spans="1:27" ht="15" customHeight="1" x14ac:dyDescent="0.3">
      <c r="A14" s="207" t="s">
        <v>17</v>
      </c>
      <c r="B14" s="155"/>
      <c r="C14" s="159"/>
      <c r="D14" s="155"/>
      <c r="E14" s="155">
        <v>1</v>
      </c>
      <c r="F14" s="160">
        <v>1.5</v>
      </c>
      <c r="G14" s="159">
        <v>1.5</v>
      </c>
      <c r="H14" s="155">
        <v>2.1</v>
      </c>
      <c r="I14" s="155">
        <v>3.2</v>
      </c>
      <c r="J14" s="160">
        <v>11.448654824888697</v>
      </c>
      <c r="K14" s="159">
        <v>14.4</v>
      </c>
      <c r="L14" s="155">
        <v>17.399999999999999</v>
      </c>
      <c r="M14" s="155">
        <v>26.8506288855971</v>
      </c>
      <c r="N14" s="160">
        <v>39.17</v>
      </c>
      <c r="O14" s="159">
        <v>57.2</v>
      </c>
      <c r="P14" s="155">
        <v>71.95</v>
      </c>
      <c r="Q14" s="155">
        <v>85.2</v>
      </c>
      <c r="R14" s="160"/>
      <c r="S14" s="159">
        <f t="shared" si="0"/>
        <v>82</v>
      </c>
      <c r="T14" s="155"/>
      <c r="U14" s="155"/>
      <c r="V14" s="160"/>
      <c r="W14" s="155"/>
      <c r="X14" s="155"/>
      <c r="Z14" s="11"/>
    </row>
    <row r="15" spans="1:27" ht="15" customHeight="1" x14ac:dyDescent="0.3">
      <c r="A15" s="207" t="s">
        <v>18</v>
      </c>
      <c r="B15" s="155">
        <v>30</v>
      </c>
      <c r="C15" s="159">
        <v>39</v>
      </c>
      <c r="D15" s="155">
        <v>39.85</v>
      </c>
      <c r="E15" s="155">
        <v>40</v>
      </c>
      <c r="F15" s="160">
        <v>41.5</v>
      </c>
      <c r="G15" s="159">
        <v>45.7</v>
      </c>
      <c r="H15" s="155">
        <v>45.7</v>
      </c>
      <c r="I15" s="155">
        <v>45.4</v>
      </c>
      <c r="J15" s="160">
        <v>45.474801331811747</v>
      </c>
      <c r="K15" s="159">
        <v>44.4</v>
      </c>
      <c r="L15" s="155">
        <v>44.9</v>
      </c>
      <c r="M15" s="155">
        <v>52.026724711724498</v>
      </c>
      <c r="N15" s="160">
        <v>49.74</v>
      </c>
      <c r="O15" s="159">
        <v>48.3</v>
      </c>
      <c r="P15" s="155">
        <v>47.6</v>
      </c>
      <c r="Q15" s="155">
        <v>46.98</v>
      </c>
      <c r="R15" s="160"/>
      <c r="S15" s="159">
        <f t="shared" si="0"/>
        <v>1.5799999999999983</v>
      </c>
      <c r="T15" s="155"/>
      <c r="U15" s="155"/>
      <c r="V15" s="160"/>
      <c r="W15" s="155"/>
      <c r="X15" s="155"/>
      <c r="Z15" s="80"/>
    </row>
    <row r="16" spans="1:27" ht="15" customHeight="1" x14ac:dyDescent="0.3">
      <c r="A16" s="141" t="s">
        <v>19</v>
      </c>
      <c r="B16" s="156">
        <f>IF(ISBLANK(B$8),"",SUM(B11:B15))</f>
        <v>146</v>
      </c>
      <c r="C16" s="161">
        <f t="shared" ref="C16:T16" si="1">IF(ISBLANK(C$8),"",SUM(C11:C15))</f>
        <v>175</v>
      </c>
      <c r="D16" s="156">
        <f t="shared" si="1"/>
        <v>204.1</v>
      </c>
      <c r="E16" s="156">
        <f t="shared" si="1"/>
        <v>207.5</v>
      </c>
      <c r="F16" s="162">
        <f t="shared" si="1"/>
        <v>227.5</v>
      </c>
      <c r="G16" s="161">
        <f t="shared" si="1"/>
        <v>244.05</v>
      </c>
      <c r="H16" s="156">
        <f t="shared" si="1"/>
        <v>244.75</v>
      </c>
      <c r="I16" s="156">
        <f t="shared" si="1"/>
        <v>248.9</v>
      </c>
      <c r="J16" s="162">
        <f t="shared" si="1"/>
        <v>269.48783518364422</v>
      </c>
      <c r="K16" s="161">
        <f t="shared" si="1"/>
        <v>278.60000000000002</v>
      </c>
      <c r="L16" s="156">
        <f t="shared" si="1"/>
        <v>302.79999999999995</v>
      </c>
      <c r="M16" s="156">
        <f t="shared" si="1"/>
        <v>341.11531952708634</v>
      </c>
      <c r="N16" s="162">
        <f t="shared" si="1"/>
        <v>368.14000000000004</v>
      </c>
      <c r="O16" s="161">
        <f t="shared" si="1"/>
        <v>393.20000000000005</v>
      </c>
      <c r="P16" s="156">
        <f t="shared" si="1"/>
        <v>421.59999999999997</v>
      </c>
      <c r="Q16" s="156">
        <f>IF(ISBLANK(Q$8),"",SUM(Q11:Q15))</f>
        <v>445.88</v>
      </c>
      <c r="R16" s="162" t="str">
        <f t="shared" si="1"/>
        <v/>
      </c>
      <c r="S16" s="161">
        <f t="shared" si="1"/>
        <v>196.98000000000002</v>
      </c>
      <c r="T16" s="156" t="str">
        <f t="shared" si="1"/>
        <v/>
      </c>
      <c r="U16" s="156" t="str">
        <f t="shared" ref="U16:V16" si="2">IF(ISBLANK(U$8),"",SUM(U11:U15))</f>
        <v/>
      </c>
      <c r="V16" s="162" t="str">
        <f t="shared" si="2"/>
        <v/>
      </c>
      <c r="W16" s="156" t="str">
        <f t="shared" ref="W16:X16" si="3">IF(ISBLANK(W$8),"",SUM(W11:W15))</f>
        <v/>
      </c>
      <c r="X16" s="156" t="str">
        <f t="shared" si="3"/>
        <v/>
      </c>
      <c r="Z16" s="11"/>
    </row>
    <row r="17" spans="1:32" ht="15" customHeight="1" x14ac:dyDescent="0.3">
      <c r="C17" s="82"/>
      <c r="F17" s="97"/>
      <c r="G17" s="82"/>
      <c r="J17" s="97"/>
      <c r="K17" s="82"/>
      <c r="N17" s="97"/>
      <c r="O17" s="82"/>
      <c r="R17" s="97"/>
      <c r="S17" s="82"/>
      <c r="V17" s="97"/>
      <c r="Z17" s="80"/>
    </row>
    <row r="18" spans="1:32" ht="15" customHeight="1" x14ac:dyDescent="0.3">
      <c r="A18" s="207" t="s">
        <v>20</v>
      </c>
      <c r="B18" s="155"/>
      <c r="C18" s="159"/>
      <c r="D18" s="155"/>
      <c r="E18" s="155"/>
      <c r="F18" s="160"/>
      <c r="G18" s="159"/>
      <c r="H18" s="155"/>
      <c r="I18" s="155"/>
      <c r="J18" s="160"/>
      <c r="K18" s="159"/>
      <c r="L18" s="155"/>
      <c r="M18" s="155"/>
      <c r="N18" s="160"/>
      <c r="O18" s="159"/>
      <c r="P18" s="155">
        <v>5.8</v>
      </c>
      <c r="Q18" s="155">
        <v>5.8</v>
      </c>
      <c r="R18" s="160"/>
      <c r="S18" s="159">
        <f t="shared" ref="S18:S19" si="4">Q18-I18</f>
        <v>5.8</v>
      </c>
      <c r="T18" s="155"/>
      <c r="U18" s="155"/>
      <c r="V18" s="160"/>
      <c r="W18" s="155"/>
      <c r="X18" s="155"/>
    </row>
    <row r="19" spans="1:32" ht="15" customHeight="1" x14ac:dyDescent="0.3">
      <c r="A19" s="208" t="s">
        <v>21</v>
      </c>
      <c r="B19" s="174">
        <v>47.2</v>
      </c>
      <c r="C19" s="159">
        <v>47.2</v>
      </c>
      <c r="D19" s="155">
        <v>47.76</v>
      </c>
      <c r="E19" s="155">
        <v>47.76</v>
      </c>
      <c r="F19" s="160">
        <v>47.76</v>
      </c>
      <c r="G19" s="159">
        <v>51.53</v>
      </c>
      <c r="H19" s="155">
        <v>51.81</v>
      </c>
      <c r="I19" s="155">
        <v>54.62</v>
      </c>
      <c r="J19" s="160">
        <v>54.92</v>
      </c>
      <c r="K19" s="159">
        <v>54.92</v>
      </c>
      <c r="L19" s="155">
        <v>55.27</v>
      </c>
      <c r="M19" s="155">
        <v>55.27</v>
      </c>
      <c r="N19" s="160">
        <v>55.27</v>
      </c>
      <c r="O19" s="159">
        <v>55.3</v>
      </c>
      <c r="P19" s="155">
        <v>49.5</v>
      </c>
      <c r="Q19" s="155">
        <v>49.5</v>
      </c>
      <c r="R19" s="160"/>
      <c r="S19" s="159">
        <f t="shared" si="4"/>
        <v>-5.1199999999999974</v>
      </c>
      <c r="T19" s="155"/>
      <c r="U19" s="155"/>
      <c r="V19" s="160"/>
      <c r="W19" s="155"/>
      <c r="X19" s="155"/>
    </row>
    <row r="20" spans="1:32" ht="15" customHeight="1" x14ac:dyDescent="0.3">
      <c r="A20" s="141" t="s">
        <v>22</v>
      </c>
      <c r="B20" s="156">
        <f>IF(ISBLANK(B$8),"",SUM(B18:B19))</f>
        <v>47.2</v>
      </c>
      <c r="C20" s="161">
        <f t="shared" ref="C20:T20" si="5">IF(ISBLANK(C$8),"",SUM(C18:C19))</f>
        <v>47.2</v>
      </c>
      <c r="D20" s="156">
        <f t="shared" si="5"/>
        <v>47.76</v>
      </c>
      <c r="E20" s="156">
        <f t="shared" si="5"/>
        <v>47.76</v>
      </c>
      <c r="F20" s="162">
        <f t="shared" si="5"/>
        <v>47.76</v>
      </c>
      <c r="G20" s="161">
        <f t="shared" si="5"/>
        <v>51.53</v>
      </c>
      <c r="H20" s="156">
        <f t="shared" si="5"/>
        <v>51.81</v>
      </c>
      <c r="I20" s="156">
        <f t="shared" si="5"/>
        <v>54.62</v>
      </c>
      <c r="J20" s="162">
        <f t="shared" si="5"/>
        <v>54.92</v>
      </c>
      <c r="K20" s="161">
        <f t="shared" si="5"/>
        <v>54.92</v>
      </c>
      <c r="L20" s="156">
        <f t="shared" si="5"/>
        <v>55.27</v>
      </c>
      <c r="M20" s="156">
        <f t="shared" si="5"/>
        <v>55.27</v>
      </c>
      <c r="N20" s="162">
        <f t="shared" si="5"/>
        <v>55.27</v>
      </c>
      <c r="O20" s="161">
        <f t="shared" si="5"/>
        <v>55.3</v>
      </c>
      <c r="P20" s="156">
        <f t="shared" si="5"/>
        <v>55.3</v>
      </c>
      <c r="Q20" s="156">
        <f t="shared" si="5"/>
        <v>55.3</v>
      </c>
      <c r="R20" s="162" t="str">
        <f t="shared" si="5"/>
        <v/>
      </c>
      <c r="S20" s="161">
        <f t="shared" si="5"/>
        <v>0.68000000000000238</v>
      </c>
      <c r="T20" s="156" t="str">
        <f t="shared" si="5"/>
        <v/>
      </c>
      <c r="U20" s="156" t="str">
        <f t="shared" ref="U20:V20" si="6">IF(ISBLANK(U$8),"",SUM(U18:U19))</f>
        <v/>
      </c>
      <c r="V20" s="162" t="str">
        <f t="shared" si="6"/>
        <v/>
      </c>
      <c r="W20" s="156" t="str">
        <f t="shared" ref="W20:X20" si="7">IF(ISBLANK(W$8),"",SUM(W18:W19))</f>
        <v/>
      </c>
      <c r="X20" s="156" t="str">
        <f t="shared" si="7"/>
        <v/>
      </c>
      <c r="Z20" s="11"/>
    </row>
    <row r="21" spans="1:32" ht="15" customHeight="1" x14ac:dyDescent="0.3">
      <c r="C21" s="82"/>
      <c r="D21" s="4"/>
      <c r="F21" s="97"/>
      <c r="G21" s="82"/>
      <c r="H21" s="4"/>
      <c r="J21" s="97"/>
      <c r="K21" s="82"/>
      <c r="L21" s="4"/>
      <c r="N21" s="97"/>
      <c r="O21" s="82"/>
      <c r="P21" s="4"/>
      <c r="R21" s="97"/>
      <c r="S21" s="82"/>
      <c r="T21" s="4"/>
      <c r="V21" s="97"/>
    </row>
    <row r="22" spans="1:32" ht="15" customHeight="1" x14ac:dyDescent="0.3">
      <c r="A22" s="142" t="s">
        <v>23</v>
      </c>
      <c r="B22" s="164">
        <f>IF(ISBLANK(B$8),"",SUM(B16,B20))</f>
        <v>193.2</v>
      </c>
      <c r="C22" s="165">
        <f t="shared" ref="C22:T22" si="8">IF(ISBLANK(C$8),"",SUM(C16,C20))</f>
        <v>222.2</v>
      </c>
      <c r="D22" s="164">
        <f t="shared" si="8"/>
        <v>251.85999999999999</v>
      </c>
      <c r="E22" s="164">
        <f t="shared" si="8"/>
        <v>255.26</v>
      </c>
      <c r="F22" s="166">
        <f t="shared" si="8"/>
        <v>275.26</v>
      </c>
      <c r="G22" s="165">
        <f t="shared" si="8"/>
        <v>295.58000000000004</v>
      </c>
      <c r="H22" s="164">
        <f t="shared" si="8"/>
        <v>296.56</v>
      </c>
      <c r="I22" s="164">
        <f t="shared" si="8"/>
        <v>303.52</v>
      </c>
      <c r="J22" s="166">
        <f t="shared" si="8"/>
        <v>324.40783518364424</v>
      </c>
      <c r="K22" s="165">
        <f t="shared" si="8"/>
        <v>333.52000000000004</v>
      </c>
      <c r="L22" s="164">
        <f t="shared" si="8"/>
        <v>358.06999999999994</v>
      </c>
      <c r="M22" s="164">
        <f t="shared" si="8"/>
        <v>396.38531952708632</v>
      </c>
      <c r="N22" s="166">
        <f t="shared" si="8"/>
        <v>423.41</v>
      </c>
      <c r="O22" s="165">
        <f t="shared" si="8"/>
        <v>448.50000000000006</v>
      </c>
      <c r="P22" s="164">
        <f t="shared" si="8"/>
        <v>476.9</v>
      </c>
      <c r="Q22" s="164">
        <f t="shared" si="8"/>
        <v>501.18</v>
      </c>
      <c r="R22" s="166" t="str">
        <f t="shared" si="8"/>
        <v/>
      </c>
      <c r="S22" s="165">
        <f t="shared" si="8"/>
        <v>197.66000000000003</v>
      </c>
      <c r="T22" s="164" t="str">
        <f t="shared" si="8"/>
        <v/>
      </c>
      <c r="U22" s="164" t="str">
        <f t="shared" ref="U22:V22" si="9">IF(ISBLANK(U$8),"",SUM(U16,U20))</f>
        <v/>
      </c>
      <c r="V22" s="166" t="str">
        <f t="shared" si="9"/>
        <v/>
      </c>
      <c r="W22" s="164" t="str">
        <f t="shared" ref="W22:X22" si="10">IF(ISBLANK(W$8),"",SUM(W16,W20))</f>
        <v/>
      </c>
      <c r="X22" s="164" t="str">
        <f t="shared" si="10"/>
        <v/>
      </c>
    </row>
    <row r="23" spans="1:32" ht="15" customHeight="1" x14ac:dyDescent="0.3">
      <c r="C23" s="82"/>
      <c r="D23" s="4"/>
      <c r="F23" s="97"/>
      <c r="G23" s="82"/>
      <c r="H23" s="4"/>
      <c r="J23" s="97"/>
      <c r="K23" s="82"/>
      <c r="L23" s="4"/>
      <c r="N23" s="97"/>
      <c r="O23" s="82"/>
      <c r="P23" s="4"/>
      <c r="R23" s="97"/>
      <c r="S23" s="195"/>
      <c r="T23" s="4"/>
      <c r="V23" s="97"/>
    </row>
    <row r="24" spans="1:32" x14ac:dyDescent="0.3">
      <c r="A24" t="s">
        <v>24</v>
      </c>
      <c r="B24" s="59"/>
      <c r="C24" s="95">
        <f>IF(ISBLANK(C$8),"",C22-B22)</f>
        <v>29</v>
      </c>
      <c r="D24" s="61">
        <f t="shared" ref="D24:V24" si="11">IF(ISBLANK(D$8),"",D22-C22)</f>
        <v>29.659999999999997</v>
      </c>
      <c r="E24" s="61">
        <f t="shared" si="11"/>
        <v>3.4000000000000057</v>
      </c>
      <c r="F24" s="96">
        <f t="shared" si="11"/>
        <v>20</v>
      </c>
      <c r="G24" s="95">
        <f t="shared" si="11"/>
        <v>20.32000000000005</v>
      </c>
      <c r="H24" s="61">
        <f t="shared" si="11"/>
        <v>0.97999999999996135</v>
      </c>
      <c r="I24" s="61">
        <f t="shared" si="11"/>
        <v>6.9599999999999795</v>
      </c>
      <c r="J24" s="96">
        <f t="shared" si="11"/>
        <v>20.887835183644256</v>
      </c>
      <c r="K24" s="95">
        <f t="shared" si="11"/>
        <v>9.1121648163558007</v>
      </c>
      <c r="L24" s="61">
        <f t="shared" si="11"/>
        <v>24.549999999999898</v>
      </c>
      <c r="M24" s="61">
        <f t="shared" si="11"/>
        <v>38.315319527086388</v>
      </c>
      <c r="N24" s="96">
        <f t="shared" si="11"/>
        <v>27.024680472913701</v>
      </c>
      <c r="O24" s="95">
        <f t="shared" si="11"/>
        <v>25.090000000000032</v>
      </c>
      <c r="P24" s="61">
        <f t="shared" si="11"/>
        <v>28.39999999999992</v>
      </c>
      <c r="Q24" s="61">
        <f t="shared" si="11"/>
        <v>24.28000000000003</v>
      </c>
      <c r="R24" s="96" t="str">
        <f t="shared" si="11"/>
        <v/>
      </c>
      <c r="S24" s="95" t="e">
        <f t="shared" si="11"/>
        <v>#VALUE!</v>
      </c>
      <c r="T24" s="61" t="str">
        <f t="shared" si="11"/>
        <v/>
      </c>
      <c r="U24" s="61" t="str">
        <f t="shared" si="11"/>
        <v/>
      </c>
      <c r="V24" s="96" t="str">
        <f t="shared" si="11"/>
        <v/>
      </c>
      <c r="W24" s="61" t="str">
        <f t="shared" ref="W24" si="12">IF(ISBLANK(W$8),"",W22-V22)</f>
        <v/>
      </c>
      <c r="X24" s="61" t="str">
        <f t="shared" ref="X24" si="13">IF(ISBLANK(X$8),"",X22-W22)</f>
        <v/>
      </c>
    </row>
    <row r="25" spans="1:32" ht="15" customHeight="1" x14ac:dyDescent="0.3">
      <c r="C25" s="82"/>
      <c r="D25" s="4"/>
      <c r="F25" s="97"/>
      <c r="G25" s="82"/>
      <c r="H25" s="4"/>
      <c r="J25" s="97"/>
      <c r="K25" s="82"/>
      <c r="L25" s="4"/>
      <c r="N25" s="97"/>
      <c r="O25" s="82"/>
      <c r="P25" s="4"/>
      <c r="R25" s="97"/>
      <c r="S25" s="82"/>
      <c r="T25" s="4"/>
      <c r="V25" s="97"/>
    </row>
    <row r="26" spans="1:32" ht="15" customHeight="1" x14ac:dyDescent="0.3">
      <c r="A26" s="207" t="s">
        <v>25</v>
      </c>
      <c r="B26" s="170">
        <f>IF(ISBLANK(B$8),"",B11)</f>
        <v>0</v>
      </c>
      <c r="C26" s="171">
        <f t="shared" ref="C26:T26" si="14">IF(ISBLANK(C$8),"",C11)</f>
        <v>2</v>
      </c>
      <c r="D26" s="172">
        <f t="shared" si="14"/>
        <v>11.4</v>
      </c>
      <c r="E26" s="172">
        <f t="shared" si="14"/>
        <v>15.5</v>
      </c>
      <c r="F26" s="173">
        <f t="shared" si="14"/>
        <v>18.5</v>
      </c>
      <c r="G26" s="171">
        <f t="shared" si="14"/>
        <v>21.35</v>
      </c>
      <c r="H26" s="172">
        <f t="shared" si="14"/>
        <v>22.55</v>
      </c>
      <c r="I26" s="172">
        <f t="shared" si="14"/>
        <v>22.5</v>
      </c>
      <c r="J26" s="173">
        <f t="shared" si="14"/>
        <v>23.450679652365004</v>
      </c>
      <c r="K26" s="171">
        <f t="shared" si="14"/>
        <v>24.3</v>
      </c>
      <c r="L26" s="172">
        <f t="shared" si="14"/>
        <v>26.7</v>
      </c>
      <c r="M26" s="172">
        <f t="shared" si="14"/>
        <v>35.220584989233799</v>
      </c>
      <c r="N26" s="173">
        <f t="shared" si="14"/>
        <v>37.56</v>
      </c>
      <c r="O26" s="171">
        <f t="shared" si="14"/>
        <v>47.2</v>
      </c>
      <c r="P26" s="172">
        <f t="shared" si="14"/>
        <v>57.3</v>
      </c>
      <c r="Q26" s="172">
        <f t="shared" si="14"/>
        <v>68.7</v>
      </c>
      <c r="R26" s="173" t="str">
        <f t="shared" si="14"/>
        <v/>
      </c>
      <c r="S26" s="171">
        <f t="shared" si="14"/>
        <v>46.2</v>
      </c>
      <c r="T26" s="172" t="str">
        <f t="shared" si="14"/>
        <v/>
      </c>
      <c r="U26" s="172" t="str">
        <f t="shared" ref="U26:V26" si="15">IF(ISBLANK(U$8),"",U11)</f>
        <v/>
      </c>
      <c r="V26" s="173" t="str">
        <f t="shared" si="15"/>
        <v/>
      </c>
      <c r="W26" s="172" t="str">
        <f t="shared" ref="W26:X26" si="16">IF(ISBLANK(W$8),"",W11)</f>
        <v/>
      </c>
      <c r="X26" s="172" t="str">
        <f t="shared" si="16"/>
        <v/>
      </c>
      <c r="AF26" s="11"/>
    </row>
    <row r="27" spans="1:32" ht="15" customHeight="1" x14ac:dyDescent="0.3">
      <c r="A27" s="207" t="s">
        <v>26</v>
      </c>
      <c r="B27" s="170">
        <f>IF(ISBLANK(B$8),"",B14)</f>
        <v>0</v>
      </c>
      <c r="C27" s="171">
        <f t="shared" ref="C27:T27" si="17">IF(ISBLANK(C$8),"",C14)</f>
        <v>0</v>
      </c>
      <c r="D27" s="172">
        <f t="shared" si="17"/>
        <v>0</v>
      </c>
      <c r="E27" s="172">
        <f t="shared" si="17"/>
        <v>1</v>
      </c>
      <c r="F27" s="173">
        <f t="shared" si="17"/>
        <v>1.5</v>
      </c>
      <c r="G27" s="171">
        <f t="shared" si="17"/>
        <v>1.5</v>
      </c>
      <c r="H27" s="172">
        <f t="shared" si="17"/>
        <v>2.1</v>
      </c>
      <c r="I27" s="172">
        <f t="shared" si="17"/>
        <v>3.2</v>
      </c>
      <c r="J27" s="173">
        <f t="shared" si="17"/>
        <v>11.448654824888697</v>
      </c>
      <c r="K27" s="171">
        <f t="shared" si="17"/>
        <v>14.4</v>
      </c>
      <c r="L27" s="172">
        <f t="shared" si="17"/>
        <v>17.399999999999999</v>
      </c>
      <c r="M27" s="172">
        <f t="shared" si="17"/>
        <v>26.8506288855971</v>
      </c>
      <c r="N27" s="173">
        <f t="shared" si="17"/>
        <v>39.17</v>
      </c>
      <c r="O27" s="171">
        <f t="shared" si="17"/>
        <v>57.2</v>
      </c>
      <c r="P27" s="172">
        <f t="shared" si="17"/>
        <v>71.95</v>
      </c>
      <c r="Q27" s="172">
        <f t="shared" si="17"/>
        <v>85.2</v>
      </c>
      <c r="R27" s="173" t="str">
        <f t="shared" si="17"/>
        <v/>
      </c>
      <c r="S27" s="171">
        <f t="shared" si="17"/>
        <v>82</v>
      </c>
      <c r="T27" s="172" t="str">
        <f t="shared" si="17"/>
        <v/>
      </c>
      <c r="U27" s="172" t="str">
        <f t="shared" ref="U27:V27" si="18">IF(ISBLANK(U$8),"",U14)</f>
        <v/>
      </c>
      <c r="V27" s="173" t="str">
        <f t="shared" si="18"/>
        <v/>
      </c>
      <c r="W27" s="172" t="str">
        <f t="shared" ref="W27:X27" si="19">IF(ISBLANK(W$8),"",W14)</f>
        <v/>
      </c>
      <c r="X27" s="172" t="str">
        <f t="shared" si="19"/>
        <v/>
      </c>
      <c r="AF27" s="11"/>
    </row>
    <row r="28" spans="1:32" ht="15" customHeight="1" x14ac:dyDescent="0.3">
      <c r="A28" s="207" t="s">
        <v>27</v>
      </c>
      <c r="B28" s="170">
        <f>IF(ISBLANK(B$8),"",B20)</f>
        <v>47.2</v>
      </c>
      <c r="C28" s="171">
        <f t="shared" ref="C28:T28" si="20">IF(ISBLANK(C$8),"",C20)</f>
        <v>47.2</v>
      </c>
      <c r="D28" s="172">
        <f t="shared" si="20"/>
        <v>47.76</v>
      </c>
      <c r="E28" s="172">
        <f t="shared" si="20"/>
        <v>47.76</v>
      </c>
      <c r="F28" s="173">
        <f t="shared" si="20"/>
        <v>47.76</v>
      </c>
      <c r="G28" s="171">
        <f t="shared" si="20"/>
        <v>51.53</v>
      </c>
      <c r="H28" s="172">
        <f t="shared" si="20"/>
        <v>51.81</v>
      </c>
      <c r="I28" s="172">
        <f t="shared" si="20"/>
        <v>54.62</v>
      </c>
      <c r="J28" s="173">
        <f t="shared" si="20"/>
        <v>54.92</v>
      </c>
      <c r="K28" s="171">
        <f t="shared" si="20"/>
        <v>54.92</v>
      </c>
      <c r="L28" s="172">
        <f t="shared" si="20"/>
        <v>55.27</v>
      </c>
      <c r="M28" s="172">
        <f t="shared" si="20"/>
        <v>55.27</v>
      </c>
      <c r="N28" s="173">
        <f t="shared" si="20"/>
        <v>55.27</v>
      </c>
      <c r="O28" s="171">
        <f t="shared" si="20"/>
        <v>55.3</v>
      </c>
      <c r="P28" s="172">
        <f t="shared" si="20"/>
        <v>55.3</v>
      </c>
      <c r="Q28" s="172">
        <f t="shared" si="20"/>
        <v>55.3</v>
      </c>
      <c r="R28" s="173" t="str">
        <f t="shared" si="20"/>
        <v/>
      </c>
      <c r="S28" s="171">
        <f t="shared" si="20"/>
        <v>0.68000000000000238</v>
      </c>
      <c r="T28" s="172" t="str">
        <f t="shared" si="20"/>
        <v/>
      </c>
      <c r="U28" s="172" t="str">
        <f t="shared" ref="U28:V28" si="21">IF(ISBLANK(U$8),"",U20)</f>
        <v/>
      </c>
      <c r="V28" s="173" t="str">
        <f t="shared" si="21"/>
        <v/>
      </c>
      <c r="W28" s="172" t="str">
        <f t="shared" ref="W28:X28" si="22">IF(ISBLANK(W$8),"",W20)</f>
        <v/>
      </c>
      <c r="X28" s="172" t="str">
        <f t="shared" si="22"/>
        <v/>
      </c>
      <c r="AF28" s="11"/>
    </row>
    <row r="29" spans="1:32" ht="15" customHeight="1" x14ac:dyDescent="0.3">
      <c r="A29" s="207" t="s">
        <v>28</v>
      </c>
      <c r="B29" s="170">
        <f>IF(ISBLANK(B$8),"",B22-SUM(B26:B28))</f>
        <v>146</v>
      </c>
      <c r="C29" s="171">
        <f t="shared" ref="C29:T29" si="23">IF(ISBLANK(C$8),"",C22-SUM(C26:C28))</f>
        <v>173</v>
      </c>
      <c r="D29" s="172">
        <f t="shared" si="23"/>
        <v>192.7</v>
      </c>
      <c r="E29" s="172">
        <f t="shared" si="23"/>
        <v>191</v>
      </c>
      <c r="F29" s="173">
        <f t="shared" si="23"/>
        <v>207.5</v>
      </c>
      <c r="G29" s="171">
        <f t="shared" si="23"/>
        <v>221.20000000000005</v>
      </c>
      <c r="H29" s="172">
        <f t="shared" si="23"/>
        <v>220.1</v>
      </c>
      <c r="I29" s="172">
        <f t="shared" si="23"/>
        <v>223.2</v>
      </c>
      <c r="J29" s="173">
        <f t="shared" si="23"/>
        <v>234.58850070639053</v>
      </c>
      <c r="K29" s="171">
        <f t="shared" si="23"/>
        <v>239.90000000000003</v>
      </c>
      <c r="L29" s="172">
        <f t="shared" si="23"/>
        <v>258.69999999999993</v>
      </c>
      <c r="M29" s="172">
        <f t="shared" si="23"/>
        <v>279.04410565225544</v>
      </c>
      <c r="N29" s="173">
        <f t="shared" si="23"/>
        <v>291.41000000000003</v>
      </c>
      <c r="O29" s="171">
        <f t="shared" si="23"/>
        <v>288.80000000000007</v>
      </c>
      <c r="P29" s="172">
        <f t="shared" si="23"/>
        <v>292.34999999999997</v>
      </c>
      <c r="Q29" s="172">
        <f t="shared" si="23"/>
        <v>291.98</v>
      </c>
      <c r="R29" s="173" t="str">
        <f t="shared" si="23"/>
        <v/>
      </c>
      <c r="S29" s="171">
        <f t="shared" si="23"/>
        <v>68.78000000000003</v>
      </c>
      <c r="T29" s="172" t="str">
        <f t="shared" si="23"/>
        <v/>
      </c>
      <c r="U29" s="172" t="str">
        <f t="shared" ref="U29:V29" si="24">IF(ISBLANK(U$8),"",U22-SUM(U26:U28))</f>
        <v/>
      </c>
      <c r="V29" s="173" t="str">
        <f t="shared" si="24"/>
        <v/>
      </c>
      <c r="W29" s="172" t="str">
        <f t="shared" ref="W29:X29" si="25">IF(ISBLANK(W$8),"",W22-SUM(W26:W28))</f>
        <v/>
      </c>
      <c r="X29" s="172" t="str">
        <f t="shared" si="25"/>
        <v/>
      </c>
      <c r="AF29" s="11"/>
    </row>
    <row r="30" spans="1:32" ht="15" customHeight="1" x14ac:dyDescent="0.3">
      <c r="C30" s="82"/>
      <c r="F30" s="97"/>
      <c r="G30" s="82"/>
      <c r="J30" s="97"/>
      <c r="K30" s="82"/>
      <c r="N30" s="97"/>
      <c r="O30" s="82"/>
      <c r="R30" s="97"/>
      <c r="S30" s="82"/>
      <c r="V30" s="97"/>
      <c r="AF30" s="11"/>
    </row>
    <row r="31" spans="1:32" ht="15" customHeight="1" x14ac:dyDescent="0.3">
      <c r="C31" s="82"/>
      <c r="F31" s="97"/>
      <c r="G31" s="82"/>
      <c r="J31" s="97"/>
      <c r="K31" s="82"/>
      <c r="N31" s="97"/>
      <c r="O31" s="82"/>
      <c r="R31" s="97"/>
      <c r="S31" s="82"/>
      <c r="V31" s="97"/>
      <c r="AF31" s="11"/>
    </row>
    <row r="32" spans="1:32" ht="15" customHeight="1" x14ac:dyDescent="0.3">
      <c r="A32" s="207" t="s">
        <v>29</v>
      </c>
      <c r="B32" s="170">
        <f>IF(ISBLANK(B$8),"",SUM(B26:B28))</f>
        <v>47.2</v>
      </c>
      <c r="C32" s="171">
        <f t="shared" ref="C32:T32" si="26">IF(ISBLANK(C$8),"",SUM(C26:C28))</f>
        <v>49.2</v>
      </c>
      <c r="D32" s="172">
        <f t="shared" si="26"/>
        <v>59.16</v>
      </c>
      <c r="E32" s="172">
        <f t="shared" si="26"/>
        <v>64.259999999999991</v>
      </c>
      <c r="F32" s="173">
        <f t="shared" si="26"/>
        <v>67.759999999999991</v>
      </c>
      <c r="G32" s="171">
        <f t="shared" si="26"/>
        <v>74.38</v>
      </c>
      <c r="H32" s="172">
        <f t="shared" si="26"/>
        <v>76.460000000000008</v>
      </c>
      <c r="I32" s="172">
        <f t="shared" si="26"/>
        <v>80.319999999999993</v>
      </c>
      <c r="J32" s="173">
        <f t="shared" si="26"/>
        <v>89.819334477253705</v>
      </c>
      <c r="K32" s="171">
        <f t="shared" si="26"/>
        <v>93.62</v>
      </c>
      <c r="L32" s="172">
        <f t="shared" si="26"/>
        <v>99.37</v>
      </c>
      <c r="M32" s="172">
        <f t="shared" si="26"/>
        <v>117.34121387483091</v>
      </c>
      <c r="N32" s="173">
        <f t="shared" si="26"/>
        <v>132</v>
      </c>
      <c r="O32" s="171">
        <f t="shared" si="26"/>
        <v>159.69999999999999</v>
      </c>
      <c r="P32" s="172">
        <f t="shared" si="26"/>
        <v>184.55</v>
      </c>
      <c r="Q32" s="172">
        <f>IF(ISBLANK(Q$8),"",SUM(Q26:Q28))</f>
        <v>209.2</v>
      </c>
      <c r="R32" s="173" t="str">
        <f t="shared" si="26"/>
        <v/>
      </c>
      <c r="S32" s="171">
        <f t="shared" si="26"/>
        <v>128.88</v>
      </c>
      <c r="T32" s="172" t="str">
        <f t="shared" si="26"/>
        <v/>
      </c>
      <c r="U32" s="172" t="str">
        <f t="shared" ref="U32:V32" si="27">IF(ISBLANK(U$8),"",SUM(U26:U28))</f>
        <v/>
      </c>
      <c r="V32" s="173" t="str">
        <f t="shared" si="27"/>
        <v/>
      </c>
      <c r="W32" s="172" t="str">
        <f t="shared" ref="W32:X32" si="28">IF(ISBLANK(W$8),"",SUM(W26:W28))</f>
        <v/>
      </c>
      <c r="X32" s="172" t="str">
        <f t="shared" si="28"/>
        <v/>
      </c>
    </row>
    <row r="33" spans="1:32" ht="15" customHeight="1" x14ac:dyDescent="0.3">
      <c r="A33" s="207" t="s">
        <v>28</v>
      </c>
      <c r="B33" s="170">
        <f>B29</f>
        <v>146</v>
      </c>
      <c r="C33" s="171">
        <f t="shared" ref="C33:T33" si="29">C29</f>
        <v>173</v>
      </c>
      <c r="D33" s="172">
        <f t="shared" si="29"/>
        <v>192.7</v>
      </c>
      <c r="E33" s="172">
        <f t="shared" si="29"/>
        <v>191</v>
      </c>
      <c r="F33" s="173">
        <f t="shared" si="29"/>
        <v>207.5</v>
      </c>
      <c r="G33" s="171">
        <f t="shared" si="29"/>
        <v>221.20000000000005</v>
      </c>
      <c r="H33" s="172">
        <f t="shared" si="29"/>
        <v>220.1</v>
      </c>
      <c r="I33" s="172">
        <f t="shared" si="29"/>
        <v>223.2</v>
      </c>
      <c r="J33" s="173">
        <f t="shared" si="29"/>
        <v>234.58850070639053</v>
      </c>
      <c r="K33" s="171">
        <f t="shared" si="29"/>
        <v>239.90000000000003</v>
      </c>
      <c r="L33" s="172">
        <f t="shared" si="29"/>
        <v>258.69999999999993</v>
      </c>
      <c r="M33" s="172">
        <f t="shared" si="29"/>
        <v>279.04410565225544</v>
      </c>
      <c r="N33" s="173">
        <f t="shared" si="29"/>
        <v>291.41000000000003</v>
      </c>
      <c r="O33" s="171">
        <f t="shared" si="29"/>
        <v>288.80000000000007</v>
      </c>
      <c r="P33" s="172">
        <f t="shared" si="29"/>
        <v>292.34999999999997</v>
      </c>
      <c r="Q33" s="172">
        <f t="shared" si="29"/>
        <v>291.98</v>
      </c>
      <c r="R33" s="173" t="str">
        <f t="shared" si="29"/>
        <v/>
      </c>
      <c r="S33" s="171">
        <f t="shared" si="29"/>
        <v>68.78000000000003</v>
      </c>
      <c r="T33" s="172" t="str">
        <f t="shared" si="29"/>
        <v/>
      </c>
      <c r="U33" s="172" t="str">
        <f t="shared" ref="U33:V33" si="30">U29</f>
        <v/>
      </c>
      <c r="V33" s="173" t="str">
        <f t="shared" si="30"/>
        <v/>
      </c>
      <c r="W33" s="172" t="str">
        <f t="shared" ref="W33:X33" si="31">W29</f>
        <v/>
      </c>
      <c r="X33" s="172" t="str">
        <f t="shared" si="31"/>
        <v/>
      </c>
    </row>
    <row r="34" spans="1:32" ht="15" customHeight="1" x14ac:dyDescent="0.3">
      <c r="C34" s="82"/>
      <c r="F34" s="97"/>
      <c r="G34" s="82"/>
      <c r="J34" s="97"/>
      <c r="K34" s="82"/>
      <c r="N34" s="97"/>
      <c r="O34" s="82"/>
      <c r="R34" s="97"/>
      <c r="S34" s="82"/>
      <c r="V34" s="97"/>
    </row>
    <row r="35" spans="1:32" ht="15" customHeight="1" x14ac:dyDescent="0.3">
      <c r="A35" s="142" t="s">
        <v>30</v>
      </c>
      <c r="B35" s="150">
        <f>IF(ISBLANK(B$8),"",B32/B22)</f>
        <v>0.24430641821946172</v>
      </c>
      <c r="C35" s="151">
        <f t="shared" ref="C35:T35" si="32">IF(ISBLANK(C$8),"",C32/C22)</f>
        <v>0.22142214221422143</v>
      </c>
      <c r="D35" s="150">
        <f t="shared" si="32"/>
        <v>0.23489240053998253</v>
      </c>
      <c r="E35" s="150">
        <f t="shared" si="32"/>
        <v>0.25174332053592413</v>
      </c>
      <c r="F35" s="152">
        <f t="shared" si="32"/>
        <v>0.2461672600450483</v>
      </c>
      <c r="G35" s="151">
        <f t="shared" si="32"/>
        <v>0.25164084173489404</v>
      </c>
      <c r="H35" s="150">
        <f t="shared" si="32"/>
        <v>0.25782303749662805</v>
      </c>
      <c r="I35" s="150">
        <f t="shared" si="32"/>
        <v>0.26462836056931999</v>
      </c>
      <c r="J35" s="152">
        <f t="shared" si="32"/>
        <v>0.27687165578601952</v>
      </c>
      <c r="K35" s="151">
        <f t="shared" si="32"/>
        <v>0.28070280642840006</v>
      </c>
      <c r="L35" s="150">
        <f t="shared" si="32"/>
        <v>0.27751556958136686</v>
      </c>
      <c r="M35" s="150">
        <f t="shared" si="32"/>
        <v>0.29602815264406529</v>
      </c>
      <c r="N35" s="152">
        <f t="shared" si="32"/>
        <v>0.31175456413405445</v>
      </c>
      <c r="O35" s="151">
        <f t="shared" si="32"/>
        <v>0.35607580824972124</v>
      </c>
      <c r="P35" s="150">
        <f t="shared" si="32"/>
        <v>0.38697840218075075</v>
      </c>
      <c r="Q35" s="150">
        <f>IF(ISBLANK(Q$8),"",Q32/Q22)</f>
        <v>0.41741490083403165</v>
      </c>
      <c r="R35" s="152" t="str">
        <f t="shared" si="32"/>
        <v/>
      </c>
      <c r="S35" s="151">
        <f t="shared" si="32"/>
        <v>0.65202873621370017</v>
      </c>
      <c r="T35" s="150" t="str">
        <f t="shared" si="32"/>
        <v/>
      </c>
      <c r="U35" s="150" t="str">
        <f t="shared" ref="U35:V35" si="33">IF(ISBLANK(U$8),"",U32/U22)</f>
        <v/>
      </c>
      <c r="V35" s="152" t="str">
        <f t="shared" si="33"/>
        <v/>
      </c>
      <c r="W35" s="150" t="str">
        <f t="shared" ref="W35:X35" si="34">IF(ISBLANK(W$8),"",W32/W22)</f>
        <v/>
      </c>
      <c r="X35" s="150" t="str">
        <f t="shared" si="34"/>
        <v/>
      </c>
    </row>
    <row r="36" spans="1:32" ht="15" customHeight="1" x14ac:dyDescent="0.3">
      <c r="C36" s="82"/>
      <c r="D36" s="4"/>
      <c r="F36" s="97"/>
      <c r="G36" s="82"/>
      <c r="H36" s="4"/>
      <c r="J36" s="97"/>
      <c r="K36" s="82"/>
      <c r="L36" s="4"/>
      <c r="N36" s="97"/>
      <c r="O36" s="82"/>
      <c r="P36" s="4"/>
      <c r="R36" s="97"/>
      <c r="S36" s="82"/>
      <c r="T36" s="4"/>
      <c r="V36" s="97"/>
    </row>
    <row r="37" spans="1:32" ht="15" customHeight="1" x14ac:dyDescent="0.3">
      <c r="A37" s="207" t="s">
        <v>25</v>
      </c>
      <c r="B37" s="236">
        <f>IF(ISBLANK(B$8),"",B26/B$22)</f>
        <v>0</v>
      </c>
      <c r="C37" s="235">
        <f t="shared" ref="C37:X37" si="35">IF(ISBLANK(C$8),"",C26/C$22)</f>
        <v>9.0009000900090012E-3</v>
      </c>
      <c r="D37" s="233">
        <f t="shared" si="35"/>
        <v>4.5263241483363775E-2</v>
      </c>
      <c r="E37" s="233">
        <f t="shared" si="35"/>
        <v>6.072240068949307E-2</v>
      </c>
      <c r="F37" s="234">
        <f t="shared" si="35"/>
        <v>6.7209184044176418E-2</v>
      </c>
      <c r="G37" s="235">
        <f t="shared" si="35"/>
        <v>7.2230868123689007E-2</v>
      </c>
      <c r="H37" s="233">
        <f t="shared" si="35"/>
        <v>7.6038575667655789E-2</v>
      </c>
      <c r="I37" s="233">
        <f t="shared" si="35"/>
        <v>7.413020558777017E-2</v>
      </c>
      <c r="J37" s="234">
        <f t="shared" si="35"/>
        <v>7.2287648783482039E-2</v>
      </c>
      <c r="K37" s="235">
        <f t="shared" si="35"/>
        <v>7.2859198848644752E-2</v>
      </c>
      <c r="L37" s="233">
        <f t="shared" si="35"/>
        <v>7.4566425559248209E-2</v>
      </c>
      <c r="M37" s="233">
        <f t="shared" si="35"/>
        <v>8.8854413254391626E-2</v>
      </c>
      <c r="N37" s="234">
        <f t="shared" si="35"/>
        <v>8.8708344158144589E-2</v>
      </c>
      <c r="O37" s="235">
        <f t="shared" si="35"/>
        <v>0.10523968784838349</v>
      </c>
      <c r="P37" s="233">
        <f t="shared" si="35"/>
        <v>0.1201509750471797</v>
      </c>
      <c r="Q37" s="233">
        <f t="shared" si="35"/>
        <v>0.1370764994612714</v>
      </c>
      <c r="R37" s="234" t="str">
        <f t="shared" si="35"/>
        <v/>
      </c>
      <c r="S37" s="235">
        <f t="shared" si="35"/>
        <v>0.23373469594252755</v>
      </c>
      <c r="T37" s="233" t="str">
        <f t="shared" si="35"/>
        <v/>
      </c>
      <c r="U37" s="233" t="str">
        <f t="shared" si="35"/>
        <v/>
      </c>
      <c r="V37" s="234" t="str">
        <f t="shared" si="35"/>
        <v/>
      </c>
      <c r="W37" s="233" t="str">
        <f t="shared" si="35"/>
        <v/>
      </c>
      <c r="X37" s="233" t="str">
        <f t="shared" si="35"/>
        <v/>
      </c>
      <c r="AF37" s="11"/>
    </row>
    <row r="38" spans="1:32" ht="15" customHeight="1" x14ac:dyDescent="0.3">
      <c r="A38" s="207" t="s">
        <v>26</v>
      </c>
      <c r="B38" s="236">
        <f t="shared" ref="B38:X38" si="36">IF(ISBLANK(B$8),"",B27/B$22)</f>
        <v>0</v>
      </c>
      <c r="C38" s="235">
        <f t="shared" si="36"/>
        <v>0</v>
      </c>
      <c r="D38" s="233">
        <f t="shared" si="36"/>
        <v>0</v>
      </c>
      <c r="E38" s="233">
        <f t="shared" si="36"/>
        <v>3.9175742380318105E-3</v>
      </c>
      <c r="F38" s="234">
        <f t="shared" si="36"/>
        <v>5.4493933008791691E-3</v>
      </c>
      <c r="G38" s="235">
        <f t="shared" si="36"/>
        <v>5.0747682522498134E-3</v>
      </c>
      <c r="H38" s="233">
        <f t="shared" si="36"/>
        <v>7.081197734016725E-3</v>
      </c>
      <c r="I38" s="233">
        <f t="shared" si="36"/>
        <v>1.054296257248287E-2</v>
      </c>
      <c r="J38" s="234">
        <f t="shared" si="36"/>
        <v>3.5290931917250766E-2</v>
      </c>
      <c r="K38" s="235">
        <f t="shared" si="36"/>
        <v>4.3175821539937632E-2</v>
      </c>
      <c r="L38" s="233">
        <f t="shared" si="36"/>
        <v>4.8593850364453885E-2</v>
      </c>
      <c r="M38" s="233">
        <f t="shared" si="36"/>
        <v>6.7738706664595097E-2</v>
      </c>
      <c r="N38" s="234">
        <f t="shared" si="36"/>
        <v>9.2510805129779647E-2</v>
      </c>
      <c r="O38" s="235">
        <f t="shared" si="36"/>
        <v>0.12753623188405797</v>
      </c>
      <c r="P38" s="233">
        <f t="shared" si="36"/>
        <v>0.15087020339693857</v>
      </c>
      <c r="Q38" s="233">
        <f t="shared" si="36"/>
        <v>0.16999880282533222</v>
      </c>
      <c r="R38" s="234" t="str">
        <f t="shared" si="36"/>
        <v/>
      </c>
      <c r="S38" s="235">
        <f t="shared" si="36"/>
        <v>0.41485378933522205</v>
      </c>
      <c r="T38" s="233" t="str">
        <f t="shared" si="36"/>
        <v/>
      </c>
      <c r="U38" s="233" t="str">
        <f t="shared" si="36"/>
        <v/>
      </c>
      <c r="V38" s="234" t="str">
        <f t="shared" si="36"/>
        <v/>
      </c>
      <c r="W38" s="233" t="str">
        <f t="shared" si="36"/>
        <v/>
      </c>
      <c r="X38" s="233" t="str">
        <f t="shared" si="36"/>
        <v/>
      </c>
      <c r="AF38" s="11"/>
    </row>
    <row r="39" spans="1:32" ht="15" customHeight="1" x14ac:dyDescent="0.3">
      <c r="A39" s="207" t="s">
        <v>27</v>
      </c>
      <c r="B39" s="236">
        <f t="shared" ref="B39:X39" si="37">IF(ISBLANK(B$8),"",B28/B$22)</f>
        <v>0.24430641821946172</v>
      </c>
      <c r="C39" s="235">
        <f t="shared" si="37"/>
        <v>0.21242124212421246</v>
      </c>
      <c r="D39" s="233">
        <f t="shared" si="37"/>
        <v>0.18962915905661876</v>
      </c>
      <c r="E39" s="233">
        <f t="shared" si="37"/>
        <v>0.18710334560839928</v>
      </c>
      <c r="F39" s="234">
        <f t="shared" si="37"/>
        <v>0.17350868269999273</v>
      </c>
      <c r="G39" s="235">
        <f t="shared" si="37"/>
        <v>0.17433520535895525</v>
      </c>
      <c r="H39" s="233">
        <f t="shared" si="37"/>
        <v>0.17470326409495548</v>
      </c>
      <c r="I39" s="233">
        <f t="shared" si="37"/>
        <v>0.17995519240906696</v>
      </c>
      <c r="J39" s="234">
        <f t="shared" si="37"/>
        <v>0.16929307508528671</v>
      </c>
      <c r="K39" s="235">
        <f t="shared" si="37"/>
        <v>0.16466778603981769</v>
      </c>
      <c r="L39" s="233">
        <f t="shared" si="37"/>
        <v>0.15435529365766473</v>
      </c>
      <c r="M39" s="233">
        <f t="shared" si="37"/>
        <v>0.13943503272507857</v>
      </c>
      <c r="N39" s="234">
        <f t="shared" si="37"/>
        <v>0.13053541484613024</v>
      </c>
      <c r="O39" s="235">
        <f t="shared" si="37"/>
        <v>0.1232998885172798</v>
      </c>
      <c r="P39" s="233">
        <f t="shared" si="37"/>
        <v>0.11595722373663242</v>
      </c>
      <c r="Q39" s="233">
        <f t="shared" si="37"/>
        <v>0.11033959854742806</v>
      </c>
      <c r="R39" s="234" t="str">
        <f t="shared" si="37"/>
        <v/>
      </c>
      <c r="S39" s="235">
        <f t="shared" si="37"/>
        <v>3.440250935950634E-3</v>
      </c>
      <c r="T39" s="233" t="str">
        <f t="shared" si="37"/>
        <v/>
      </c>
      <c r="U39" s="233" t="str">
        <f t="shared" si="37"/>
        <v/>
      </c>
      <c r="V39" s="234" t="str">
        <f t="shared" si="37"/>
        <v/>
      </c>
      <c r="W39" s="233" t="str">
        <f t="shared" si="37"/>
        <v/>
      </c>
      <c r="X39" s="233" t="str">
        <f t="shared" si="37"/>
        <v/>
      </c>
      <c r="AF39" s="11"/>
    </row>
    <row r="40" spans="1:32" ht="15" customHeight="1" x14ac:dyDescent="0.3">
      <c r="A40" s="207" t="s">
        <v>28</v>
      </c>
      <c r="B40" s="236">
        <f t="shared" ref="B40:X40" si="38">IF(ISBLANK(B$8),"",B29/B$22)</f>
        <v>0.75569358178053836</v>
      </c>
      <c r="C40" s="235">
        <f t="shared" si="38"/>
        <v>0.77857785778577859</v>
      </c>
      <c r="D40" s="233">
        <f t="shared" si="38"/>
        <v>0.7651075994600175</v>
      </c>
      <c r="E40" s="233">
        <f t="shared" si="38"/>
        <v>0.74825667946407592</v>
      </c>
      <c r="F40" s="234">
        <f t="shared" si="38"/>
        <v>0.7538327399549517</v>
      </c>
      <c r="G40" s="235">
        <f t="shared" si="38"/>
        <v>0.74835915826510591</v>
      </c>
      <c r="H40" s="233">
        <f t="shared" si="38"/>
        <v>0.74217696250337195</v>
      </c>
      <c r="I40" s="233">
        <f t="shared" si="38"/>
        <v>0.73537163943068007</v>
      </c>
      <c r="J40" s="234">
        <f t="shared" si="38"/>
        <v>0.72312834421398042</v>
      </c>
      <c r="K40" s="235">
        <f t="shared" si="38"/>
        <v>0.71929719357159994</v>
      </c>
      <c r="L40" s="233">
        <f t="shared" si="38"/>
        <v>0.72248443041863319</v>
      </c>
      <c r="M40" s="233">
        <f t="shared" si="38"/>
        <v>0.70397184735593477</v>
      </c>
      <c r="N40" s="234">
        <f t="shared" si="38"/>
        <v>0.68824543586594555</v>
      </c>
      <c r="O40" s="235">
        <f t="shared" si="38"/>
        <v>0.64392419175027882</v>
      </c>
      <c r="P40" s="233">
        <f t="shared" si="38"/>
        <v>0.61302159781924925</v>
      </c>
      <c r="Q40" s="233">
        <f t="shared" si="38"/>
        <v>0.58258509916596835</v>
      </c>
      <c r="R40" s="234" t="str">
        <f t="shared" si="38"/>
        <v/>
      </c>
      <c r="S40" s="235">
        <f t="shared" si="38"/>
        <v>0.34797126378629983</v>
      </c>
      <c r="T40" s="233" t="str">
        <f t="shared" si="38"/>
        <v/>
      </c>
      <c r="U40" s="233" t="str">
        <f t="shared" si="38"/>
        <v/>
      </c>
      <c r="V40" s="234" t="str">
        <f t="shared" si="38"/>
        <v/>
      </c>
      <c r="W40" s="233" t="str">
        <f t="shared" si="38"/>
        <v/>
      </c>
      <c r="X40" s="233" t="str">
        <f t="shared" si="38"/>
        <v/>
      </c>
      <c r="AF40" s="11"/>
    </row>
    <row r="41" spans="1:32" ht="15" customHeight="1" x14ac:dyDescent="0.3">
      <c r="C41" s="82"/>
      <c r="F41" s="97"/>
      <c r="G41" s="82"/>
      <c r="J41" s="97"/>
      <c r="K41" s="82"/>
      <c r="N41" s="97"/>
      <c r="O41" s="82"/>
      <c r="R41" s="97"/>
      <c r="S41" s="82"/>
      <c r="V41" s="97"/>
      <c r="AF41" s="11"/>
    </row>
    <row r="42" spans="1:32" ht="15" customHeight="1" x14ac:dyDescent="0.3">
      <c r="C42" s="82"/>
      <c r="F42" s="97"/>
      <c r="G42" s="82"/>
      <c r="J42" s="97"/>
      <c r="K42" s="82"/>
      <c r="N42" s="97"/>
      <c r="O42" s="82"/>
      <c r="R42" s="97"/>
      <c r="S42" s="82"/>
      <c r="V42" s="97"/>
      <c r="AF42" s="11"/>
    </row>
    <row r="43" spans="1:32" ht="15" customHeight="1" x14ac:dyDescent="0.3">
      <c r="A43" s="207" t="s">
        <v>29</v>
      </c>
      <c r="B43" s="236">
        <f>IF(ISBLANK(B$8),"",SUM(B37:B39))</f>
        <v>0.24430641821946172</v>
      </c>
      <c r="C43" s="235">
        <f t="shared" ref="C43:P43" si="39">IF(ISBLANK(C$8),"",SUM(C37:C39))</f>
        <v>0.22142214221422146</v>
      </c>
      <c r="D43" s="233">
        <f t="shared" si="39"/>
        <v>0.23489240053998253</v>
      </c>
      <c r="E43" s="233">
        <f t="shared" si="39"/>
        <v>0.25174332053592419</v>
      </c>
      <c r="F43" s="234">
        <f t="shared" si="39"/>
        <v>0.2461672600450483</v>
      </c>
      <c r="G43" s="235">
        <f t="shared" si="39"/>
        <v>0.25164084173489409</v>
      </c>
      <c r="H43" s="233">
        <f t="shared" si="39"/>
        <v>0.25782303749662799</v>
      </c>
      <c r="I43" s="233">
        <f t="shared" si="39"/>
        <v>0.26462836056931999</v>
      </c>
      <c r="J43" s="234">
        <f t="shared" si="39"/>
        <v>0.27687165578601952</v>
      </c>
      <c r="K43" s="235">
        <f t="shared" si="39"/>
        <v>0.28070280642840006</v>
      </c>
      <c r="L43" s="233">
        <f t="shared" si="39"/>
        <v>0.27751556958136681</v>
      </c>
      <c r="M43" s="233">
        <f t="shared" si="39"/>
        <v>0.29602815264406529</v>
      </c>
      <c r="N43" s="234">
        <f t="shared" si="39"/>
        <v>0.31175456413405445</v>
      </c>
      <c r="O43" s="235">
        <f t="shared" si="39"/>
        <v>0.35607580824972124</v>
      </c>
      <c r="P43" s="233">
        <f t="shared" si="39"/>
        <v>0.38697840218075069</v>
      </c>
      <c r="Q43" s="233">
        <f>IF(ISBLANK(Q$8),"",SUM(Q37:Q39))</f>
        <v>0.41741490083403165</v>
      </c>
      <c r="R43" s="234" t="str">
        <f t="shared" ref="R43:X43" si="40">IF(ISBLANK(R$8),"",SUM(R37:R39))</f>
        <v/>
      </c>
      <c r="S43" s="235">
        <f t="shared" si="40"/>
        <v>0.65202873621370028</v>
      </c>
      <c r="T43" s="233" t="str">
        <f t="shared" si="40"/>
        <v/>
      </c>
      <c r="U43" s="233" t="str">
        <f t="shared" si="40"/>
        <v/>
      </c>
      <c r="V43" s="234" t="str">
        <f t="shared" si="40"/>
        <v/>
      </c>
      <c r="W43" s="233" t="str">
        <f t="shared" si="40"/>
        <v/>
      </c>
      <c r="X43" s="233" t="str">
        <f t="shared" si="40"/>
        <v/>
      </c>
    </row>
    <row r="44" spans="1:32" ht="15" customHeight="1" x14ac:dyDescent="0.3">
      <c r="A44" s="207" t="s">
        <v>28</v>
      </c>
      <c r="B44" s="236">
        <f>B40</f>
        <v>0.75569358178053836</v>
      </c>
      <c r="C44" s="235">
        <f t="shared" ref="C44:X44" si="41">C40</f>
        <v>0.77857785778577859</v>
      </c>
      <c r="D44" s="233">
        <f t="shared" si="41"/>
        <v>0.7651075994600175</v>
      </c>
      <c r="E44" s="233">
        <f t="shared" si="41"/>
        <v>0.74825667946407592</v>
      </c>
      <c r="F44" s="234">
        <f t="shared" si="41"/>
        <v>0.7538327399549517</v>
      </c>
      <c r="G44" s="235">
        <f t="shared" si="41"/>
        <v>0.74835915826510591</v>
      </c>
      <c r="H44" s="233">
        <f t="shared" si="41"/>
        <v>0.74217696250337195</v>
      </c>
      <c r="I44" s="233">
        <f t="shared" si="41"/>
        <v>0.73537163943068007</v>
      </c>
      <c r="J44" s="234">
        <f t="shared" si="41"/>
        <v>0.72312834421398042</v>
      </c>
      <c r="K44" s="235">
        <f t="shared" si="41"/>
        <v>0.71929719357159994</v>
      </c>
      <c r="L44" s="233">
        <f t="shared" si="41"/>
        <v>0.72248443041863319</v>
      </c>
      <c r="M44" s="233">
        <f t="shared" si="41"/>
        <v>0.70397184735593477</v>
      </c>
      <c r="N44" s="234">
        <f t="shared" si="41"/>
        <v>0.68824543586594555</v>
      </c>
      <c r="O44" s="235">
        <f t="shared" si="41"/>
        <v>0.64392419175027882</v>
      </c>
      <c r="P44" s="233">
        <f t="shared" si="41"/>
        <v>0.61302159781924925</v>
      </c>
      <c r="Q44" s="233">
        <f t="shared" si="41"/>
        <v>0.58258509916596835</v>
      </c>
      <c r="R44" s="234" t="str">
        <f t="shared" si="41"/>
        <v/>
      </c>
      <c r="S44" s="235">
        <f t="shared" si="41"/>
        <v>0.34797126378629983</v>
      </c>
      <c r="T44" s="233" t="str">
        <f t="shared" si="41"/>
        <v/>
      </c>
      <c r="U44" s="233" t="str">
        <f t="shared" si="41"/>
        <v/>
      </c>
      <c r="V44" s="234" t="str">
        <f t="shared" si="41"/>
        <v/>
      </c>
      <c r="W44" s="233" t="str">
        <f t="shared" si="41"/>
        <v/>
      </c>
      <c r="X44" s="233" t="str">
        <f t="shared" si="41"/>
        <v/>
      </c>
    </row>
    <row r="45" spans="1:32" x14ac:dyDescent="0.3">
      <c r="B45" s="5"/>
      <c r="C45" s="91"/>
      <c r="D45" s="5"/>
      <c r="E45" s="5"/>
      <c r="F45" s="92"/>
      <c r="G45" s="91"/>
      <c r="H45" s="5"/>
      <c r="I45" s="5"/>
      <c r="J45" s="92"/>
      <c r="K45" s="91"/>
      <c r="L45" s="5"/>
      <c r="M45" s="5"/>
      <c r="N45" s="92"/>
      <c r="O45" s="91"/>
      <c r="P45" s="5"/>
      <c r="Q45" s="5"/>
      <c r="R45" s="92"/>
      <c r="S45" s="91"/>
      <c r="T45" s="5"/>
      <c r="U45" s="5"/>
      <c r="V45" s="92"/>
    </row>
    <row r="46" spans="1:32" ht="15" customHeight="1" x14ac:dyDescent="0.3">
      <c r="C46" s="82"/>
      <c r="D46" s="4"/>
      <c r="F46" s="97"/>
      <c r="G46" s="82"/>
      <c r="H46" s="4"/>
      <c r="J46" s="97"/>
      <c r="K46" s="82"/>
      <c r="L46" s="4"/>
      <c r="N46" s="97"/>
      <c r="O46" s="82"/>
      <c r="P46" s="4"/>
      <c r="R46" s="97"/>
      <c r="S46" s="82"/>
      <c r="T46" s="4"/>
      <c r="V46" s="97"/>
    </row>
    <row r="47" spans="1:32" x14ac:dyDescent="0.3">
      <c r="A47" s="145" t="s">
        <v>31</v>
      </c>
      <c r="B47" s="139"/>
      <c r="C47" s="148"/>
      <c r="D47" s="139"/>
      <c r="E47" s="139"/>
      <c r="F47" s="149"/>
      <c r="G47" s="148"/>
      <c r="H47" s="139"/>
      <c r="I47" s="139"/>
      <c r="J47" s="149"/>
      <c r="K47" s="148"/>
      <c r="L47" s="139"/>
      <c r="M47" s="139"/>
      <c r="N47" s="149"/>
      <c r="O47" s="148"/>
      <c r="P47" s="139"/>
      <c r="Q47" s="139"/>
      <c r="R47" s="149"/>
      <c r="S47" s="148"/>
      <c r="T47" s="139"/>
      <c r="U47" s="139"/>
      <c r="V47" s="149"/>
      <c r="W47" s="139"/>
      <c r="X47" s="139"/>
      <c r="Z47" s="2" t="s">
        <v>13</v>
      </c>
    </row>
    <row r="48" spans="1:32" ht="15" customHeight="1" x14ac:dyDescent="0.3">
      <c r="A48" s="207" t="s">
        <v>32</v>
      </c>
      <c r="B48" s="154"/>
      <c r="C48" s="184"/>
      <c r="D48" s="154"/>
      <c r="E48" s="154"/>
      <c r="F48" s="185"/>
      <c r="G48" s="184"/>
      <c r="H48" s="154"/>
      <c r="I48" s="154"/>
      <c r="J48" s="185">
        <v>2.36</v>
      </c>
      <c r="K48" s="184">
        <v>1.69</v>
      </c>
      <c r="L48" s="154"/>
      <c r="M48" s="154"/>
      <c r="N48" s="185">
        <v>2.64</v>
      </c>
      <c r="O48" s="184">
        <v>17.559999999999999</v>
      </c>
      <c r="P48" s="154">
        <v>3.5</v>
      </c>
      <c r="Q48" s="154">
        <v>0.98</v>
      </c>
      <c r="R48" s="185"/>
      <c r="S48" s="184">
        <f>SUM(J48:R48)</f>
        <v>28.73</v>
      </c>
      <c r="T48" s="154"/>
      <c r="U48" s="154"/>
      <c r="V48" s="185"/>
      <c r="W48" s="154"/>
      <c r="X48" s="154">
        <f>SUM(O48:Q48)</f>
        <v>22.04</v>
      </c>
    </row>
    <row r="49" spans="1:32" ht="15" customHeight="1" x14ac:dyDescent="0.3">
      <c r="A49" s="207" t="s">
        <v>14</v>
      </c>
      <c r="B49" s="154"/>
      <c r="C49" s="184">
        <v>2</v>
      </c>
      <c r="D49" s="154">
        <v>9.25</v>
      </c>
      <c r="E49" s="154">
        <v>4</v>
      </c>
      <c r="F49" s="185">
        <v>3.25</v>
      </c>
      <c r="G49" s="184">
        <v>3.35</v>
      </c>
      <c r="H49" s="154">
        <v>1.2</v>
      </c>
      <c r="I49" s="154">
        <v>1.2</v>
      </c>
      <c r="J49" s="185">
        <v>1</v>
      </c>
      <c r="K49" s="184">
        <v>0.76</v>
      </c>
      <c r="L49" s="154">
        <v>2.4</v>
      </c>
      <c r="M49" s="154">
        <v>8.5</v>
      </c>
      <c r="N49" s="185">
        <v>2.36</v>
      </c>
      <c r="O49" s="184">
        <v>9.49</v>
      </c>
      <c r="P49" s="154">
        <v>11.7</v>
      </c>
      <c r="Q49" s="154">
        <v>11.41</v>
      </c>
      <c r="R49" s="185"/>
      <c r="S49" s="184">
        <f t="shared" ref="S49:S53" si="42">SUM(J49:R49)</f>
        <v>47.61999999999999</v>
      </c>
      <c r="T49" s="154"/>
      <c r="U49" s="154"/>
      <c r="V49" s="185"/>
      <c r="W49" s="154"/>
      <c r="X49" s="154">
        <f t="shared" ref="X49:X58" si="43">SUM(O49:Q49)</f>
        <v>32.599999999999994</v>
      </c>
    </row>
    <row r="50" spans="1:32" ht="15" customHeight="1" x14ac:dyDescent="0.3">
      <c r="A50" s="207" t="s">
        <v>15</v>
      </c>
      <c r="B50" s="154"/>
      <c r="C50" s="184">
        <v>1</v>
      </c>
      <c r="D50" s="154">
        <v>17.649999999999999</v>
      </c>
      <c r="E50" s="154">
        <v>15</v>
      </c>
      <c r="F50" s="185">
        <v>33.25</v>
      </c>
      <c r="G50" s="184">
        <v>20</v>
      </c>
      <c r="H50" s="154">
        <v>1.8</v>
      </c>
      <c r="I50" s="154">
        <v>8.9</v>
      </c>
      <c r="J50" s="185">
        <v>10.82</v>
      </c>
      <c r="K50" s="184">
        <v>2.2999999999999998</v>
      </c>
      <c r="L50" s="154">
        <v>3</v>
      </c>
      <c r="M50" s="154">
        <v>3.9099999999999997</v>
      </c>
      <c r="N50" s="185">
        <v>3.08</v>
      </c>
      <c r="O50" s="184">
        <v>0.15</v>
      </c>
      <c r="P50" s="154">
        <v>2.4</v>
      </c>
      <c r="Q50" s="154">
        <v>0.76</v>
      </c>
      <c r="R50" s="185"/>
      <c r="S50" s="184">
        <f t="shared" si="42"/>
        <v>26.419999999999998</v>
      </c>
      <c r="T50" s="154"/>
      <c r="U50" s="154"/>
      <c r="V50" s="185"/>
      <c r="W50" s="154"/>
      <c r="X50" s="154">
        <f t="shared" si="43"/>
        <v>3.3099999999999996</v>
      </c>
    </row>
    <row r="51" spans="1:32" ht="15" customHeight="1" x14ac:dyDescent="0.3">
      <c r="A51" s="207" t="s">
        <v>16</v>
      </c>
      <c r="B51" s="154"/>
      <c r="C51" s="184">
        <v>17</v>
      </c>
      <c r="D51" s="154">
        <v>1.2</v>
      </c>
      <c r="E51" s="154">
        <v>2.25</v>
      </c>
      <c r="F51" s="185">
        <v>2.5</v>
      </c>
      <c r="G51" s="184">
        <v>0.5</v>
      </c>
      <c r="H51" s="154">
        <v>1.3</v>
      </c>
      <c r="I51" s="154">
        <v>3.3</v>
      </c>
      <c r="J51" s="185">
        <v>5.63</v>
      </c>
      <c r="K51" s="184">
        <v>4.8</v>
      </c>
      <c r="L51" s="154">
        <v>15.3</v>
      </c>
      <c r="M51" s="154">
        <v>16.34</v>
      </c>
      <c r="N51" s="185">
        <v>13.7</v>
      </c>
      <c r="O51" s="184">
        <v>5.53</v>
      </c>
      <c r="P51" s="154">
        <v>12.15</v>
      </c>
      <c r="Q51" s="154">
        <v>2.5</v>
      </c>
      <c r="R51" s="185"/>
      <c r="S51" s="184">
        <f t="shared" si="42"/>
        <v>75.95</v>
      </c>
      <c r="T51" s="154"/>
      <c r="U51" s="154"/>
      <c r="V51" s="185"/>
      <c r="W51" s="154"/>
      <c r="X51" s="154">
        <f t="shared" si="43"/>
        <v>20.18</v>
      </c>
    </row>
    <row r="52" spans="1:32" ht="15" customHeight="1" x14ac:dyDescent="0.3">
      <c r="A52" s="207" t="s">
        <v>17</v>
      </c>
      <c r="B52" s="154"/>
      <c r="C52" s="184"/>
      <c r="D52" s="154"/>
      <c r="E52" s="154">
        <v>1</v>
      </c>
      <c r="F52" s="185">
        <v>0.5</v>
      </c>
      <c r="G52" s="184"/>
      <c r="H52" s="154">
        <v>0.75</v>
      </c>
      <c r="I52" s="154">
        <v>1.1000000000000001</v>
      </c>
      <c r="J52" s="185">
        <v>7.92</v>
      </c>
      <c r="K52" s="184">
        <v>3</v>
      </c>
      <c r="L52" s="154">
        <v>3</v>
      </c>
      <c r="M52" s="154">
        <v>9.18</v>
      </c>
      <c r="N52" s="185">
        <v>12.3</v>
      </c>
      <c r="O52" s="184">
        <v>17.54</v>
      </c>
      <c r="P52" s="154">
        <v>15.25</v>
      </c>
      <c r="Q52" s="154">
        <v>13.67</v>
      </c>
      <c r="R52" s="185"/>
      <c r="S52" s="184">
        <f t="shared" si="42"/>
        <v>81.86</v>
      </c>
      <c r="T52" s="154"/>
      <c r="U52" s="154"/>
      <c r="V52" s="185"/>
      <c r="W52" s="154"/>
      <c r="X52" s="154">
        <f t="shared" si="43"/>
        <v>46.46</v>
      </c>
      <c r="Z52" s="11"/>
    </row>
    <row r="53" spans="1:32" ht="15" customHeight="1" x14ac:dyDescent="0.3">
      <c r="A53" s="207" t="s">
        <v>18</v>
      </c>
      <c r="B53" s="154"/>
      <c r="C53" s="184">
        <v>9</v>
      </c>
      <c r="D53" s="154">
        <v>0.85</v>
      </c>
      <c r="E53" s="154"/>
      <c r="F53" s="185"/>
      <c r="G53" s="184">
        <v>1.6</v>
      </c>
      <c r="H53" s="154"/>
      <c r="I53" s="154">
        <v>3.7</v>
      </c>
      <c r="J53" s="185">
        <v>2.06</v>
      </c>
      <c r="K53" s="184">
        <v>0.5</v>
      </c>
      <c r="L53" s="154">
        <v>5.3</v>
      </c>
      <c r="M53" s="154">
        <v>6.3</v>
      </c>
      <c r="N53" s="185">
        <v>1</v>
      </c>
      <c r="O53" s="184">
        <v>0.12</v>
      </c>
      <c r="P53" s="154">
        <v>0.6</v>
      </c>
      <c r="Q53" s="154">
        <v>0.57999999999999996</v>
      </c>
      <c r="R53" s="185"/>
      <c r="S53" s="184">
        <f t="shared" si="42"/>
        <v>16.459999999999997</v>
      </c>
      <c r="T53" s="154"/>
      <c r="U53" s="154"/>
      <c r="V53" s="185"/>
      <c r="W53" s="154"/>
      <c r="X53" s="154">
        <f t="shared" si="43"/>
        <v>1.2999999999999998</v>
      </c>
      <c r="Z53" s="80"/>
    </row>
    <row r="54" spans="1:32" ht="15" customHeight="1" x14ac:dyDescent="0.3">
      <c r="A54" s="141" t="s">
        <v>19</v>
      </c>
      <c r="B54" s="186"/>
      <c r="C54" s="187">
        <f>IF(ISBLANK(C$8),"",SUM(C48:C53))</f>
        <v>29</v>
      </c>
      <c r="D54" s="186">
        <f t="shared" ref="D54:T54" si="44">IF(ISBLANK(D$8),"",SUM(D48:D53))</f>
        <v>28.95</v>
      </c>
      <c r="E54" s="186">
        <f t="shared" si="44"/>
        <v>22.25</v>
      </c>
      <c r="F54" s="188">
        <f t="shared" si="44"/>
        <v>39.5</v>
      </c>
      <c r="G54" s="187">
        <f t="shared" si="44"/>
        <v>25.450000000000003</v>
      </c>
      <c r="H54" s="186">
        <f t="shared" si="44"/>
        <v>5.05</v>
      </c>
      <c r="I54" s="186">
        <f t="shared" si="44"/>
        <v>18.2</v>
      </c>
      <c r="J54" s="188">
        <f t="shared" si="44"/>
        <v>29.789999999999996</v>
      </c>
      <c r="K54" s="187">
        <f t="shared" si="44"/>
        <v>13.05</v>
      </c>
      <c r="L54" s="186">
        <f t="shared" si="44"/>
        <v>29.000000000000004</v>
      </c>
      <c r="M54" s="186">
        <f t="shared" si="44"/>
        <v>44.23</v>
      </c>
      <c r="N54" s="188">
        <f t="shared" si="44"/>
        <v>35.08</v>
      </c>
      <c r="O54" s="187">
        <f t="shared" si="44"/>
        <v>50.389999999999993</v>
      </c>
      <c r="P54" s="186">
        <f t="shared" si="44"/>
        <v>45.6</v>
      </c>
      <c r="Q54" s="186">
        <f t="shared" si="44"/>
        <v>29.9</v>
      </c>
      <c r="R54" s="188" t="str">
        <f t="shared" si="44"/>
        <v/>
      </c>
      <c r="S54" s="187">
        <f t="shared" si="44"/>
        <v>277.03999999999996</v>
      </c>
      <c r="T54" s="186" t="str">
        <f t="shared" si="44"/>
        <v/>
      </c>
      <c r="U54" s="186" t="str">
        <f t="shared" ref="U54:V54" si="45">IF(ISBLANK(U$8),"",SUM(U48:U53))</f>
        <v/>
      </c>
      <c r="V54" s="188" t="str">
        <f t="shared" si="45"/>
        <v/>
      </c>
      <c r="W54" s="186" t="str">
        <f t="shared" ref="W54" si="46">IF(ISBLANK(W$8),"",SUM(W48:W53))</f>
        <v/>
      </c>
      <c r="X54" s="186">
        <f t="shared" si="43"/>
        <v>125.88999999999999</v>
      </c>
      <c r="Z54" s="11"/>
    </row>
    <row r="55" spans="1:32" ht="15" customHeight="1" x14ac:dyDescent="0.3">
      <c r="C55" s="82"/>
      <c r="F55" s="97"/>
      <c r="G55" s="82"/>
      <c r="J55" s="97"/>
      <c r="K55" s="82"/>
      <c r="N55" s="97"/>
      <c r="O55" s="82"/>
      <c r="R55" s="97"/>
      <c r="S55" s="82"/>
      <c r="V55" s="97"/>
      <c r="AF55" s="11"/>
    </row>
    <row r="56" spans="1:32" ht="15" customHeight="1" x14ac:dyDescent="0.3">
      <c r="A56" s="207" t="s">
        <v>20</v>
      </c>
      <c r="B56" s="154"/>
      <c r="C56" s="184"/>
      <c r="D56" s="154"/>
      <c r="E56" s="154"/>
      <c r="F56" s="185"/>
      <c r="G56" s="184"/>
      <c r="H56" s="154"/>
      <c r="I56" s="154"/>
      <c r="J56" s="185"/>
      <c r="K56" s="184"/>
      <c r="L56" s="154"/>
      <c r="M56" s="154"/>
      <c r="N56" s="185"/>
      <c r="O56" s="184"/>
      <c r="P56" s="154">
        <v>0</v>
      </c>
      <c r="Q56" s="154">
        <v>0</v>
      </c>
      <c r="R56" s="185"/>
      <c r="S56" s="184">
        <f t="shared" ref="S56:S57" si="47">SUM(J56:R56)</f>
        <v>0</v>
      </c>
      <c r="T56" s="154"/>
      <c r="U56" s="154"/>
      <c r="V56" s="185"/>
      <c r="W56" s="154"/>
      <c r="X56" s="154">
        <f t="shared" si="43"/>
        <v>0</v>
      </c>
    </row>
    <row r="57" spans="1:32" ht="15" customHeight="1" x14ac:dyDescent="0.3">
      <c r="A57" s="208" t="s">
        <v>21</v>
      </c>
      <c r="B57" s="189"/>
      <c r="C57" s="184"/>
      <c r="D57" s="154">
        <v>0.56000000000000005</v>
      </c>
      <c r="E57" s="154"/>
      <c r="F57" s="185"/>
      <c r="G57" s="184">
        <v>3.7700000000000031</v>
      </c>
      <c r="H57" s="154">
        <v>0.28000000000000003</v>
      </c>
      <c r="I57" s="154">
        <v>2.8099999999999952</v>
      </c>
      <c r="J57" s="185">
        <v>0.3</v>
      </c>
      <c r="K57" s="184"/>
      <c r="L57" s="154">
        <v>0.35</v>
      </c>
      <c r="M57" s="154"/>
      <c r="N57" s="185"/>
      <c r="O57" s="184">
        <v>0.03</v>
      </c>
      <c r="P57" s="154">
        <v>0</v>
      </c>
      <c r="Q57" s="154">
        <v>0</v>
      </c>
      <c r="R57" s="185"/>
      <c r="S57" s="184">
        <f t="shared" si="47"/>
        <v>0.67999999999999994</v>
      </c>
      <c r="T57" s="154"/>
      <c r="U57" s="154"/>
      <c r="V57" s="185"/>
      <c r="W57" s="154"/>
      <c r="X57" s="154">
        <f t="shared" si="43"/>
        <v>0.03</v>
      </c>
    </row>
    <row r="58" spans="1:32" ht="15" customHeight="1" x14ac:dyDescent="0.3">
      <c r="A58" s="141" t="s">
        <v>22</v>
      </c>
      <c r="B58" s="186"/>
      <c r="C58" s="187">
        <f t="shared" ref="C58" si="48">IF(ISBLANK(C$8),"",SUM(C56:C57))</f>
        <v>0</v>
      </c>
      <c r="D58" s="186">
        <f t="shared" ref="D58" si="49">IF(ISBLANK(D$8),"",SUM(D56:D57))</f>
        <v>0.56000000000000005</v>
      </c>
      <c r="E58" s="186">
        <f t="shared" ref="E58" si="50">IF(ISBLANK(E$8),"",SUM(E56:E57))</f>
        <v>0</v>
      </c>
      <c r="F58" s="188">
        <f t="shared" ref="F58" si="51">IF(ISBLANK(F$8),"",SUM(F56:F57))</f>
        <v>0</v>
      </c>
      <c r="G58" s="187">
        <f t="shared" ref="G58" si="52">IF(ISBLANK(G$8),"",SUM(G56:G57))</f>
        <v>3.7700000000000031</v>
      </c>
      <c r="H58" s="186">
        <f t="shared" ref="H58" si="53">IF(ISBLANK(H$8),"",SUM(H56:H57))</f>
        <v>0.28000000000000003</v>
      </c>
      <c r="I58" s="186">
        <f t="shared" ref="I58" si="54">IF(ISBLANK(I$8),"",SUM(I56:I57))</f>
        <v>2.8099999999999952</v>
      </c>
      <c r="J58" s="188">
        <f t="shared" ref="J58" si="55">IF(ISBLANK(J$8),"",SUM(J56:J57))</f>
        <v>0.3</v>
      </c>
      <c r="K58" s="187">
        <f t="shared" ref="K58" si="56">IF(ISBLANK(K$8),"",SUM(K56:K57))</f>
        <v>0</v>
      </c>
      <c r="L58" s="186">
        <f t="shared" ref="L58" si="57">IF(ISBLANK(L$8),"",SUM(L56:L57))</f>
        <v>0.35</v>
      </c>
      <c r="M58" s="186">
        <f t="shared" ref="M58" si="58">IF(ISBLANK(M$8),"",SUM(M56:M57))</f>
        <v>0</v>
      </c>
      <c r="N58" s="188">
        <f t="shared" ref="N58" si="59">IF(ISBLANK(N$8),"",SUM(N56:N57))</f>
        <v>0</v>
      </c>
      <c r="O58" s="187">
        <f t="shared" ref="O58" si="60">IF(ISBLANK(O$8),"",SUM(O56:O57))</f>
        <v>0.03</v>
      </c>
      <c r="P58" s="186">
        <f t="shared" ref="P58" si="61">IF(ISBLANK(P$8),"",SUM(P56:P57))</f>
        <v>0</v>
      </c>
      <c r="Q58" s="186">
        <f t="shared" ref="Q58" si="62">IF(ISBLANK(Q$8),"",SUM(Q56:Q57))</f>
        <v>0</v>
      </c>
      <c r="R58" s="188" t="str">
        <f t="shared" ref="R58" si="63">IF(ISBLANK(R$8),"",SUM(R56:R57))</f>
        <v/>
      </c>
      <c r="S58" s="187">
        <f t="shared" ref="S58" si="64">IF(ISBLANK(S$8),"",SUM(S56:S57))</f>
        <v>0.67999999999999994</v>
      </c>
      <c r="T58" s="186" t="str">
        <f t="shared" ref="T58:U58" si="65">IF(ISBLANK(T$8),"",SUM(T56:T57))</f>
        <v/>
      </c>
      <c r="U58" s="186" t="str">
        <f t="shared" si="65"/>
        <v/>
      </c>
      <c r="V58" s="188" t="str">
        <f t="shared" ref="V58:W58" si="66">IF(ISBLANK(V$8),"",SUM(V56:V57))</f>
        <v/>
      </c>
      <c r="W58" s="186" t="str">
        <f t="shared" si="66"/>
        <v/>
      </c>
      <c r="X58" s="186">
        <f t="shared" si="43"/>
        <v>0.03</v>
      </c>
      <c r="Z58" s="11"/>
    </row>
    <row r="59" spans="1:32" ht="15" customHeight="1" x14ac:dyDescent="0.3">
      <c r="C59" s="82"/>
      <c r="D59" s="4"/>
      <c r="F59" s="97"/>
      <c r="G59" s="82"/>
      <c r="H59" s="4"/>
      <c r="J59" s="97"/>
      <c r="K59" s="82"/>
      <c r="L59" s="4"/>
      <c r="N59" s="97"/>
      <c r="O59" s="82"/>
      <c r="P59" s="4"/>
      <c r="R59" s="97"/>
      <c r="S59" s="82"/>
      <c r="T59" s="4"/>
      <c r="V59" s="97"/>
    </row>
    <row r="60" spans="1:32" ht="15" customHeight="1" x14ac:dyDescent="0.3">
      <c r="A60" s="142" t="s">
        <v>33</v>
      </c>
      <c r="B60" s="190">
        <f>IF(ISBLANK(B$8),"",SUM(B54,B58))</f>
        <v>0</v>
      </c>
      <c r="C60" s="191">
        <f t="shared" ref="C60:T60" si="67">IF(ISBLANK(C$8),"",SUM(C54,C58))</f>
        <v>29</v>
      </c>
      <c r="D60" s="190">
        <f t="shared" si="67"/>
        <v>29.509999999999998</v>
      </c>
      <c r="E60" s="190">
        <f t="shared" si="67"/>
        <v>22.25</v>
      </c>
      <c r="F60" s="192">
        <f t="shared" si="67"/>
        <v>39.5</v>
      </c>
      <c r="G60" s="191">
        <f t="shared" si="67"/>
        <v>29.220000000000006</v>
      </c>
      <c r="H60" s="190">
        <f t="shared" si="67"/>
        <v>5.33</v>
      </c>
      <c r="I60" s="190">
        <f t="shared" si="67"/>
        <v>21.009999999999994</v>
      </c>
      <c r="J60" s="192">
        <f t="shared" si="67"/>
        <v>30.089999999999996</v>
      </c>
      <c r="K60" s="191">
        <f t="shared" si="67"/>
        <v>13.05</v>
      </c>
      <c r="L60" s="190">
        <f t="shared" si="67"/>
        <v>29.350000000000005</v>
      </c>
      <c r="M60" s="190">
        <f t="shared" si="67"/>
        <v>44.23</v>
      </c>
      <c r="N60" s="192">
        <f t="shared" si="67"/>
        <v>35.08</v>
      </c>
      <c r="O60" s="191">
        <f t="shared" si="67"/>
        <v>50.419999999999995</v>
      </c>
      <c r="P60" s="190">
        <f t="shared" si="67"/>
        <v>45.6</v>
      </c>
      <c r="Q60" s="190">
        <f t="shared" si="67"/>
        <v>29.9</v>
      </c>
      <c r="R60" s="192" t="str">
        <f t="shared" si="67"/>
        <v/>
      </c>
      <c r="S60" s="191">
        <f t="shared" si="67"/>
        <v>277.71999999999997</v>
      </c>
      <c r="T60" s="190" t="str">
        <f t="shared" si="67"/>
        <v/>
      </c>
      <c r="U60" s="190" t="str">
        <f t="shared" ref="U60:V60" si="68">IF(ISBLANK(U$8),"",SUM(U54,U58))</f>
        <v/>
      </c>
      <c r="V60" s="192" t="str">
        <f t="shared" si="68"/>
        <v/>
      </c>
      <c r="W60" s="190" t="str">
        <f t="shared" ref="W60:X60" si="69">IF(ISBLANK(W$8),"",SUM(W54,W58))</f>
        <v/>
      </c>
      <c r="X60" s="190" t="str">
        <f t="shared" si="69"/>
        <v/>
      </c>
      <c r="Z60" s="232"/>
    </row>
    <row r="61" spans="1:32" ht="15" customHeight="1" x14ac:dyDescent="0.3">
      <c r="C61" s="82"/>
      <c r="E61" s="232"/>
      <c r="F61" s="97"/>
      <c r="G61" s="82"/>
      <c r="J61" s="97"/>
      <c r="K61" s="82"/>
      <c r="N61" s="97"/>
      <c r="O61" s="82"/>
      <c r="R61" s="97"/>
      <c r="S61" s="82"/>
      <c r="V61" s="97"/>
      <c r="AF61" s="11"/>
    </row>
    <row r="62" spans="1:32" ht="15" customHeight="1" x14ac:dyDescent="0.3">
      <c r="C62" s="82"/>
      <c r="F62" s="97"/>
      <c r="G62" s="82"/>
      <c r="J62" s="97"/>
      <c r="K62" s="82"/>
      <c r="N62" s="97"/>
      <c r="O62" s="82"/>
      <c r="R62" s="97"/>
      <c r="S62" s="82"/>
      <c r="V62" s="97"/>
      <c r="AF62" s="11"/>
    </row>
    <row r="63" spans="1:32" ht="15" customHeight="1" x14ac:dyDescent="0.3">
      <c r="A63" s="207" t="s">
        <v>25</v>
      </c>
      <c r="B63" s="154"/>
      <c r="C63" s="183">
        <f>SUM(C48:C49)</f>
        <v>2</v>
      </c>
      <c r="D63" s="183">
        <f t="shared" ref="D63:T63" si="70">SUM(D48:D49)</f>
        <v>9.25</v>
      </c>
      <c r="E63" s="183">
        <f t="shared" si="70"/>
        <v>4</v>
      </c>
      <c r="F63" s="183">
        <f t="shared" si="70"/>
        <v>3.25</v>
      </c>
      <c r="G63" s="183">
        <f t="shared" si="70"/>
        <v>3.35</v>
      </c>
      <c r="H63" s="183">
        <f t="shared" si="70"/>
        <v>1.2</v>
      </c>
      <c r="I63" s="183">
        <f t="shared" si="70"/>
        <v>1.2</v>
      </c>
      <c r="J63" s="183">
        <f t="shared" si="70"/>
        <v>3.36</v>
      </c>
      <c r="K63" s="183">
        <f t="shared" si="70"/>
        <v>2.4500000000000002</v>
      </c>
      <c r="L63" s="183">
        <f t="shared" si="70"/>
        <v>2.4</v>
      </c>
      <c r="M63" s="183">
        <f t="shared" si="70"/>
        <v>8.5</v>
      </c>
      <c r="N63" s="183">
        <f t="shared" si="70"/>
        <v>5</v>
      </c>
      <c r="O63" s="183">
        <f t="shared" si="70"/>
        <v>27.049999999999997</v>
      </c>
      <c r="P63" s="183">
        <f t="shared" si="70"/>
        <v>15.2</v>
      </c>
      <c r="Q63" s="183">
        <f t="shared" si="70"/>
        <v>12.39</v>
      </c>
      <c r="R63" s="183">
        <f t="shared" si="70"/>
        <v>0</v>
      </c>
      <c r="S63" s="183">
        <f t="shared" si="70"/>
        <v>76.349999999999994</v>
      </c>
      <c r="T63" s="183">
        <f t="shared" si="70"/>
        <v>0</v>
      </c>
      <c r="U63" s="183">
        <f t="shared" ref="U63:V63" si="71">SUM(U48:U49)</f>
        <v>0</v>
      </c>
      <c r="V63" s="183">
        <f t="shared" si="71"/>
        <v>0</v>
      </c>
      <c r="W63" s="183">
        <f t="shared" ref="W63" si="72">SUM(W48:W49)</f>
        <v>0</v>
      </c>
      <c r="X63" s="183">
        <f>SUM(X48:X49)</f>
        <v>54.639999999999993</v>
      </c>
      <c r="Z63" s="232"/>
      <c r="AF63" s="11"/>
    </row>
    <row r="64" spans="1:32" ht="15" customHeight="1" x14ac:dyDescent="0.3">
      <c r="A64" s="207" t="s">
        <v>26</v>
      </c>
      <c r="B64" s="154"/>
      <c r="C64" s="167">
        <f t="shared" ref="C64:T64" si="73">IF(ISBLANK(C$8),"",C52)</f>
        <v>0</v>
      </c>
      <c r="D64" s="168">
        <f t="shared" si="73"/>
        <v>0</v>
      </c>
      <c r="E64" s="168">
        <f t="shared" si="73"/>
        <v>1</v>
      </c>
      <c r="F64" s="169">
        <f t="shared" si="73"/>
        <v>0.5</v>
      </c>
      <c r="G64" s="167">
        <f t="shared" si="73"/>
        <v>0</v>
      </c>
      <c r="H64" s="168">
        <f t="shared" si="73"/>
        <v>0.75</v>
      </c>
      <c r="I64" s="168">
        <f t="shared" si="73"/>
        <v>1.1000000000000001</v>
      </c>
      <c r="J64" s="169">
        <f t="shared" si="73"/>
        <v>7.92</v>
      </c>
      <c r="K64" s="167">
        <f t="shared" si="73"/>
        <v>3</v>
      </c>
      <c r="L64" s="168">
        <f t="shared" si="73"/>
        <v>3</v>
      </c>
      <c r="M64" s="168">
        <f t="shared" si="73"/>
        <v>9.18</v>
      </c>
      <c r="N64" s="169">
        <f t="shared" si="73"/>
        <v>12.3</v>
      </c>
      <c r="O64" s="167">
        <f t="shared" si="73"/>
        <v>17.54</v>
      </c>
      <c r="P64" s="168">
        <f t="shared" si="73"/>
        <v>15.25</v>
      </c>
      <c r="Q64" s="168">
        <f t="shared" si="73"/>
        <v>13.67</v>
      </c>
      <c r="R64" s="169" t="str">
        <f t="shared" si="73"/>
        <v/>
      </c>
      <c r="S64" s="167">
        <f t="shared" si="73"/>
        <v>81.86</v>
      </c>
      <c r="T64" s="168" t="str">
        <f t="shared" si="73"/>
        <v/>
      </c>
      <c r="U64" s="168" t="str">
        <f t="shared" ref="U64:V64" si="74">IF(ISBLANK(U$8),"",U52)</f>
        <v/>
      </c>
      <c r="V64" s="169" t="str">
        <f t="shared" si="74"/>
        <v/>
      </c>
      <c r="W64" s="168" t="str">
        <f t="shared" ref="W64:X64" si="75">IF(ISBLANK(W$8),"",W52)</f>
        <v/>
      </c>
      <c r="X64" s="168" t="str">
        <f t="shared" si="75"/>
        <v/>
      </c>
      <c r="Z64" s="232"/>
      <c r="AF64" s="11"/>
    </row>
    <row r="65" spans="1:32" ht="15" customHeight="1" x14ac:dyDescent="0.3">
      <c r="A65" s="207" t="s">
        <v>27</v>
      </c>
      <c r="B65" s="154"/>
      <c r="C65" s="167">
        <f t="shared" ref="C65:T65" si="76">IF(ISBLANK(C$8),"",C58)</f>
        <v>0</v>
      </c>
      <c r="D65" s="168">
        <f t="shared" si="76"/>
        <v>0.56000000000000005</v>
      </c>
      <c r="E65" s="168">
        <f t="shared" si="76"/>
        <v>0</v>
      </c>
      <c r="F65" s="169">
        <f t="shared" si="76"/>
        <v>0</v>
      </c>
      <c r="G65" s="167">
        <f t="shared" si="76"/>
        <v>3.7700000000000031</v>
      </c>
      <c r="H65" s="168">
        <f t="shared" si="76"/>
        <v>0.28000000000000003</v>
      </c>
      <c r="I65" s="168">
        <f t="shared" si="76"/>
        <v>2.8099999999999952</v>
      </c>
      <c r="J65" s="169">
        <f t="shared" si="76"/>
        <v>0.3</v>
      </c>
      <c r="K65" s="167">
        <f t="shared" si="76"/>
        <v>0</v>
      </c>
      <c r="L65" s="168">
        <f t="shared" si="76"/>
        <v>0.35</v>
      </c>
      <c r="M65" s="168">
        <f t="shared" si="76"/>
        <v>0</v>
      </c>
      <c r="N65" s="169">
        <f t="shared" si="76"/>
        <v>0</v>
      </c>
      <c r="O65" s="167">
        <f t="shared" si="76"/>
        <v>0.03</v>
      </c>
      <c r="P65" s="168">
        <f t="shared" si="76"/>
        <v>0</v>
      </c>
      <c r="Q65" s="168">
        <f t="shared" si="76"/>
        <v>0</v>
      </c>
      <c r="R65" s="169" t="str">
        <f t="shared" si="76"/>
        <v/>
      </c>
      <c r="S65" s="167">
        <f t="shared" si="76"/>
        <v>0.67999999999999994</v>
      </c>
      <c r="T65" s="168" t="str">
        <f t="shared" si="76"/>
        <v/>
      </c>
      <c r="U65" s="168" t="str">
        <f t="shared" ref="U65:V65" si="77">IF(ISBLANK(U$8),"",U58)</f>
        <v/>
      </c>
      <c r="V65" s="169" t="str">
        <f t="shared" si="77"/>
        <v/>
      </c>
      <c r="W65" s="168" t="str">
        <f t="shared" ref="W65:X65" si="78">IF(ISBLANK(W$8),"",W58)</f>
        <v/>
      </c>
      <c r="X65" s="168" t="str">
        <f t="shared" si="78"/>
        <v/>
      </c>
      <c r="Z65" s="232"/>
      <c r="AF65" s="11"/>
    </row>
    <row r="66" spans="1:32" ht="15" customHeight="1" x14ac:dyDescent="0.3">
      <c r="A66" s="207" t="s">
        <v>28</v>
      </c>
      <c r="B66" s="154"/>
      <c r="C66" s="167">
        <f t="shared" ref="C66:T66" si="79">IF(ISBLANK(C$8),"",C60-SUM(C63:C65))</f>
        <v>27</v>
      </c>
      <c r="D66" s="168">
        <f t="shared" si="79"/>
        <v>19.699999999999996</v>
      </c>
      <c r="E66" s="168">
        <f t="shared" si="79"/>
        <v>17.25</v>
      </c>
      <c r="F66" s="169">
        <f t="shared" si="79"/>
        <v>35.75</v>
      </c>
      <c r="G66" s="167">
        <f t="shared" si="79"/>
        <v>22.1</v>
      </c>
      <c r="H66" s="168">
        <f t="shared" si="79"/>
        <v>3.1</v>
      </c>
      <c r="I66" s="168">
        <f t="shared" si="79"/>
        <v>15.899999999999999</v>
      </c>
      <c r="J66" s="169">
        <f t="shared" si="79"/>
        <v>18.509999999999998</v>
      </c>
      <c r="K66" s="167">
        <f t="shared" si="79"/>
        <v>7.6000000000000005</v>
      </c>
      <c r="L66" s="168">
        <f t="shared" si="79"/>
        <v>23.600000000000005</v>
      </c>
      <c r="M66" s="168">
        <f t="shared" si="79"/>
        <v>26.549999999999997</v>
      </c>
      <c r="N66" s="169">
        <f t="shared" si="79"/>
        <v>17.779999999999998</v>
      </c>
      <c r="O66" s="167">
        <f t="shared" si="79"/>
        <v>5.7999999999999972</v>
      </c>
      <c r="P66" s="168">
        <f t="shared" si="79"/>
        <v>15.150000000000002</v>
      </c>
      <c r="Q66" s="168">
        <f t="shared" si="79"/>
        <v>3.8399999999999963</v>
      </c>
      <c r="R66" s="169" t="str">
        <f t="shared" si="79"/>
        <v/>
      </c>
      <c r="S66" s="167">
        <f t="shared" si="79"/>
        <v>118.82999999999998</v>
      </c>
      <c r="T66" s="168" t="str">
        <f t="shared" si="79"/>
        <v/>
      </c>
      <c r="U66" s="168" t="str">
        <f t="shared" ref="U66:V66" si="80">IF(ISBLANK(U$8),"",U60-SUM(U63:U65))</f>
        <v/>
      </c>
      <c r="V66" s="169" t="str">
        <f t="shared" si="80"/>
        <v/>
      </c>
      <c r="W66" s="168" t="str">
        <f t="shared" ref="W66:X66" si="81">IF(ISBLANK(W$8),"",W60-SUM(W63:W65))</f>
        <v/>
      </c>
      <c r="X66" s="168" t="str">
        <f t="shared" si="81"/>
        <v/>
      </c>
      <c r="Z66" s="232"/>
      <c r="AF66" s="11"/>
    </row>
    <row r="67" spans="1:32" ht="15" customHeight="1" x14ac:dyDescent="0.3">
      <c r="C67" s="82"/>
      <c r="F67" s="97"/>
      <c r="G67" s="82"/>
      <c r="J67" s="97"/>
      <c r="K67" s="82"/>
      <c r="N67" s="97"/>
      <c r="O67" s="82"/>
      <c r="R67" s="97"/>
      <c r="S67" s="82"/>
      <c r="V67" s="97"/>
      <c r="AF67" s="11"/>
    </row>
    <row r="68" spans="1:32" ht="15" customHeight="1" x14ac:dyDescent="0.3">
      <c r="C68" s="82"/>
      <c r="F68" s="97"/>
      <c r="G68" s="82"/>
      <c r="J68" s="97"/>
      <c r="K68" s="82"/>
      <c r="N68" s="97"/>
      <c r="O68" s="82"/>
      <c r="R68" s="97"/>
      <c r="S68" s="82"/>
      <c r="V68" s="97"/>
      <c r="AF68" s="11"/>
    </row>
    <row r="69" spans="1:32" ht="15" customHeight="1" x14ac:dyDescent="0.3">
      <c r="A69" s="207" t="s">
        <v>29</v>
      </c>
      <c r="B69" s="154"/>
      <c r="C69" s="167">
        <f t="shared" ref="C69:T69" si="82">IF(ISBLANK(C$8),"",SUM(C63:C65))</f>
        <v>2</v>
      </c>
      <c r="D69" s="168">
        <f t="shared" si="82"/>
        <v>9.81</v>
      </c>
      <c r="E69" s="168">
        <f t="shared" si="82"/>
        <v>5</v>
      </c>
      <c r="F69" s="169">
        <f t="shared" si="82"/>
        <v>3.75</v>
      </c>
      <c r="G69" s="167">
        <f t="shared" si="82"/>
        <v>7.1200000000000028</v>
      </c>
      <c r="H69" s="168">
        <f t="shared" si="82"/>
        <v>2.23</v>
      </c>
      <c r="I69" s="168">
        <f t="shared" si="82"/>
        <v>5.109999999999995</v>
      </c>
      <c r="J69" s="169">
        <f t="shared" si="82"/>
        <v>11.58</v>
      </c>
      <c r="K69" s="167">
        <f t="shared" si="82"/>
        <v>5.45</v>
      </c>
      <c r="L69" s="168">
        <f t="shared" si="82"/>
        <v>5.75</v>
      </c>
      <c r="M69" s="168">
        <f t="shared" si="82"/>
        <v>17.68</v>
      </c>
      <c r="N69" s="169">
        <f t="shared" si="82"/>
        <v>17.3</v>
      </c>
      <c r="O69" s="167">
        <f t="shared" si="82"/>
        <v>44.62</v>
      </c>
      <c r="P69" s="168">
        <f t="shared" si="82"/>
        <v>30.45</v>
      </c>
      <c r="Q69" s="168">
        <f t="shared" si="82"/>
        <v>26.060000000000002</v>
      </c>
      <c r="R69" s="169" t="str">
        <f t="shared" si="82"/>
        <v/>
      </c>
      <c r="S69" s="167">
        <f t="shared" si="82"/>
        <v>158.88999999999999</v>
      </c>
      <c r="T69" s="168" t="str">
        <f t="shared" si="82"/>
        <v/>
      </c>
      <c r="U69" s="168" t="str">
        <f t="shared" ref="U69:V69" si="83">IF(ISBLANK(U$8),"",SUM(U63:U65))</f>
        <v/>
      </c>
      <c r="V69" s="169" t="str">
        <f t="shared" si="83"/>
        <v/>
      </c>
      <c r="W69" s="168" t="str">
        <f t="shared" ref="W69:X69" si="84">IF(ISBLANK(W$8),"",SUM(W63:W65))</f>
        <v/>
      </c>
      <c r="X69" s="168" t="str">
        <f t="shared" si="84"/>
        <v/>
      </c>
      <c r="Z69" s="232"/>
      <c r="AF69" s="11"/>
    </row>
    <row r="70" spans="1:32" ht="15" customHeight="1" x14ac:dyDescent="0.3">
      <c r="A70" s="207" t="s">
        <v>28</v>
      </c>
      <c r="B70" s="154"/>
      <c r="C70" s="167">
        <f t="shared" ref="C70:T70" si="85">C66</f>
        <v>27</v>
      </c>
      <c r="D70" s="168">
        <f t="shared" si="85"/>
        <v>19.699999999999996</v>
      </c>
      <c r="E70" s="168">
        <f t="shared" si="85"/>
        <v>17.25</v>
      </c>
      <c r="F70" s="169">
        <f t="shared" si="85"/>
        <v>35.75</v>
      </c>
      <c r="G70" s="167">
        <f t="shared" si="85"/>
        <v>22.1</v>
      </c>
      <c r="H70" s="168">
        <f t="shared" si="85"/>
        <v>3.1</v>
      </c>
      <c r="I70" s="168">
        <f t="shared" si="85"/>
        <v>15.899999999999999</v>
      </c>
      <c r="J70" s="169">
        <f t="shared" si="85"/>
        <v>18.509999999999998</v>
      </c>
      <c r="K70" s="167">
        <f t="shared" si="85"/>
        <v>7.6000000000000005</v>
      </c>
      <c r="L70" s="168">
        <f t="shared" si="85"/>
        <v>23.600000000000005</v>
      </c>
      <c r="M70" s="168">
        <f t="shared" si="85"/>
        <v>26.549999999999997</v>
      </c>
      <c r="N70" s="169">
        <f t="shared" si="85"/>
        <v>17.779999999999998</v>
      </c>
      <c r="O70" s="167">
        <f t="shared" si="85"/>
        <v>5.7999999999999972</v>
      </c>
      <c r="P70" s="168">
        <f t="shared" si="85"/>
        <v>15.150000000000002</v>
      </c>
      <c r="Q70" s="168">
        <f t="shared" si="85"/>
        <v>3.8399999999999963</v>
      </c>
      <c r="R70" s="169" t="str">
        <f t="shared" si="85"/>
        <v/>
      </c>
      <c r="S70" s="167">
        <f t="shared" si="85"/>
        <v>118.82999999999998</v>
      </c>
      <c r="T70" s="168" t="str">
        <f t="shared" si="85"/>
        <v/>
      </c>
      <c r="U70" s="168" t="str">
        <f t="shared" ref="U70:V70" si="86">U66</f>
        <v/>
      </c>
      <c r="V70" s="169" t="str">
        <f t="shared" si="86"/>
        <v/>
      </c>
      <c r="W70" s="168" t="str">
        <f t="shared" ref="W70:X70" si="87">W66</f>
        <v/>
      </c>
      <c r="X70" s="168" t="str">
        <f t="shared" si="87"/>
        <v/>
      </c>
      <c r="Z70" s="232"/>
      <c r="AF70" s="11"/>
    </row>
    <row r="71" spans="1:32" ht="15" customHeight="1" x14ac:dyDescent="0.3">
      <c r="C71" s="82"/>
      <c r="F71" s="97"/>
      <c r="G71" s="82"/>
      <c r="J71" s="97"/>
      <c r="K71" s="82"/>
      <c r="N71" s="97"/>
      <c r="O71" s="82"/>
      <c r="R71" s="97"/>
      <c r="S71" s="82"/>
      <c r="V71" s="97"/>
      <c r="AF71" s="11"/>
    </row>
    <row r="72" spans="1:32" ht="15" customHeight="1" x14ac:dyDescent="0.3">
      <c r="A72" s="142" t="s">
        <v>30</v>
      </c>
      <c r="B72" s="150"/>
      <c r="C72" s="151">
        <f t="shared" ref="C72:X72" si="88">IF(ISBLANK(C$8),"",C69/C60)</f>
        <v>6.8965517241379309E-2</v>
      </c>
      <c r="D72" s="150">
        <f t="shared" si="88"/>
        <v>0.33242968485259239</v>
      </c>
      <c r="E72" s="150">
        <f t="shared" si="88"/>
        <v>0.2247191011235955</v>
      </c>
      <c r="F72" s="152">
        <f t="shared" si="88"/>
        <v>9.49367088607595E-2</v>
      </c>
      <c r="G72" s="151">
        <f t="shared" si="88"/>
        <v>0.24366872005475707</v>
      </c>
      <c r="H72" s="150">
        <f t="shared" si="88"/>
        <v>0.41838649155722324</v>
      </c>
      <c r="I72" s="150">
        <f t="shared" si="88"/>
        <v>0.2432175154688242</v>
      </c>
      <c r="J72" s="152">
        <f t="shared" si="88"/>
        <v>0.38484546360917254</v>
      </c>
      <c r="K72" s="151">
        <f t="shared" si="88"/>
        <v>0.41762452107279691</v>
      </c>
      <c r="L72" s="150">
        <f t="shared" si="88"/>
        <v>0.19591141396933556</v>
      </c>
      <c r="M72" s="150">
        <f t="shared" si="88"/>
        <v>0.3997286909337554</v>
      </c>
      <c r="N72" s="152">
        <f t="shared" si="88"/>
        <v>0.4931584948688712</v>
      </c>
      <c r="O72" s="151">
        <f t="shared" si="88"/>
        <v>0.88496628322094406</v>
      </c>
      <c r="P72" s="150">
        <f t="shared" si="88"/>
        <v>0.66776315789473684</v>
      </c>
      <c r="Q72" s="150">
        <f t="shared" si="88"/>
        <v>0.8715719063545152</v>
      </c>
      <c r="R72" s="152" t="str">
        <f t="shared" si="88"/>
        <v/>
      </c>
      <c r="S72" s="151">
        <f t="shared" si="88"/>
        <v>0.5721230015843296</v>
      </c>
      <c r="T72" s="150" t="str">
        <f t="shared" si="88"/>
        <v/>
      </c>
      <c r="U72" s="150" t="str">
        <f t="shared" si="88"/>
        <v/>
      </c>
      <c r="V72" s="152" t="str">
        <f t="shared" si="88"/>
        <v/>
      </c>
      <c r="W72" s="150" t="str">
        <f t="shared" si="88"/>
        <v/>
      </c>
      <c r="X72" s="150" t="str">
        <f t="shared" si="88"/>
        <v/>
      </c>
    </row>
    <row r="73" spans="1:32" x14ac:dyDescent="0.3">
      <c r="B73" s="5"/>
      <c r="C73" s="91"/>
      <c r="D73" s="5"/>
      <c r="E73" s="5"/>
      <c r="F73" s="92"/>
      <c r="G73" s="91"/>
      <c r="H73" s="5"/>
      <c r="I73" s="5"/>
      <c r="J73" s="92"/>
      <c r="K73" s="91"/>
      <c r="L73" s="5"/>
      <c r="M73" s="5"/>
      <c r="N73" s="92"/>
      <c r="O73" s="91"/>
      <c r="P73" s="5"/>
      <c r="Q73" s="5"/>
      <c r="R73" s="92"/>
      <c r="S73" s="91"/>
      <c r="T73" s="5"/>
      <c r="U73" s="5"/>
      <c r="V73" s="92"/>
    </row>
    <row r="74" spans="1:32" ht="15" customHeight="1" x14ac:dyDescent="0.3">
      <c r="C74" s="82"/>
      <c r="F74" s="97"/>
      <c r="G74" s="82"/>
      <c r="J74" s="97"/>
      <c r="K74" s="82"/>
      <c r="N74" s="97"/>
      <c r="O74" s="195"/>
      <c r="R74" s="97"/>
      <c r="S74" s="82"/>
      <c r="V74" s="97"/>
      <c r="AF74" s="11"/>
    </row>
    <row r="75" spans="1:32" x14ac:dyDescent="0.3">
      <c r="A75" s="145" t="s">
        <v>1954</v>
      </c>
      <c r="B75" s="139"/>
      <c r="C75" s="148"/>
      <c r="D75" s="139"/>
      <c r="E75" s="139"/>
      <c r="F75" s="149"/>
      <c r="G75" s="148"/>
      <c r="H75" s="139"/>
      <c r="I75" s="139"/>
      <c r="J75" s="149"/>
      <c r="K75" s="148"/>
      <c r="L75" s="139"/>
      <c r="M75" s="139"/>
      <c r="N75" s="149"/>
      <c r="O75" s="148"/>
      <c r="P75" s="139"/>
      <c r="Q75" s="139"/>
      <c r="R75" s="149"/>
      <c r="S75" s="148"/>
      <c r="T75" s="139"/>
      <c r="U75" s="139"/>
      <c r="V75" s="149"/>
      <c r="W75" s="139"/>
      <c r="X75" s="139"/>
      <c r="Z75" s="2" t="s">
        <v>13</v>
      </c>
    </row>
    <row r="76" spans="1:32" ht="15" customHeight="1" x14ac:dyDescent="0.3">
      <c r="A76" s="207" t="s">
        <v>32</v>
      </c>
      <c r="B76" s="154"/>
      <c r="C76" s="240"/>
      <c r="D76" s="241"/>
      <c r="E76" s="241"/>
      <c r="F76" s="242"/>
      <c r="G76" s="240"/>
      <c r="H76" s="241"/>
      <c r="I76" s="241"/>
      <c r="J76" s="242">
        <v>2.36</v>
      </c>
      <c r="K76" s="240">
        <v>1.69</v>
      </c>
      <c r="L76" s="241"/>
      <c r="M76" s="241"/>
      <c r="N76" s="242">
        <v>2.64</v>
      </c>
      <c r="O76" s="240">
        <v>17.559999999999999</v>
      </c>
      <c r="P76" s="241">
        <v>3.5</v>
      </c>
      <c r="Q76" s="241">
        <v>0.98</v>
      </c>
      <c r="R76" s="185"/>
      <c r="S76" s="184"/>
      <c r="T76" s="154"/>
      <c r="U76" s="154"/>
      <c r="V76" s="185"/>
      <c r="W76" s="154"/>
      <c r="X76" s="154">
        <f>SUM(O76:Q76)</f>
        <v>22.04</v>
      </c>
    </row>
    <row r="77" spans="1:32" ht="15" customHeight="1" x14ac:dyDescent="0.3">
      <c r="A77" s="207" t="s">
        <v>14</v>
      </c>
      <c r="B77" s="154"/>
      <c r="C77" s="240">
        <v>2</v>
      </c>
      <c r="D77" s="241">
        <v>9.25</v>
      </c>
      <c r="E77" s="241">
        <v>4</v>
      </c>
      <c r="F77" s="242">
        <v>3.25</v>
      </c>
      <c r="G77" s="240">
        <v>3.35</v>
      </c>
      <c r="H77" s="241">
        <v>1.2</v>
      </c>
      <c r="I77" s="241">
        <v>1.2</v>
      </c>
      <c r="J77" s="242">
        <v>1</v>
      </c>
      <c r="K77" s="240">
        <v>0.76</v>
      </c>
      <c r="L77" s="241">
        <v>2.4</v>
      </c>
      <c r="M77" s="241">
        <v>8.5</v>
      </c>
      <c r="N77" s="242">
        <v>2.36</v>
      </c>
      <c r="O77" s="240">
        <v>9.49</v>
      </c>
      <c r="P77" s="241">
        <v>11.7</v>
      </c>
      <c r="Q77" s="241">
        <v>11.41</v>
      </c>
      <c r="R77" s="185"/>
      <c r="S77" s="184"/>
      <c r="T77" s="154"/>
      <c r="U77" s="154"/>
      <c r="V77" s="185"/>
      <c r="W77" s="154"/>
      <c r="X77" s="154">
        <f t="shared" ref="X77:X82" si="89">SUM(O77:Q77)</f>
        <v>32.599999999999994</v>
      </c>
    </row>
    <row r="78" spans="1:32" ht="15" customHeight="1" x14ac:dyDescent="0.3">
      <c r="A78" s="207" t="s">
        <v>15</v>
      </c>
      <c r="B78" s="154"/>
      <c r="C78" s="240">
        <v>1</v>
      </c>
      <c r="D78" s="241">
        <v>17.649999999999999</v>
      </c>
      <c r="E78" s="241">
        <v>15</v>
      </c>
      <c r="F78" s="242">
        <v>33.25</v>
      </c>
      <c r="G78" s="240">
        <v>20</v>
      </c>
      <c r="H78" s="241">
        <v>1.8</v>
      </c>
      <c r="I78" s="241">
        <v>8.9</v>
      </c>
      <c r="J78" s="242">
        <v>10.82</v>
      </c>
      <c r="K78" s="240">
        <v>2.2999999999999998</v>
      </c>
      <c r="L78" s="241">
        <v>3</v>
      </c>
      <c r="M78" s="241">
        <v>3.9099999999999997</v>
      </c>
      <c r="N78" s="242">
        <v>3.08</v>
      </c>
      <c r="O78" s="240">
        <v>0.15</v>
      </c>
      <c r="P78" s="241">
        <v>2.4</v>
      </c>
      <c r="Q78" s="241">
        <v>0.76</v>
      </c>
      <c r="R78" s="185"/>
      <c r="S78" s="184"/>
      <c r="T78" s="154"/>
      <c r="U78" s="154"/>
      <c r="V78" s="185"/>
      <c r="W78" s="154"/>
      <c r="X78" s="154">
        <f t="shared" si="89"/>
        <v>3.3099999999999996</v>
      </c>
    </row>
    <row r="79" spans="1:32" ht="15" customHeight="1" x14ac:dyDescent="0.3">
      <c r="A79" s="207" t="s">
        <v>16</v>
      </c>
      <c r="B79" s="154"/>
      <c r="C79" s="240">
        <v>17</v>
      </c>
      <c r="D79" s="241">
        <v>1.2</v>
      </c>
      <c r="E79" s="241">
        <v>2.25</v>
      </c>
      <c r="F79" s="242">
        <v>2.5</v>
      </c>
      <c r="G79" s="240">
        <v>0.5</v>
      </c>
      <c r="H79" s="241">
        <v>1.3</v>
      </c>
      <c r="I79" s="241">
        <v>3.3</v>
      </c>
      <c r="J79" s="242">
        <v>5.63</v>
      </c>
      <c r="K79" s="240">
        <v>4.8</v>
      </c>
      <c r="L79" s="241">
        <v>15.3</v>
      </c>
      <c r="M79" s="241">
        <v>16.34</v>
      </c>
      <c r="N79" s="242">
        <v>13.7</v>
      </c>
      <c r="O79" s="240">
        <v>5.53</v>
      </c>
      <c r="P79" s="241">
        <v>12.15</v>
      </c>
      <c r="Q79" s="241">
        <v>2.5</v>
      </c>
      <c r="R79" s="185"/>
      <c r="S79" s="184"/>
      <c r="T79" s="154"/>
      <c r="U79" s="154"/>
      <c r="V79" s="185"/>
      <c r="W79" s="154"/>
      <c r="X79" s="154">
        <f t="shared" si="89"/>
        <v>20.18</v>
      </c>
    </row>
    <row r="80" spans="1:32" ht="15" customHeight="1" x14ac:dyDescent="0.3">
      <c r="A80" s="207" t="s">
        <v>17</v>
      </c>
      <c r="B80" s="154"/>
      <c r="C80" s="240"/>
      <c r="D80" s="241"/>
      <c r="E80" s="241">
        <v>1</v>
      </c>
      <c r="F80" s="242">
        <v>0.5</v>
      </c>
      <c r="G80" s="240"/>
      <c r="H80" s="241">
        <v>0.75</v>
      </c>
      <c r="I80" s="241">
        <v>1.1000000000000001</v>
      </c>
      <c r="J80" s="242">
        <v>7.92</v>
      </c>
      <c r="K80" s="240">
        <v>3</v>
      </c>
      <c r="L80" s="241">
        <v>3</v>
      </c>
      <c r="M80" s="241">
        <v>9.18</v>
      </c>
      <c r="N80" s="242">
        <v>12.3</v>
      </c>
      <c r="O80" s="240">
        <v>17.54</v>
      </c>
      <c r="P80" s="241">
        <v>15.25</v>
      </c>
      <c r="Q80" s="241">
        <v>13.67</v>
      </c>
      <c r="R80" s="185"/>
      <c r="S80" s="184"/>
      <c r="T80" s="154"/>
      <c r="U80" s="154"/>
      <c r="V80" s="185"/>
      <c r="W80" s="154"/>
      <c r="X80" s="154">
        <f t="shared" si="89"/>
        <v>46.46</v>
      </c>
      <c r="Z80" s="11"/>
    </row>
    <row r="81" spans="1:32" ht="15" customHeight="1" x14ac:dyDescent="0.3">
      <c r="A81" s="207" t="s">
        <v>18</v>
      </c>
      <c r="B81" s="154"/>
      <c r="C81" s="240">
        <v>9</v>
      </c>
      <c r="D81" s="241">
        <v>0.85</v>
      </c>
      <c r="E81" s="241"/>
      <c r="F81" s="242"/>
      <c r="G81" s="240">
        <v>1.6</v>
      </c>
      <c r="H81" s="241"/>
      <c r="I81" s="241">
        <v>3.7</v>
      </c>
      <c r="J81" s="242">
        <v>2.06</v>
      </c>
      <c r="K81" s="240">
        <v>0.5</v>
      </c>
      <c r="L81" s="241">
        <v>5.3</v>
      </c>
      <c r="M81" s="241">
        <v>6.3</v>
      </c>
      <c r="N81" s="242">
        <v>1</v>
      </c>
      <c r="O81" s="240">
        <v>0.12</v>
      </c>
      <c r="P81" s="241">
        <v>0.6</v>
      </c>
      <c r="Q81" s="241">
        <v>0.57999999999999996</v>
      </c>
      <c r="R81" s="185"/>
      <c r="S81" s="184"/>
      <c r="T81" s="154"/>
      <c r="U81" s="154"/>
      <c r="V81" s="185"/>
      <c r="W81" s="154"/>
      <c r="X81" s="154">
        <f t="shared" si="89"/>
        <v>1.2999999999999998</v>
      </c>
      <c r="Z81" s="80"/>
    </row>
    <row r="82" spans="1:32" ht="15" customHeight="1" x14ac:dyDescent="0.3">
      <c r="A82" s="141" t="s">
        <v>19</v>
      </c>
      <c r="B82" s="186"/>
      <c r="C82" s="187">
        <f>IF(ISBLANK(C$8),"",SUM(C76:C81))</f>
        <v>29</v>
      </c>
      <c r="D82" s="186">
        <f t="shared" ref="D82:W82" si="90">IF(ISBLANK(D$8),"",SUM(D76:D81))</f>
        <v>28.95</v>
      </c>
      <c r="E82" s="186">
        <f t="shared" si="90"/>
        <v>22.25</v>
      </c>
      <c r="F82" s="188">
        <f t="shared" si="90"/>
        <v>39.5</v>
      </c>
      <c r="G82" s="187">
        <f t="shared" si="90"/>
        <v>25.450000000000003</v>
      </c>
      <c r="H82" s="186">
        <f t="shared" si="90"/>
        <v>5.05</v>
      </c>
      <c r="I82" s="186">
        <f t="shared" si="90"/>
        <v>18.2</v>
      </c>
      <c r="J82" s="188">
        <f t="shared" si="90"/>
        <v>29.789999999999996</v>
      </c>
      <c r="K82" s="187">
        <f t="shared" si="90"/>
        <v>13.05</v>
      </c>
      <c r="L82" s="186">
        <f t="shared" si="90"/>
        <v>29.000000000000004</v>
      </c>
      <c r="M82" s="186">
        <f t="shared" si="90"/>
        <v>44.23</v>
      </c>
      <c r="N82" s="188">
        <f t="shared" si="90"/>
        <v>35.08</v>
      </c>
      <c r="O82" s="187">
        <f t="shared" si="90"/>
        <v>50.389999999999993</v>
      </c>
      <c r="P82" s="186">
        <f t="shared" si="90"/>
        <v>45.6</v>
      </c>
      <c r="Q82" s="186">
        <f t="shared" si="90"/>
        <v>29.9</v>
      </c>
      <c r="R82" s="188" t="str">
        <f t="shared" si="90"/>
        <v/>
      </c>
      <c r="S82" s="187">
        <f t="shared" si="90"/>
        <v>0</v>
      </c>
      <c r="T82" s="186" t="str">
        <f t="shared" si="90"/>
        <v/>
      </c>
      <c r="U82" s="186" t="str">
        <f t="shared" si="90"/>
        <v/>
      </c>
      <c r="V82" s="188" t="str">
        <f t="shared" si="90"/>
        <v/>
      </c>
      <c r="W82" s="186" t="str">
        <f t="shared" si="90"/>
        <v/>
      </c>
      <c r="X82" s="186">
        <f t="shared" si="89"/>
        <v>125.88999999999999</v>
      </c>
      <c r="Z82" s="11"/>
    </row>
    <row r="83" spans="1:32" ht="15" customHeight="1" x14ac:dyDescent="0.3">
      <c r="C83" s="82"/>
      <c r="F83" s="97"/>
      <c r="G83" s="82"/>
      <c r="J83" s="97"/>
      <c r="K83" s="82"/>
      <c r="N83" s="97"/>
      <c r="O83" s="82"/>
      <c r="R83" s="97"/>
      <c r="S83" s="82"/>
      <c r="V83" s="97"/>
      <c r="AF83" s="11"/>
    </row>
    <row r="84" spans="1:32" ht="15" customHeight="1" x14ac:dyDescent="0.3">
      <c r="A84" s="207" t="s">
        <v>20</v>
      </c>
      <c r="B84" s="154"/>
      <c r="C84" s="240"/>
      <c r="D84" s="241"/>
      <c r="E84" s="241"/>
      <c r="F84" s="242"/>
      <c r="G84" s="240"/>
      <c r="H84" s="241"/>
      <c r="I84" s="241"/>
      <c r="J84" s="242"/>
      <c r="K84" s="240"/>
      <c r="L84" s="241"/>
      <c r="M84" s="241"/>
      <c r="N84" s="242"/>
      <c r="O84" s="240"/>
      <c r="P84" s="241">
        <v>0</v>
      </c>
      <c r="Q84" s="241">
        <v>0</v>
      </c>
      <c r="R84" s="185"/>
      <c r="S84" s="184"/>
      <c r="T84" s="154"/>
      <c r="U84" s="154"/>
      <c r="V84" s="185"/>
      <c r="W84" s="154"/>
      <c r="X84" s="154">
        <f t="shared" ref="X84:X86" si="91">SUM(O84:Q84)</f>
        <v>0</v>
      </c>
    </row>
    <row r="85" spans="1:32" ht="15" customHeight="1" x14ac:dyDescent="0.3">
      <c r="A85" s="208" t="s">
        <v>21</v>
      </c>
      <c r="B85" s="189"/>
      <c r="C85" s="240"/>
      <c r="D85" s="241">
        <v>0.56000000000000005</v>
      </c>
      <c r="E85" s="241"/>
      <c r="F85" s="242"/>
      <c r="G85" s="240">
        <v>3.7700000000000031</v>
      </c>
      <c r="H85" s="241">
        <v>0.28000000000000003</v>
      </c>
      <c r="I85" s="241">
        <v>2.8099999999999952</v>
      </c>
      <c r="J85" s="242">
        <v>0.3</v>
      </c>
      <c r="K85" s="240"/>
      <c r="L85" s="241">
        <v>0.35</v>
      </c>
      <c r="M85" s="241"/>
      <c r="N85" s="242"/>
      <c r="O85" s="240">
        <v>0.03</v>
      </c>
      <c r="P85" s="241">
        <v>0</v>
      </c>
      <c r="Q85" s="241">
        <v>0</v>
      </c>
      <c r="R85" s="185"/>
      <c r="S85" s="184"/>
      <c r="T85" s="154"/>
      <c r="U85" s="154"/>
      <c r="V85" s="185"/>
      <c r="W85" s="154"/>
      <c r="X85" s="154">
        <f t="shared" si="91"/>
        <v>0.03</v>
      </c>
    </row>
    <row r="86" spans="1:32" ht="15" customHeight="1" x14ac:dyDescent="0.3">
      <c r="A86" s="141" t="s">
        <v>22</v>
      </c>
      <c r="B86" s="186"/>
      <c r="C86" s="187">
        <f t="shared" ref="C86:W86" si="92">IF(ISBLANK(C$8),"",SUM(C84:C85))</f>
        <v>0</v>
      </c>
      <c r="D86" s="186">
        <f t="shared" si="92"/>
        <v>0.56000000000000005</v>
      </c>
      <c r="E86" s="186">
        <f t="shared" si="92"/>
        <v>0</v>
      </c>
      <c r="F86" s="188">
        <f t="shared" si="92"/>
        <v>0</v>
      </c>
      <c r="G86" s="187">
        <f t="shared" si="92"/>
        <v>3.7700000000000031</v>
      </c>
      <c r="H86" s="186">
        <f t="shared" si="92"/>
        <v>0.28000000000000003</v>
      </c>
      <c r="I86" s="186">
        <f t="shared" si="92"/>
        <v>2.8099999999999952</v>
      </c>
      <c r="J86" s="188">
        <f t="shared" si="92"/>
        <v>0.3</v>
      </c>
      <c r="K86" s="187">
        <f t="shared" si="92"/>
        <v>0</v>
      </c>
      <c r="L86" s="186">
        <f t="shared" si="92"/>
        <v>0.35</v>
      </c>
      <c r="M86" s="186">
        <f t="shared" si="92"/>
        <v>0</v>
      </c>
      <c r="N86" s="188">
        <f t="shared" si="92"/>
        <v>0</v>
      </c>
      <c r="O86" s="187">
        <f t="shared" si="92"/>
        <v>0.03</v>
      </c>
      <c r="P86" s="186">
        <f t="shared" si="92"/>
        <v>0</v>
      </c>
      <c r="Q86" s="186">
        <f t="shared" si="92"/>
        <v>0</v>
      </c>
      <c r="R86" s="188" t="str">
        <f t="shared" si="92"/>
        <v/>
      </c>
      <c r="S86" s="187">
        <f t="shared" si="92"/>
        <v>0</v>
      </c>
      <c r="T86" s="186" t="str">
        <f t="shared" si="92"/>
        <v/>
      </c>
      <c r="U86" s="186" t="str">
        <f t="shared" si="92"/>
        <v/>
      </c>
      <c r="V86" s="188" t="str">
        <f t="shared" si="92"/>
        <v/>
      </c>
      <c r="W86" s="186" t="str">
        <f t="shared" si="92"/>
        <v/>
      </c>
      <c r="X86" s="186">
        <f t="shared" si="91"/>
        <v>0.03</v>
      </c>
      <c r="Z86" s="11"/>
    </row>
    <row r="87" spans="1:32" ht="15" customHeight="1" x14ac:dyDescent="0.3">
      <c r="C87" s="82"/>
      <c r="D87" s="4"/>
      <c r="F87" s="97"/>
      <c r="G87" s="82"/>
      <c r="H87" s="4"/>
      <c r="J87" s="97"/>
      <c r="K87" s="82"/>
      <c r="L87" s="4"/>
      <c r="N87" s="97"/>
      <c r="O87" s="82"/>
      <c r="P87" s="4"/>
      <c r="R87" s="97"/>
      <c r="S87" s="82"/>
      <c r="T87" s="4"/>
      <c r="V87" s="97"/>
    </row>
    <row r="88" spans="1:32" ht="15" customHeight="1" x14ac:dyDescent="0.3">
      <c r="A88" s="142" t="s">
        <v>33</v>
      </c>
      <c r="B88" s="190">
        <f>IF(ISBLANK(B$8),"",SUM(B82,B86))</f>
        <v>0</v>
      </c>
      <c r="C88" s="191">
        <f t="shared" ref="C88:X88" si="93">IF(ISBLANK(C$8),"",SUM(C82,C86))</f>
        <v>29</v>
      </c>
      <c r="D88" s="190">
        <f t="shared" si="93"/>
        <v>29.509999999999998</v>
      </c>
      <c r="E88" s="190">
        <f t="shared" si="93"/>
        <v>22.25</v>
      </c>
      <c r="F88" s="192">
        <f t="shared" si="93"/>
        <v>39.5</v>
      </c>
      <c r="G88" s="191">
        <f t="shared" si="93"/>
        <v>29.220000000000006</v>
      </c>
      <c r="H88" s="190">
        <f t="shared" si="93"/>
        <v>5.33</v>
      </c>
      <c r="I88" s="190">
        <f t="shared" si="93"/>
        <v>21.009999999999994</v>
      </c>
      <c r="J88" s="192">
        <f t="shared" si="93"/>
        <v>30.089999999999996</v>
      </c>
      <c r="K88" s="191">
        <f t="shared" si="93"/>
        <v>13.05</v>
      </c>
      <c r="L88" s="190">
        <f t="shared" si="93"/>
        <v>29.350000000000005</v>
      </c>
      <c r="M88" s="190">
        <f t="shared" si="93"/>
        <v>44.23</v>
      </c>
      <c r="N88" s="192">
        <f t="shared" si="93"/>
        <v>35.08</v>
      </c>
      <c r="O88" s="191">
        <f t="shared" si="93"/>
        <v>50.419999999999995</v>
      </c>
      <c r="P88" s="190">
        <f t="shared" si="93"/>
        <v>45.6</v>
      </c>
      <c r="Q88" s="190">
        <f t="shared" si="93"/>
        <v>29.9</v>
      </c>
      <c r="R88" s="192" t="str">
        <f t="shared" si="93"/>
        <v/>
      </c>
      <c r="S88" s="191">
        <f t="shared" si="93"/>
        <v>0</v>
      </c>
      <c r="T88" s="190" t="str">
        <f t="shared" si="93"/>
        <v/>
      </c>
      <c r="U88" s="190" t="str">
        <f t="shared" si="93"/>
        <v/>
      </c>
      <c r="V88" s="192" t="str">
        <f t="shared" si="93"/>
        <v/>
      </c>
      <c r="W88" s="190" t="str">
        <f t="shared" si="93"/>
        <v/>
      </c>
      <c r="X88" s="190" t="str">
        <f t="shared" si="93"/>
        <v/>
      </c>
      <c r="Z88" s="232"/>
    </row>
    <row r="89" spans="1:32" ht="15" customHeight="1" x14ac:dyDescent="0.3">
      <c r="C89" s="82"/>
      <c r="E89" s="232"/>
      <c r="F89" s="97"/>
      <c r="G89" s="82"/>
      <c r="J89" s="97"/>
      <c r="K89" s="82"/>
      <c r="N89" s="97"/>
      <c r="O89" s="82"/>
      <c r="R89" s="97"/>
      <c r="S89" s="82"/>
      <c r="V89" s="97"/>
      <c r="AF89" s="11"/>
    </row>
    <row r="90" spans="1:32" ht="15" customHeight="1" x14ac:dyDescent="0.3">
      <c r="C90" s="82"/>
      <c r="F90" s="97"/>
      <c r="G90" s="82"/>
      <c r="J90" s="97"/>
      <c r="K90" s="82"/>
      <c r="N90" s="97"/>
      <c r="O90" s="82"/>
      <c r="R90" s="97"/>
      <c r="S90" s="82"/>
      <c r="V90" s="97"/>
      <c r="AF90" s="11"/>
    </row>
    <row r="91" spans="1:32" ht="15" customHeight="1" x14ac:dyDescent="0.3">
      <c r="A91" s="207" t="s">
        <v>25</v>
      </c>
      <c r="B91" s="154"/>
      <c r="C91" s="183">
        <f>SUM(C76:C77)</f>
        <v>2</v>
      </c>
      <c r="D91" s="183">
        <f t="shared" ref="D91:W91" si="94">SUM(D76:D77)</f>
        <v>9.25</v>
      </c>
      <c r="E91" s="183">
        <f t="shared" si="94"/>
        <v>4</v>
      </c>
      <c r="F91" s="183">
        <f t="shared" si="94"/>
        <v>3.25</v>
      </c>
      <c r="G91" s="183">
        <f t="shared" si="94"/>
        <v>3.35</v>
      </c>
      <c r="H91" s="183">
        <f t="shared" si="94"/>
        <v>1.2</v>
      </c>
      <c r="I91" s="183">
        <f t="shared" si="94"/>
        <v>1.2</v>
      </c>
      <c r="J91" s="183">
        <f t="shared" si="94"/>
        <v>3.36</v>
      </c>
      <c r="K91" s="183">
        <f t="shared" si="94"/>
        <v>2.4500000000000002</v>
      </c>
      <c r="L91" s="183">
        <f t="shared" si="94"/>
        <v>2.4</v>
      </c>
      <c r="M91" s="183">
        <f t="shared" si="94"/>
        <v>8.5</v>
      </c>
      <c r="N91" s="183">
        <f t="shared" si="94"/>
        <v>5</v>
      </c>
      <c r="O91" s="183">
        <f t="shared" si="94"/>
        <v>27.049999999999997</v>
      </c>
      <c r="P91" s="183">
        <f t="shared" si="94"/>
        <v>15.2</v>
      </c>
      <c r="Q91" s="183">
        <f t="shared" si="94"/>
        <v>12.39</v>
      </c>
      <c r="R91" s="183">
        <f t="shared" si="94"/>
        <v>0</v>
      </c>
      <c r="S91" s="183">
        <f t="shared" si="94"/>
        <v>0</v>
      </c>
      <c r="T91" s="183">
        <f t="shared" si="94"/>
        <v>0</v>
      </c>
      <c r="U91" s="183">
        <f t="shared" si="94"/>
        <v>0</v>
      </c>
      <c r="V91" s="183">
        <f t="shared" si="94"/>
        <v>0</v>
      </c>
      <c r="W91" s="183">
        <f t="shared" si="94"/>
        <v>0</v>
      </c>
      <c r="X91" s="183">
        <f>SUM(X76:X77)</f>
        <v>54.639999999999993</v>
      </c>
      <c r="Z91" s="232"/>
      <c r="AF91" s="11"/>
    </row>
    <row r="92" spans="1:32" ht="15" customHeight="1" x14ac:dyDescent="0.3">
      <c r="A92" s="207" t="s">
        <v>26</v>
      </c>
      <c r="B92" s="154"/>
      <c r="C92" s="167">
        <f t="shared" ref="C92:X92" si="95">IF(ISBLANK(C$8),"",C80)</f>
        <v>0</v>
      </c>
      <c r="D92" s="168">
        <f t="shared" si="95"/>
        <v>0</v>
      </c>
      <c r="E92" s="168">
        <f t="shared" si="95"/>
        <v>1</v>
      </c>
      <c r="F92" s="169">
        <f t="shared" si="95"/>
        <v>0.5</v>
      </c>
      <c r="G92" s="167">
        <f t="shared" si="95"/>
        <v>0</v>
      </c>
      <c r="H92" s="168">
        <f t="shared" si="95"/>
        <v>0.75</v>
      </c>
      <c r="I92" s="168">
        <f t="shared" si="95"/>
        <v>1.1000000000000001</v>
      </c>
      <c r="J92" s="169">
        <f t="shared" si="95"/>
        <v>7.92</v>
      </c>
      <c r="K92" s="167">
        <f t="shared" si="95"/>
        <v>3</v>
      </c>
      <c r="L92" s="168">
        <f t="shared" si="95"/>
        <v>3</v>
      </c>
      <c r="M92" s="168">
        <f t="shared" si="95"/>
        <v>9.18</v>
      </c>
      <c r="N92" s="169">
        <f t="shared" si="95"/>
        <v>12.3</v>
      </c>
      <c r="O92" s="167">
        <f t="shared" si="95"/>
        <v>17.54</v>
      </c>
      <c r="P92" s="168">
        <f t="shared" si="95"/>
        <v>15.25</v>
      </c>
      <c r="Q92" s="168">
        <f t="shared" si="95"/>
        <v>13.67</v>
      </c>
      <c r="R92" s="169" t="str">
        <f t="shared" si="95"/>
        <v/>
      </c>
      <c r="S92" s="167">
        <f t="shared" si="95"/>
        <v>0</v>
      </c>
      <c r="T92" s="168" t="str">
        <f t="shared" si="95"/>
        <v/>
      </c>
      <c r="U92" s="168" t="str">
        <f t="shared" si="95"/>
        <v/>
      </c>
      <c r="V92" s="169" t="str">
        <f t="shared" si="95"/>
        <v/>
      </c>
      <c r="W92" s="168" t="str">
        <f t="shared" si="95"/>
        <v/>
      </c>
      <c r="X92" s="168" t="str">
        <f t="shared" si="95"/>
        <v/>
      </c>
      <c r="Z92" s="232"/>
      <c r="AF92" s="11"/>
    </row>
    <row r="93" spans="1:32" ht="15" customHeight="1" x14ac:dyDescent="0.3">
      <c r="A93" s="207" t="s">
        <v>27</v>
      </c>
      <c r="B93" s="154"/>
      <c r="C93" s="167">
        <f t="shared" ref="C93:X93" si="96">IF(ISBLANK(C$8),"",C86)</f>
        <v>0</v>
      </c>
      <c r="D93" s="168">
        <f t="shared" si="96"/>
        <v>0.56000000000000005</v>
      </c>
      <c r="E93" s="168">
        <f t="shared" si="96"/>
        <v>0</v>
      </c>
      <c r="F93" s="169">
        <f t="shared" si="96"/>
        <v>0</v>
      </c>
      <c r="G93" s="167">
        <f t="shared" si="96"/>
        <v>3.7700000000000031</v>
      </c>
      <c r="H93" s="168">
        <f t="shared" si="96"/>
        <v>0.28000000000000003</v>
      </c>
      <c r="I93" s="168">
        <f t="shared" si="96"/>
        <v>2.8099999999999952</v>
      </c>
      <c r="J93" s="169">
        <f t="shared" si="96"/>
        <v>0.3</v>
      </c>
      <c r="K93" s="167">
        <f t="shared" si="96"/>
        <v>0</v>
      </c>
      <c r="L93" s="168">
        <f t="shared" si="96"/>
        <v>0.35</v>
      </c>
      <c r="M93" s="168">
        <f t="shared" si="96"/>
        <v>0</v>
      </c>
      <c r="N93" s="169">
        <f t="shared" si="96"/>
        <v>0</v>
      </c>
      <c r="O93" s="167">
        <f t="shared" si="96"/>
        <v>0.03</v>
      </c>
      <c r="P93" s="168">
        <f t="shared" si="96"/>
        <v>0</v>
      </c>
      <c r="Q93" s="168">
        <f t="shared" si="96"/>
        <v>0</v>
      </c>
      <c r="R93" s="169" t="str">
        <f t="shared" si="96"/>
        <v/>
      </c>
      <c r="S93" s="167">
        <f t="shared" si="96"/>
        <v>0</v>
      </c>
      <c r="T93" s="168" t="str">
        <f t="shared" si="96"/>
        <v/>
      </c>
      <c r="U93" s="168" t="str">
        <f t="shared" si="96"/>
        <v/>
      </c>
      <c r="V93" s="169" t="str">
        <f t="shared" si="96"/>
        <v/>
      </c>
      <c r="W93" s="168" t="str">
        <f t="shared" si="96"/>
        <v/>
      </c>
      <c r="X93" s="168" t="str">
        <f t="shared" si="96"/>
        <v/>
      </c>
      <c r="Z93" s="232"/>
      <c r="AF93" s="11"/>
    </row>
    <row r="94" spans="1:32" ht="15" customHeight="1" x14ac:dyDescent="0.3">
      <c r="A94" s="207" t="s">
        <v>28</v>
      </c>
      <c r="B94" s="154"/>
      <c r="C94" s="167">
        <f t="shared" ref="C94:T94" si="97">IF(ISBLANK(C$8),"",C88-SUM(C91:C93))</f>
        <v>27</v>
      </c>
      <c r="D94" s="168">
        <f t="shared" si="97"/>
        <v>19.699999999999996</v>
      </c>
      <c r="E94" s="168">
        <f t="shared" si="97"/>
        <v>17.25</v>
      </c>
      <c r="F94" s="169">
        <f t="shared" si="97"/>
        <v>35.75</v>
      </c>
      <c r="G94" s="167">
        <f t="shared" si="97"/>
        <v>22.1</v>
      </c>
      <c r="H94" s="168">
        <f t="shared" si="97"/>
        <v>3.1</v>
      </c>
      <c r="I94" s="168">
        <f t="shared" si="97"/>
        <v>15.899999999999999</v>
      </c>
      <c r="J94" s="169">
        <f t="shared" si="97"/>
        <v>18.509999999999998</v>
      </c>
      <c r="K94" s="167">
        <f t="shared" si="97"/>
        <v>7.6000000000000005</v>
      </c>
      <c r="L94" s="168">
        <f t="shared" si="97"/>
        <v>23.600000000000005</v>
      </c>
      <c r="M94" s="168">
        <f t="shared" si="97"/>
        <v>26.549999999999997</v>
      </c>
      <c r="N94" s="169">
        <f t="shared" si="97"/>
        <v>17.779999999999998</v>
      </c>
      <c r="O94" s="167">
        <f t="shared" si="97"/>
        <v>5.7999999999999972</v>
      </c>
      <c r="P94" s="168">
        <f t="shared" si="97"/>
        <v>15.150000000000002</v>
      </c>
      <c r="Q94" s="168">
        <f t="shared" si="97"/>
        <v>3.8399999999999963</v>
      </c>
      <c r="R94" s="169" t="str">
        <f t="shared" si="97"/>
        <v/>
      </c>
      <c r="S94" s="167">
        <f t="shared" si="97"/>
        <v>0</v>
      </c>
      <c r="T94" s="168" t="str">
        <f t="shared" si="97"/>
        <v/>
      </c>
      <c r="U94" s="168" t="str">
        <f t="shared" ref="U94:X94" si="98">IF(ISBLANK(U$8),"",U88-SUM(U91:U93))</f>
        <v/>
      </c>
      <c r="V94" s="169" t="str">
        <f t="shared" si="98"/>
        <v/>
      </c>
      <c r="W94" s="168" t="str">
        <f t="shared" si="98"/>
        <v/>
      </c>
      <c r="X94" s="168" t="str">
        <f t="shared" si="98"/>
        <v/>
      </c>
      <c r="Z94" s="232"/>
      <c r="AF94" s="11"/>
    </row>
    <row r="95" spans="1:32" ht="15" customHeight="1" x14ac:dyDescent="0.3">
      <c r="C95" s="82"/>
      <c r="F95" s="97"/>
      <c r="G95" s="82"/>
      <c r="J95" s="97"/>
      <c r="K95" s="82"/>
      <c r="N95" s="97"/>
      <c r="O95" s="82"/>
      <c r="R95" s="97"/>
      <c r="S95" s="82"/>
      <c r="V95" s="97"/>
      <c r="AF95" s="11"/>
    </row>
    <row r="96" spans="1:32" ht="15" customHeight="1" x14ac:dyDescent="0.3">
      <c r="C96" s="82"/>
      <c r="F96" s="97"/>
      <c r="G96" s="82"/>
      <c r="J96" s="97"/>
      <c r="K96" s="82"/>
      <c r="N96" s="97"/>
      <c r="O96" s="82"/>
      <c r="R96" s="97"/>
      <c r="S96" s="82"/>
      <c r="V96" s="97"/>
      <c r="AF96" s="11"/>
    </row>
    <row r="97" spans="1:32" ht="15" customHeight="1" x14ac:dyDescent="0.3">
      <c r="A97" s="207" t="s">
        <v>29</v>
      </c>
      <c r="B97" s="154"/>
      <c r="C97" s="167">
        <f t="shared" ref="C97:T97" si="99">IF(ISBLANK(C$8),"",SUM(C91:C93))</f>
        <v>2</v>
      </c>
      <c r="D97" s="168">
        <f t="shared" si="99"/>
        <v>9.81</v>
      </c>
      <c r="E97" s="168">
        <f t="shared" si="99"/>
        <v>5</v>
      </c>
      <c r="F97" s="169">
        <f t="shared" si="99"/>
        <v>3.75</v>
      </c>
      <c r="G97" s="167">
        <f t="shared" si="99"/>
        <v>7.1200000000000028</v>
      </c>
      <c r="H97" s="168">
        <f t="shared" si="99"/>
        <v>2.23</v>
      </c>
      <c r="I97" s="168">
        <f t="shared" si="99"/>
        <v>5.109999999999995</v>
      </c>
      <c r="J97" s="169">
        <f t="shared" si="99"/>
        <v>11.58</v>
      </c>
      <c r="K97" s="167">
        <f t="shared" si="99"/>
        <v>5.45</v>
      </c>
      <c r="L97" s="168">
        <f t="shared" si="99"/>
        <v>5.75</v>
      </c>
      <c r="M97" s="168">
        <f t="shared" si="99"/>
        <v>17.68</v>
      </c>
      <c r="N97" s="169">
        <f t="shared" si="99"/>
        <v>17.3</v>
      </c>
      <c r="O97" s="167">
        <f t="shared" si="99"/>
        <v>44.62</v>
      </c>
      <c r="P97" s="168">
        <f t="shared" si="99"/>
        <v>30.45</v>
      </c>
      <c r="Q97" s="168">
        <f t="shared" si="99"/>
        <v>26.060000000000002</v>
      </c>
      <c r="R97" s="169" t="str">
        <f t="shared" si="99"/>
        <v/>
      </c>
      <c r="S97" s="167">
        <f t="shared" si="99"/>
        <v>0</v>
      </c>
      <c r="T97" s="168" t="str">
        <f t="shared" si="99"/>
        <v/>
      </c>
      <c r="U97" s="168" t="str">
        <f t="shared" ref="U97:X97" si="100">IF(ISBLANK(U$8),"",SUM(U91:U93))</f>
        <v/>
      </c>
      <c r="V97" s="169" t="str">
        <f t="shared" si="100"/>
        <v/>
      </c>
      <c r="W97" s="168" t="str">
        <f t="shared" si="100"/>
        <v/>
      </c>
      <c r="X97" s="168" t="str">
        <f t="shared" si="100"/>
        <v/>
      </c>
      <c r="Z97" s="232"/>
      <c r="AF97" s="11"/>
    </row>
    <row r="98" spans="1:32" ht="15" customHeight="1" x14ac:dyDescent="0.3">
      <c r="A98" s="207" t="s">
        <v>28</v>
      </c>
      <c r="B98" s="154"/>
      <c r="C98" s="167">
        <f t="shared" ref="C98:X98" si="101">C94</f>
        <v>27</v>
      </c>
      <c r="D98" s="168">
        <f t="shared" si="101"/>
        <v>19.699999999999996</v>
      </c>
      <c r="E98" s="168">
        <f t="shared" si="101"/>
        <v>17.25</v>
      </c>
      <c r="F98" s="169">
        <f t="shared" si="101"/>
        <v>35.75</v>
      </c>
      <c r="G98" s="167">
        <f t="shared" si="101"/>
        <v>22.1</v>
      </c>
      <c r="H98" s="168">
        <f t="shared" si="101"/>
        <v>3.1</v>
      </c>
      <c r="I98" s="168">
        <f t="shared" si="101"/>
        <v>15.899999999999999</v>
      </c>
      <c r="J98" s="169">
        <f t="shared" si="101"/>
        <v>18.509999999999998</v>
      </c>
      <c r="K98" s="167">
        <f t="shared" si="101"/>
        <v>7.6000000000000005</v>
      </c>
      <c r="L98" s="168">
        <f t="shared" si="101"/>
        <v>23.600000000000005</v>
      </c>
      <c r="M98" s="168">
        <f t="shared" si="101"/>
        <v>26.549999999999997</v>
      </c>
      <c r="N98" s="169">
        <f t="shared" si="101"/>
        <v>17.779999999999998</v>
      </c>
      <c r="O98" s="167">
        <f t="shared" si="101"/>
        <v>5.7999999999999972</v>
      </c>
      <c r="P98" s="168">
        <f t="shared" si="101"/>
        <v>15.150000000000002</v>
      </c>
      <c r="Q98" s="168">
        <f t="shared" si="101"/>
        <v>3.8399999999999963</v>
      </c>
      <c r="R98" s="169" t="str">
        <f t="shared" si="101"/>
        <v/>
      </c>
      <c r="S98" s="167">
        <f t="shared" si="101"/>
        <v>0</v>
      </c>
      <c r="T98" s="168" t="str">
        <f t="shared" si="101"/>
        <v/>
      </c>
      <c r="U98" s="168" t="str">
        <f t="shared" si="101"/>
        <v/>
      </c>
      <c r="V98" s="169" t="str">
        <f t="shared" si="101"/>
        <v/>
      </c>
      <c r="W98" s="168" t="str">
        <f t="shared" si="101"/>
        <v/>
      </c>
      <c r="X98" s="168" t="str">
        <f t="shared" si="101"/>
        <v/>
      </c>
      <c r="Z98" s="232"/>
      <c r="AF98" s="11"/>
    </row>
    <row r="99" spans="1:32" ht="15" customHeight="1" x14ac:dyDescent="0.3">
      <c r="C99" s="82"/>
      <c r="F99" s="97"/>
      <c r="G99" s="82"/>
      <c r="J99" s="97"/>
      <c r="K99" s="82"/>
      <c r="N99" s="97"/>
      <c r="O99" s="82"/>
      <c r="R99" s="97"/>
      <c r="S99" s="82"/>
      <c r="V99" s="97"/>
      <c r="AF99" s="11"/>
    </row>
    <row r="100" spans="1:32" ht="15" customHeight="1" x14ac:dyDescent="0.3">
      <c r="A100" s="142" t="s">
        <v>30</v>
      </c>
      <c r="B100" s="150"/>
      <c r="C100" s="151">
        <f t="shared" ref="C100:X100" si="102">IF(ISBLANK(C$8),"",C97/C88)</f>
        <v>6.8965517241379309E-2</v>
      </c>
      <c r="D100" s="150">
        <f t="shared" si="102"/>
        <v>0.33242968485259239</v>
      </c>
      <c r="E100" s="150">
        <f t="shared" si="102"/>
        <v>0.2247191011235955</v>
      </c>
      <c r="F100" s="152">
        <f t="shared" si="102"/>
        <v>9.49367088607595E-2</v>
      </c>
      <c r="G100" s="151">
        <f t="shared" si="102"/>
        <v>0.24366872005475707</v>
      </c>
      <c r="H100" s="150">
        <f t="shared" si="102"/>
        <v>0.41838649155722324</v>
      </c>
      <c r="I100" s="150">
        <f t="shared" si="102"/>
        <v>0.2432175154688242</v>
      </c>
      <c r="J100" s="152">
        <f t="shared" si="102"/>
        <v>0.38484546360917254</v>
      </c>
      <c r="K100" s="151">
        <f t="shared" si="102"/>
        <v>0.41762452107279691</v>
      </c>
      <c r="L100" s="150">
        <f t="shared" si="102"/>
        <v>0.19591141396933556</v>
      </c>
      <c r="M100" s="150">
        <f t="shared" si="102"/>
        <v>0.3997286909337554</v>
      </c>
      <c r="N100" s="152">
        <f t="shared" si="102"/>
        <v>0.4931584948688712</v>
      </c>
      <c r="O100" s="151">
        <f t="shared" si="102"/>
        <v>0.88496628322094406</v>
      </c>
      <c r="P100" s="150">
        <f t="shared" si="102"/>
        <v>0.66776315789473684</v>
      </c>
      <c r="Q100" s="150">
        <f t="shared" si="102"/>
        <v>0.8715719063545152</v>
      </c>
      <c r="R100" s="152" t="str">
        <f t="shared" si="102"/>
        <v/>
      </c>
      <c r="S100" s="151" t="e">
        <f t="shared" si="102"/>
        <v>#DIV/0!</v>
      </c>
      <c r="T100" s="150" t="str">
        <f t="shared" si="102"/>
        <v/>
      </c>
      <c r="U100" s="150" t="str">
        <f t="shared" si="102"/>
        <v/>
      </c>
      <c r="V100" s="152" t="str">
        <f t="shared" si="102"/>
        <v/>
      </c>
      <c r="W100" s="150" t="str">
        <f t="shared" si="102"/>
        <v/>
      </c>
      <c r="X100" s="150" t="str">
        <f t="shared" si="102"/>
        <v/>
      </c>
    </row>
    <row r="101" spans="1:32" x14ac:dyDescent="0.3">
      <c r="B101" s="5"/>
      <c r="C101" s="91"/>
      <c r="D101" s="5"/>
      <c r="E101" s="5"/>
      <c r="F101" s="92"/>
      <c r="G101" s="91"/>
      <c r="H101" s="5"/>
      <c r="I101" s="5"/>
      <c r="J101" s="92"/>
      <c r="K101" s="91"/>
      <c r="L101" s="5"/>
      <c r="M101" s="5"/>
      <c r="N101" s="92"/>
      <c r="O101" s="91"/>
      <c r="P101" s="5"/>
      <c r="Q101" s="5"/>
      <c r="R101" s="92"/>
      <c r="S101" s="91"/>
      <c r="T101" s="5"/>
      <c r="U101" s="5"/>
      <c r="V101" s="92"/>
    </row>
    <row r="102" spans="1:32" ht="15" customHeight="1" x14ac:dyDescent="0.3">
      <c r="C102" s="82"/>
      <c r="F102" s="97"/>
      <c r="G102" s="82"/>
      <c r="J102" s="97"/>
      <c r="K102" s="82"/>
      <c r="N102" s="97"/>
      <c r="O102" s="195"/>
      <c r="R102" s="97"/>
      <c r="S102" s="82"/>
      <c r="V102" s="97"/>
      <c r="AF102" s="11"/>
    </row>
    <row r="103" spans="1:32" x14ac:dyDescent="0.3">
      <c r="A103" s="12" t="s">
        <v>34</v>
      </c>
      <c r="B103" s="13"/>
      <c r="C103" s="93"/>
      <c r="D103" s="13"/>
      <c r="E103" s="13"/>
      <c r="F103" s="94"/>
      <c r="G103" s="93"/>
      <c r="H103" s="13"/>
      <c r="I103" s="13"/>
      <c r="J103" s="94"/>
      <c r="K103" s="93"/>
      <c r="L103" s="13"/>
      <c r="M103" s="13"/>
      <c r="N103" s="94"/>
      <c r="O103" s="93"/>
      <c r="P103" s="13"/>
      <c r="Q103" s="13"/>
      <c r="R103" s="94"/>
      <c r="S103" s="93"/>
      <c r="T103" s="13"/>
      <c r="U103" s="13"/>
      <c r="V103" s="94"/>
      <c r="W103" s="13"/>
      <c r="X103" s="13"/>
    </row>
    <row r="104" spans="1:32" x14ac:dyDescent="0.3">
      <c r="A104" s="11" t="s">
        <v>35</v>
      </c>
      <c r="C104" s="82"/>
      <c r="F104" s="97"/>
      <c r="G104" s="82"/>
      <c r="J104" s="112">
        <v>0.78847825240057556</v>
      </c>
      <c r="K104" s="82"/>
      <c r="N104" s="97"/>
      <c r="O104" s="82"/>
      <c r="R104" s="97"/>
      <c r="S104" s="82"/>
      <c r="V104" s="97"/>
    </row>
    <row r="105" spans="1:32" x14ac:dyDescent="0.3">
      <c r="A105" s="11" t="s">
        <v>29</v>
      </c>
      <c r="C105" s="82"/>
      <c r="F105" s="97"/>
      <c r="G105" s="82"/>
      <c r="J105" s="112">
        <v>0.74090820344177732</v>
      </c>
      <c r="K105" s="82"/>
      <c r="N105" s="97"/>
      <c r="O105" s="82"/>
      <c r="R105" s="97"/>
      <c r="S105" s="82"/>
      <c r="V105" s="97"/>
    </row>
    <row r="106" spans="1:32" x14ac:dyDescent="0.3">
      <c r="C106" s="82"/>
      <c r="F106" s="97"/>
      <c r="G106" s="82"/>
      <c r="J106" s="97"/>
      <c r="K106" s="82"/>
      <c r="L106" s="182"/>
      <c r="N106" s="113"/>
      <c r="O106" s="195"/>
      <c r="P106" s="182"/>
      <c r="R106" s="113"/>
      <c r="S106" s="82"/>
      <c r="T106" s="182"/>
      <c r="V106" s="113"/>
    </row>
    <row r="107" spans="1:32" x14ac:dyDescent="0.3">
      <c r="A107" s="143" t="s">
        <v>36</v>
      </c>
      <c r="B107" s="144"/>
      <c r="C107" s="146"/>
      <c r="D107" s="144"/>
      <c r="E107" s="144"/>
      <c r="F107" s="147"/>
      <c r="G107" s="146"/>
      <c r="H107" s="144"/>
      <c r="I107" s="144"/>
      <c r="J107" s="147"/>
      <c r="K107" s="146"/>
      <c r="L107" s="144"/>
      <c r="M107" s="144"/>
      <c r="N107" s="147"/>
      <c r="O107" s="146"/>
      <c r="P107" s="144"/>
      <c r="Q107" s="144"/>
      <c r="R107" s="147"/>
      <c r="S107" s="146"/>
      <c r="T107" s="144"/>
      <c r="U107" s="144"/>
      <c r="V107" s="147"/>
      <c r="W107" s="144"/>
      <c r="X107" s="144"/>
    </row>
    <row r="108" spans="1:32" x14ac:dyDescent="0.3">
      <c r="A108" s="145" t="s">
        <v>1949</v>
      </c>
      <c r="B108" s="139"/>
      <c r="C108" s="148"/>
      <c r="D108" s="139"/>
      <c r="E108" s="139"/>
      <c r="F108" s="149"/>
      <c r="G108" s="148"/>
      <c r="H108" s="139"/>
      <c r="I108" s="139"/>
      <c r="J108" s="149"/>
      <c r="K108" s="148"/>
      <c r="L108" s="139"/>
      <c r="M108" s="139"/>
      <c r="N108" s="149"/>
      <c r="O108" s="148"/>
      <c r="P108" s="139"/>
      <c r="Q108" s="139"/>
      <c r="R108" s="149"/>
      <c r="S108" s="148"/>
      <c r="T108" s="139"/>
      <c r="U108" s="139"/>
      <c r="V108" s="149"/>
      <c r="W108" s="139"/>
      <c r="X108" s="139"/>
      <c r="Z108" s="2"/>
    </row>
    <row r="109" spans="1:32" x14ac:dyDescent="0.3">
      <c r="A109" s="207" t="s">
        <v>38</v>
      </c>
      <c r="B109" s="154"/>
      <c r="C109" s="184"/>
      <c r="D109" s="154"/>
      <c r="E109" s="154"/>
      <c r="F109" s="185"/>
      <c r="G109" s="184"/>
      <c r="H109" s="154"/>
      <c r="I109" s="154"/>
      <c r="J109" s="185"/>
      <c r="K109" s="184"/>
      <c r="L109" s="154"/>
      <c r="M109" s="154"/>
      <c r="N109" s="185"/>
      <c r="O109" s="184"/>
      <c r="P109" s="154"/>
      <c r="Q109" s="196">
        <v>0.99</v>
      </c>
      <c r="R109" s="185"/>
      <c r="S109" s="184"/>
      <c r="T109" s="154"/>
      <c r="U109" s="154"/>
      <c r="V109" s="185"/>
      <c r="W109" s="154"/>
      <c r="X109" s="154"/>
    </row>
    <row r="110" spans="1:32" x14ac:dyDescent="0.3">
      <c r="A110" s="207" t="s">
        <v>39</v>
      </c>
      <c r="B110" s="154"/>
      <c r="C110" s="184"/>
      <c r="D110" s="154"/>
      <c r="E110" s="154"/>
      <c r="F110" s="185"/>
      <c r="G110" s="184"/>
      <c r="H110" s="154"/>
      <c r="I110" s="154"/>
      <c r="J110" s="185"/>
      <c r="K110" s="184"/>
      <c r="L110" s="154"/>
      <c r="M110" s="154"/>
      <c r="N110" s="185"/>
      <c r="O110" s="184"/>
      <c r="P110" s="154"/>
      <c r="Q110" s="196">
        <v>1.5799999999999998</v>
      </c>
      <c r="R110" s="185"/>
      <c r="S110" s="184"/>
      <c r="T110" s="154"/>
      <c r="U110" s="154"/>
      <c r="V110" s="185"/>
      <c r="W110" s="154"/>
      <c r="X110" s="154"/>
    </row>
    <row r="111" spans="1:32" ht="15" customHeight="1" x14ac:dyDescent="0.3">
      <c r="A111" s="141"/>
      <c r="B111" s="186"/>
      <c r="C111" s="187"/>
      <c r="D111" s="186"/>
      <c r="E111" s="186"/>
      <c r="F111" s="188"/>
      <c r="G111" s="187"/>
      <c r="H111" s="186"/>
      <c r="I111" s="186"/>
      <c r="J111" s="188"/>
      <c r="K111" s="187"/>
      <c r="L111" s="186"/>
      <c r="M111" s="186"/>
      <c r="N111" s="188"/>
      <c r="O111" s="187"/>
      <c r="P111" s="186"/>
      <c r="Q111" s="186"/>
      <c r="R111" s="188"/>
      <c r="S111" s="187"/>
      <c r="T111" s="186"/>
      <c r="U111" s="186"/>
      <c r="V111" s="188"/>
      <c r="W111" s="186"/>
      <c r="X111" s="186"/>
      <c r="Z111" s="11"/>
    </row>
    <row r="112" spans="1:32" x14ac:dyDescent="0.3">
      <c r="C112" s="82"/>
      <c r="F112" s="97"/>
      <c r="G112" s="82"/>
      <c r="J112" s="97"/>
      <c r="K112" s="82"/>
      <c r="L112" s="182"/>
      <c r="N112" s="113"/>
      <c r="O112" s="195"/>
      <c r="P112" s="182"/>
      <c r="R112" s="113"/>
      <c r="S112" s="82"/>
      <c r="T112" s="182"/>
      <c r="V112" s="113"/>
    </row>
    <row r="113" spans="1:26" x14ac:dyDescent="0.3">
      <c r="A113" s="145" t="s">
        <v>40</v>
      </c>
      <c r="B113" s="139"/>
      <c r="C113" s="148"/>
      <c r="D113" s="139"/>
      <c r="E113" s="139"/>
      <c r="F113" s="149"/>
      <c r="G113" s="148"/>
      <c r="H113" s="139"/>
      <c r="I113" s="139"/>
      <c r="J113" s="149"/>
      <c r="K113" s="148"/>
      <c r="L113" s="139"/>
      <c r="M113" s="139"/>
      <c r="N113" s="149"/>
      <c r="O113" s="148"/>
      <c r="P113" s="139"/>
      <c r="Q113" s="139"/>
      <c r="R113" s="149"/>
      <c r="S113" s="148"/>
      <c r="T113" s="139"/>
      <c r="U113" s="139"/>
      <c r="V113" s="149"/>
      <c r="W113" s="139"/>
      <c r="X113" s="139"/>
      <c r="Z113" s="2"/>
    </row>
    <row r="114" spans="1:26" x14ac:dyDescent="0.3">
      <c r="A114" s="207" t="s">
        <v>41</v>
      </c>
      <c r="B114" s="154"/>
      <c r="C114" s="177"/>
      <c r="D114" s="157"/>
      <c r="E114" s="157"/>
      <c r="F114" s="178"/>
      <c r="G114" s="177">
        <v>9</v>
      </c>
      <c r="H114" s="157"/>
      <c r="I114" s="157"/>
      <c r="J114" s="178"/>
      <c r="K114" s="177"/>
      <c r="L114" s="157">
        <v>2</v>
      </c>
      <c r="M114" s="157">
        <v>2</v>
      </c>
      <c r="N114" s="178">
        <v>17</v>
      </c>
      <c r="O114" s="177">
        <v>28</v>
      </c>
      <c r="P114" s="157">
        <v>57</v>
      </c>
      <c r="Q114" s="197">
        <v>54</v>
      </c>
      <c r="R114" s="178"/>
      <c r="S114" s="177"/>
      <c r="T114" s="157"/>
      <c r="U114" s="157"/>
      <c r="V114" s="178"/>
      <c r="W114" s="157"/>
      <c r="X114" s="157"/>
    </row>
    <row r="115" spans="1:26" ht="15" customHeight="1" x14ac:dyDescent="0.3">
      <c r="A115" s="141"/>
      <c r="B115" s="186"/>
      <c r="C115" s="187"/>
      <c r="D115" s="186"/>
      <c r="E115" s="186"/>
      <c r="F115" s="188"/>
      <c r="G115" s="228">
        <f>F115+G114</f>
        <v>9</v>
      </c>
      <c r="H115" s="229">
        <f t="shared" ref="H115:Q115" si="103">G115+H114</f>
        <v>9</v>
      </c>
      <c r="I115" s="229">
        <f t="shared" si="103"/>
        <v>9</v>
      </c>
      <c r="J115" s="230">
        <f t="shared" si="103"/>
        <v>9</v>
      </c>
      <c r="K115" s="228">
        <f t="shared" si="103"/>
        <v>9</v>
      </c>
      <c r="L115" s="229">
        <f t="shared" si="103"/>
        <v>11</v>
      </c>
      <c r="M115" s="229">
        <f t="shared" si="103"/>
        <v>13</v>
      </c>
      <c r="N115" s="230">
        <f t="shared" si="103"/>
        <v>30</v>
      </c>
      <c r="O115" s="228">
        <f t="shared" si="103"/>
        <v>58</v>
      </c>
      <c r="P115" s="229">
        <f t="shared" si="103"/>
        <v>115</v>
      </c>
      <c r="Q115" s="229">
        <f t="shared" si="103"/>
        <v>169</v>
      </c>
      <c r="R115" s="188"/>
      <c r="S115" s="187"/>
      <c r="T115" s="186"/>
      <c r="U115" s="186"/>
      <c r="V115" s="188"/>
      <c r="W115" s="186"/>
      <c r="X115" s="186"/>
      <c r="Z115" s="11"/>
    </row>
    <row r="116" spans="1:26" x14ac:dyDescent="0.3">
      <c r="C116" s="82"/>
      <c r="F116" s="97"/>
      <c r="G116" s="82"/>
      <c r="J116" s="97"/>
      <c r="K116" s="82"/>
      <c r="L116" s="182"/>
      <c r="N116" s="113"/>
      <c r="O116" s="195"/>
      <c r="P116" s="182"/>
      <c r="R116" s="113"/>
      <c r="S116" s="82"/>
      <c r="T116" s="182"/>
      <c r="V116" s="113"/>
    </row>
    <row r="117" spans="1:26" x14ac:dyDescent="0.3">
      <c r="C117" s="82"/>
      <c r="F117" s="97"/>
      <c r="G117" s="82"/>
      <c r="J117" s="97"/>
      <c r="K117" s="82"/>
      <c r="L117" s="182"/>
      <c r="N117" s="113"/>
      <c r="O117" s="195"/>
      <c r="P117" s="182"/>
      <c r="R117" s="113"/>
      <c r="S117" s="82"/>
      <c r="T117" s="182"/>
      <c r="V117" s="113"/>
    </row>
    <row r="118" spans="1:26" x14ac:dyDescent="0.3">
      <c r="C118" s="82"/>
      <c r="F118" s="97"/>
      <c r="G118" s="82"/>
      <c r="J118" s="97"/>
      <c r="K118" s="82"/>
      <c r="N118" s="97"/>
      <c r="O118" s="82"/>
      <c r="R118" s="97"/>
      <c r="S118" s="82"/>
      <c r="V118" s="97"/>
    </row>
    <row r="119" spans="1:26" x14ac:dyDescent="0.3">
      <c r="A119" s="12" t="s">
        <v>42</v>
      </c>
      <c r="B119" s="13"/>
      <c r="C119" s="93"/>
      <c r="D119" s="13"/>
      <c r="E119" s="13"/>
      <c r="F119" s="94"/>
      <c r="G119" s="93"/>
      <c r="H119" s="13"/>
      <c r="I119" s="13"/>
      <c r="J119" s="94"/>
      <c r="K119" s="93"/>
      <c r="L119" s="13"/>
      <c r="M119" s="13"/>
      <c r="N119" s="94"/>
      <c r="O119" s="93"/>
      <c r="P119" s="13"/>
      <c r="Q119" s="13"/>
      <c r="R119" s="94"/>
      <c r="S119" s="93"/>
      <c r="T119" s="13"/>
      <c r="U119" s="13"/>
      <c r="V119" s="94"/>
      <c r="W119" s="13"/>
      <c r="X119" s="13"/>
    </row>
    <row r="120" spans="1:26" x14ac:dyDescent="0.3">
      <c r="A120" s="44" t="s">
        <v>43</v>
      </c>
      <c r="B120" s="45"/>
      <c r="C120" s="98"/>
      <c r="D120" s="45"/>
      <c r="E120" s="45"/>
      <c r="F120" s="99"/>
      <c r="G120" s="98"/>
      <c r="H120" s="45"/>
      <c r="I120" s="45"/>
      <c r="J120" s="99"/>
      <c r="K120" s="98"/>
      <c r="L120" s="45"/>
      <c r="M120" s="45"/>
      <c r="N120" s="99"/>
      <c r="O120" s="98"/>
      <c r="P120" s="45"/>
      <c r="Q120" s="45"/>
      <c r="R120" s="99"/>
      <c r="S120" s="98"/>
      <c r="T120" s="45"/>
      <c r="U120" s="45"/>
      <c r="V120" s="99"/>
      <c r="W120" s="45"/>
      <c r="X120" s="45"/>
    </row>
    <row r="121" spans="1:26" x14ac:dyDescent="0.3">
      <c r="A121" s="11" t="s">
        <v>44</v>
      </c>
      <c r="C121" s="82"/>
      <c r="E121" s="83">
        <v>2339120.4724999997</v>
      </c>
      <c r="F121" s="84">
        <v>4357045.5249999994</v>
      </c>
      <c r="G121" s="85">
        <v>4708250.0000000009</v>
      </c>
      <c r="H121" s="83">
        <v>934250</v>
      </c>
      <c r="I121" s="83">
        <v>3367000</v>
      </c>
      <c r="J121" s="86">
        <v>5423354.4157404974</v>
      </c>
      <c r="K121" s="87">
        <v>2523663.5419860734</v>
      </c>
      <c r="L121" s="88">
        <v>2322593.1890000002</v>
      </c>
      <c r="M121" s="88">
        <v>6667275</v>
      </c>
      <c r="N121" s="133">
        <v>16821660.141659163</v>
      </c>
      <c r="O121" s="87"/>
      <c r="P121" s="88"/>
      <c r="Q121" s="88"/>
      <c r="R121" s="86"/>
      <c r="S121" s="87"/>
      <c r="T121" s="88"/>
      <c r="U121" s="88"/>
      <c r="V121" s="86"/>
      <c r="W121" s="88"/>
      <c r="X121" s="88"/>
    </row>
    <row r="122" spans="1:26" x14ac:dyDescent="0.3">
      <c r="A122" s="11" t="s">
        <v>45</v>
      </c>
      <c r="B122" s="83"/>
      <c r="C122" s="85"/>
      <c r="D122" s="83"/>
      <c r="E122" s="83">
        <v>525000</v>
      </c>
      <c r="F122" s="84">
        <v>859000</v>
      </c>
      <c r="G122" s="85">
        <v>1152000</v>
      </c>
      <c r="H122" s="83">
        <v>1275000</v>
      </c>
      <c r="I122" s="83">
        <v>1646000</v>
      </c>
      <c r="J122" s="84">
        <v>3609935.6982583264</v>
      </c>
      <c r="K122" s="85">
        <v>873715.162340721</v>
      </c>
      <c r="L122" s="83">
        <v>3333351.5785765918</v>
      </c>
      <c r="M122" s="83">
        <v>2198420</v>
      </c>
      <c r="N122" s="134">
        <v>1833667.2727272727</v>
      </c>
      <c r="O122" s="85"/>
      <c r="P122" s="83"/>
      <c r="Q122" s="83"/>
      <c r="R122" s="84"/>
      <c r="S122" s="85"/>
      <c r="T122" s="83"/>
      <c r="U122" s="83"/>
      <c r="V122" s="84"/>
      <c r="W122" s="83"/>
      <c r="X122" s="83"/>
    </row>
    <row r="123" spans="1:26" x14ac:dyDescent="0.3">
      <c r="A123" s="52" t="s">
        <v>46</v>
      </c>
      <c r="B123" s="52"/>
      <c r="C123" s="102"/>
      <c r="D123" s="52"/>
      <c r="E123" s="89">
        <f>SUM(E121:E122)</f>
        <v>2864120.4724999997</v>
      </c>
      <c r="F123" s="103">
        <f t="shared" ref="F123:T123" si="104">SUM(F121:F122)</f>
        <v>5216045.5249999994</v>
      </c>
      <c r="G123" s="110">
        <f t="shared" si="104"/>
        <v>5860250.0000000009</v>
      </c>
      <c r="H123" s="89">
        <f t="shared" si="104"/>
        <v>2209250</v>
      </c>
      <c r="I123" s="89">
        <f t="shared" si="104"/>
        <v>5013000</v>
      </c>
      <c r="J123" s="103">
        <f t="shared" si="104"/>
        <v>9033290.1139988229</v>
      </c>
      <c r="K123" s="110">
        <f t="shared" si="104"/>
        <v>3397378.7043267945</v>
      </c>
      <c r="L123" s="89">
        <f t="shared" si="104"/>
        <v>5655944.767576592</v>
      </c>
      <c r="M123" s="90">
        <f t="shared" si="104"/>
        <v>8865695</v>
      </c>
      <c r="N123" s="135">
        <f t="shared" si="104"/>
        <v>18655327.414386436</v>
      </c>
      <c r="O123" s="110">
        <f t="shared" si="104"/>
        <v>0</v>
      </c>
      <c r="P123" s="89">
        <f t="shared" si="104"/>
        <v>0</v>
      </c>
      <c r="Q123" s="90">
        <f t="shared" si="104"/>
        <v>0</v>
      </c>
      <c r="R123" s="103">
        <f t="shared" si="104"/>
        <v>0</v>
      </c>
      <c r="S123" s="110">
        <f t="shared" si="104"/>
        <v>0</v>
      </c>
      <c r="T123" s="89">
        <f t="shared" si="104"/>
        <v>0</v>
      </c>
      <c r="U123" s="90">
        <f t="shared" ref="U123:V123" si="105">SUM(U121:U122)</f>
        <v>0</v>
      </c>
      <c r="V123" s="103">
        <f t="shared" si="105"/>
        <v>0</v>
      </c>
      <c r="W123" s="89">
        <f t="shared" ref="W123:X123" si="106">SUM(W121:W122)</f>
        <v>0</v>
      </c>
      <c r="X123" s="89">
        <f t="shared" si="106"/>
        <v>0</v>
      </c>
    </row>
    <row r="124" spans="1:26" x14ac:dyDescent="0.3">
      <c r="C124" s="82"/>
      <c r="F124" s="97"/>
      <c r="G124" s="82"/>
      <c r="H124" s="181"/>
      <c r="I124" s="181"/>
      <c r="J124" s="111"/>
      <c r="K124" s="82"/>
      <c r="N124" s="97"/>
      <c r="O124" s="82"/>
      <c r="R124" s="111"/>
      <c r="S124" s="82"/>
      <c r="V124" s="97"/>
    </row>
    <row r="125" spans="1:26" x14ac:dyDescent="0.3">
      <c r="C125" s="82" t="s">
        <v>47</v>
      </c>
      <c r="F125" s="136">
        <f>AVERAGE(C123:F123)</f>
        <v>4040082.9987499993</v>
      </c>
      <c r="G125" s="82" t="s">
        <v>48</v>
      </c>
      <c r="J125" s="136">
        <f>AVERAGE(G123:J123)</f>
        <v>5528947.5284997057</v>
      </c>
      <c r="K125" s="82" t="s">
        <v>49</v>
      </c>
      <c r="N125" s="136">
        <f>AVERAGE(K123:N123)</f>
        <v>9143586.471572455</v>
      </c>
      <c r="O125" s="82"/>
      <c r="R125" s="136"/>
      <c r="S125" s="82"/>
      <c r="V125" s="136"/>
      <c r="Z125" s="11"/>
    </row>
    <row r="126" spans="1:26" x14ac:dyDescent="0.3">
      <c r="C126" s="82"/>
      <c r="F126" s="97"/>
      <c r="G126" s="82" t="s">
        <v>50</v>
      </c>
      <c r="J126" s="136">
        <f>AVERAGE(C123:J123)</f>
        <v>5032659.3519164706</v>
      </c>
      <c r="K126" s="82"/>
      <c r="N126" s="97"/>
      <c r="O126" s="82"/>
      <c r="R126" s="97"/>
      <c r="S126" s="82"/>
      <c r="V126" s="97"/>
      <c r="Z126" s="11"/>
    </row>
    <row r="127" spans="1:26" x14ac:dyDescent="0.3">
      <c r="C127" s="82"/>
      <c r="F127" s="97"/>
      <c r="G127" s="82"/>
      <c r="J127" s="97"/>
      <c r="K127" s="82"/>
      <c r="L127" s="182"/>
      <c r="N127" s="113"/>
      <c r="O127" s="195"/>
      <c r="P127" s="182"/>
      <c r="R127" s="113"/>
      <c r="S127" s="82"/>
      <c r="T127" s="182"/>
      <c r="V127" s="113"/>
    </row>
    <row r="128" spans="1:26" x14ac:dyDescent="0.3">
      <c r="A128" s="143" t="s">
        <v>1950</v>
      </c>
      <c r="B128" s="144"/>
      <c r="C128" s="146"/>
      <c r="D128" s="144"/>
      <c r="E128" s="144"/>
      <c r="F128" s="147"/>
      <c r="G128" s="146"/>
      <c r="H128" s="144"/>
      <c r="I128" s="144"/>
      <c r="J128" s="147"/>
      <c r="K128" s="146"/>
      <c r="L128" s="144"/>
      <c r="M128" s="144"/>
      <c r="N128" s="147"/>
      <c r="O128" s="146"/>
      <c r="P128" s="144"/>
      <c r="Q128" s="144"/>
      <c r="R128" s="147"/>
      <c r="S128" s="146"/>
      <c r="T128" s="144"/>
      <c r="U128" s="144"/>
      <c r="V128" s="147"/>
      <c r="W128" s="144"/>
      <c r="X128" s="144"/>
    </row>
    <row r="129" spans="1:26" x14ac:dyDescent="0.3">
      <c r="A129" s="145" t="s">
        <v>11</v>
      </c>
      <c r="B129" s="139"/>
      <c r="C129" s="148"/>
      <c r="D129" s="139"/>
      <c r="E129" s="139"/>
      <c r="F129" s="149"/>
      <c r="G129" s="148"/>
      <c r="H129" s="139"/>
      <c r="I129" s="139"/>
      <c r="J129" s="149"/>
      <c r="K129" s="148"/>
      <c r="L129" s="139"/>
      <c r="M129" s="139"/>
      <c r="N129" s="149"/>
      <c r="O129" s="148"/>
      <c r="P129" s="139"/>
      <c r="Q129" s="139"/>
      <c r="R129" s="149"/>
      <c r="S129" s="148"/>
      <c r="T129" s="139"/>
      <c r="U129" s="139"/>
      <c r="V129" s="149"/>
      <c r="W129" s="139"/>
      <c r="X129" s="139"/>
      <c r="Z129" s="2"/>
    </row>
    <row r="130" spans="1:26" x14ac:dyDescent="0.3">
      <c r="A130" s="207" t="s">
        <v>51</v>
      </c>
      <c r="B130" s="216"/>
      <c r="C130" s="217"/>
      <c r="D130" s="216"/>
      <c r="E130" s="216"/>
      <c r="F130" s="218"/>
      <c r="G130" s="217"/>
      <c r="H130" s="216"/>
      <c r="I130" s="216"/>
      <c r="J130" s="218">
        <v>0</v>
      </c>
      <c r="K130" s="217">
        <v>0</v>
      </c>
      <c r="L130" s="216">
        <v>0</v>
      </c>
      <c r="M130" s="216">
        <v>4597011.53</v>
      </c>
      <c r="N130" s="218">
        <v>2725535.9999999995</v>
      </c>
      <c r="O130" s="217">
        <v>11016903.626000002</v>
      </c>
      <c r="P130" s="216">
        <v>5663765.2999999998</v>
      </c>
      <c r="Q130" s="216"/>
      <c r="R130" s="218"/>
      <c r="S130" s="217"/>
      <c r="T130" s="216"/>
      <c r="U130" s="216"/>
      <c r="V130" s="218"/>
      <c r="W130" s="216"/>
      <c r="X130" s="216"/>
    </row>
    <row r="131" spans="1:26" x14ac:dyDescent="0.3">
      <c r="A131" s="207" t="s">
        <v>52</v>
      </c>
      <c r="B131" s="216"/>
      <c r="C131" s="217"/>
      <c r="D131" s="216"/>
      <c r="E131" s="216"/>
      <c r="F131" s="218"/>
      <c r="G131" s="217"/>
      <c r="H131" s="216"/>
      <c r="I131" s="216"/>
      <c r="J131" s="218">
        <v>417862.35809981573</v>
      </c>
      <c r="K131" s="217">
        <v>173981.30881772522</v>
      </c>
      <c r="L131" s="216">
        <v>1615986.0690000001</v>
      </c>
      <c r="M131" s="216">
        <v>40529.288999999997</v>
      </c>
      <c r="N131" s="218">
        <v>0</v>
      </c>
      <c r="O131" s="217">
        <v>3604082.4033999997</v>
      </c>
      <c r="P131" s="216">
        <v>1373817.55</v>
      </c>
      <c r="Q131" s="216"/>
      <c r="R131" s="218"/>
      <c r="S131" s="217"/>
      <c r="T131" s="216"/>
      <c r="U131" s="216"/>
      <c r="V131" s="218"/>
      <c r="W131" s="216"/>
      <c r="X131" s="216"/>
    </row>
    <row r="132" spans="1:26" x14ac:dyDescent="0.3">
      <c r="A132" s="207" t="s">
        <v>53</v>
      </c>
      <c r="B132" s="216"/>
      <c r="C132" s="217"/>
      <c r="D132" s="216"/>
      <c r="E132" s="216"/>
      <c r="F132" s="218"/>
      <c r="G132" s="217"/>
      <c r="H132" s="216"/>
      <c r="I132" s="216"/>
      <c r="J132" s="218">
        <v>590906.66198393074</v>
      </c>
      <c r="K132" s="217">
        <v>244046.592</v>
      </c>
      <c r="L132" s="216">
        <v>67445.570000000007</v>
      </c>
      <c r="M132" s="216">
        <v>305090.29006811552</v>
      </c>
      <c r="N132" s="218">
        <v>528065.03793188406</v>
      </c>
      <c r="O132" s="217">
        <v>364461.4</v>
      </c>
      <c r="P132" s="216">
        <v>903401.54</v>
      </c>
      <c r="Q132" s="216"/>
      <c r="R132" s="218"/>
      <c r="S132" s="217"/>
      <c r="T132" s="216"/>
      <c r="U132" s="216"/>
      <c r="V132" s="218"/>
      <c r="W132" s="216"/>
      <c r="X132" s="216"/>
    </row>
    <row r="133" spans="1:26" x14ac:dyDescent="0.3">
      <c r="A133" s="207" t="s">
        <v>54</v>
      </c>
      <c r="B133" s="216"/>
      <c r="C133" s="217"/>
      <c r="D133" s="216"/>
      <c r="E133" s="216"/>
      <c r="F133" s="218"/>
      <c r="G133" s="217"/>
      <c r="H133" s="216"/>
      <c r="I133" s="216"/>
      <c r="J133" s="218">
        <v>402301.05095860339</v>
      </c>
      <c r="K133" s="217">
        <v>258981.9724</v>
      </c>
      <c r="L133" s="216">
        <v>371453.7</v>
      </c>
      <c r="M133" s="216">
        <v>0</v>
      </c>
      <c r="N133" s="218">
        <v>0</v>
      </c>
      <c r="O133" s="217">
        <v>4684495.7284000004</v>
      </c>
      <c r="P133" s="216">
        <v>843146.59</v>
      </c>
      <c r="Q133" s="216"/>
      <c r="R133" s="218"/>
      <c r="S133" s="217"/>
      <c r="T133" s="216"/>
      <c r="U133" s="216"/>
      <c r="V133" s="218"/>
      <c r="W133" s="216"/>
      <c r="X133" s="216"/>
    </row>
    <row r="134" spans="1:26" x14ac:dyDescent="0.3">
      <c r="A134" s="207" t="s">
        <v>55</v>
      </c>
      <c r="B134" s="216"/>
      <c r="C134" s="217"/>
      <c r="D134" s="216"/>
      <c r="E134" s="216"/>
      <c r="F134" s="218"/>
      <c r="G134" s="217"/>
      <c r="H134" s="216"/>
      <c r="I134" s="216"/>
      <c r="J134" s="218">
        <v>0</v>
      </c>
      <c r="K134" s="217">
        <v>0</v>
      </c>
      <c r="L134" s="216">
        <v>0</v>
      </c>
      <c r="M134" s="216">
        <v>0</v>
      </c>
      <c r="N134" s="218">
        <v>0</v>
      </c>
      <c r="O134" s="217"/>
      <c r="P134" s="216">
        <v>0</v>
      </c>
      <c r="Q134" s="216"/>
      <c r="R134" s="218"/>
      <c r="S134" s="217"/>
      <c r="T134" s="216"/>
      <c r="U134" s="216"/>
      <c r="V134" s="218"/>
      <c r="W134" s="216"/>
      <c r="X134" s="216"/>
    </row>
    <row r="135" spans="1:26" x14ac:dyDescent="0.3">
      <c r="A135" s="207" t="s">
        <v>56</v>
      </c>
      <c r="B135" s="216"/>
      <c r="C135" s="217"/>
      <c r="D135" s="216"/>
      <c r="E135" s="216"/>
      <c r="F135" s="218"/>
      <c r="G135" s="217"/>
      <c r="H135" s="216"/>
      <c r="I135" s="216"/>
      <c r="J135" s="218">
        <v>277416.31348378072</v>
      </c>
      <c r="K135" s="217">
        <v>89658.786999999997</v>
      </c>
      <c r="L135" s="216">
        <v>196125</v>
      </c>
      <c r="M135" s="216">
        <v>0</v>
      </c>
      <c r="N135" s="218">
        <v>0</v>
      </c>
      <c r="O135" s="217"/>
      <c r="P135" s="216">
        <v>0</v>
      </c>
      <c r="Q135" s="216"/>
      <c r="R135" s="218"/>
      <c r="S135" s="217"/>
      <c r="T135" s="216"/>
      <c r="U135" s="216"/>
      <c r="V135" s="218"/>
      <c r="W135" s="216"/>
      <c r="X135" s="216"/>
    </row>
    <row r="136" spans="1:26" x14ac:dyDescent="0.3">
      <c r="A136" s="207" t="s">
        <v>57</v>
      </c>
      <c r="B136" s="216"/>
      <c r="C136" s="217"/>
      <c r="D136" s="216"/>
      <c r="E136" s="216"/>
      <c r="F136" s="218"/>
      <c r="G136" s="217"/>
      <c r="H136" s="216"/>
      <c r="I136" s="216"/>
      <c r="J136" s="218">
        <v>3710176.7302442142</v>
      </c>
      <c r="K136" s="217">
        <v>376635.14799999999</v>
      </c>
      <c r="L136" s="216">
        <v>192000</v>
      </c>
      <c r="M136" s="216">
        <v>0</v>
      </c>
      <c r="N136" s="218">
        <v>0</v>
      </c>
      <c r="O136" s="217"/>
      <c r="P136" s="216">
        <v>0</v>
      </c>
      <c r="Q136" s="216"/>
      <c r="R136" s="218"/>
      <c r="S136" s="217"/>
      <c r="T136" s="216"/>
      <c r="U136" s="216"/>
      <c r="V136" s="218"/>
      <c r="W136" s="216"/>
      <c r="X136" s="216"/>
    </row>
    <row r="137" spans="1:26" x14ac:dyDescent="0.3">
      <c r="A137" s="207" t="s">
        <v>58</v>
      </c>
      <c r="B137" s="216"/>
      <c r="C137" s="217"/>
      <c r="D137" s="216"/>
      <c r="E137" s="216"/>
      <c r="F137" s="218"/>
      <c r="G137" s="217"/>
      <c r="H137" s="216"/>
      <c r="I137" s="216"/>
      <c r="J137" s="218">
        <v>48657.795970151128</v>
      </c>
      <c r="K137" s="217">
        <v>220046.88299999997</v>
      </c>
      <c r="L137" s="216">
        <v>45537.64</v>
      </c>
      <c r="M137" s="216">
        <v>0</v>
      </c>
      <c r="N137" s="218">
        <v>0</v>
      </c>
      <c r="O137" s="217"/>
      <c r="P137" s="216">
        <v>0</v>
      </c>
      <c r="Q137" s="216"/>
      <c r="R137" s="218"/>
      <c r="S137" s="217"/>
      <c r="T137" s="216"/>
      <c r="U137" s="216"/>
      <c r="V137" s="218"/>
      <c r="W137" s="216"/>
      <c r="X137" s="216"/>
    </row>
    <row r="138" spans="1:26" x14ac:dyDescent="0.3">
      <c r="A138" s="141" t="s">
        <v>59</v>
      </c>
      <c r="B138" s="219">
        <f t="shared" ref="B138:X138" si="107">IF(ISBLANK(B$8),"",SUM(B130:B137))</f>
        <v>0</v>
      </c>
      <c r="C138" s="220">
        <f t="shared" si="107"/>
        <v>0</v>
      </c>
      <c r="D138" s="219">
        <f t="shared" si="107"/>
        <v>0</v>
      </c>
      <c r="E138" s="219">
        <f t="shared" si="107"/>
        <v>0</v>
      </c>
      <c r="F138" s="221">
        <f t="shared" si="107"/>
        <v>0</v>
      </c>
      <c r="G138" s="220">
        <f t="shared" si="107"/>
        <v>0</v>
      </c>
      <c r="H138" s="219">
        <f t="shared" si="107"/>
        <v>0</v>
      </c>
      <c r="I138" s="219">
        <f t="shared" si="107"/>
        <v>0</v>
      </c>
      <c r="J138" s="221">
        <f t="shared" si="107"/>
        <v>5447320.9107404957</v>
      </c>
      <c r="K138" s="220">
        <f t="shared" si="107"/>
        <v>1363350.6912177252</v>
      </c>
      <c r="L138" s="219">
        <f t="shared" si="107"/>
        <v>2488547.9790000003</v>
      </c>
      <c r="M138" s="219">
        <f t="shared" si="107"/>
        <v>4942631.1090681152</v>
      </c>
      <c r="N138" s="221">
        <f t="shared" si="107"/>
        <v>3253601.0379318837</v>
      </c>
      <c r="O138" s="220">
        <f t="shared" si="107"/>
        <v>19669943.157800004</v>
      </c>
      <c r="P138" s="219">
        <f t="shared" si="107"/>
        <v>8784130.9800000004</v>
      </c>
      <c r="Q138" s="219">
        <f t="shared" si="107"/>
        <v>0</v>
      </c>
      <c r="R138" s="221" t="str">
        <f t="shared" si="107"/>
        <v/>
      </c>
      <c r="S138" s="220">
        <f t="shared" si="107"/>
        <v>0</v>
      </c>
      <c r="T138" s="219" t="str">
        <f t="shared" si="107"/>
        <v/>
      </c>
      <c r="U138" s="219" t="str">
        <f t="shared" si="107"/>
        <v/>
      </c>
      <c r="V138" s="221" t="str">
        <f t="shared" si="107"/>
        <v/>
      </c>
      <c r="W138" s="219" t="str">
        <f t="shared" si="107"/>
        <v/>
      </c>
      <c r="X138" s="219" t="str">
        <f t="shared" si="107"/>
        <v/>
      </c>
    </row>
    <row r="139" spans="1:26" x14ac:dyDescent="0.3">
      <c r="C139" s="82"/>
      <c r="F139" s="97"/>
      <c r="G139" s="82"/>
      <c r="J139" s="97"/>
      <c r="K139" s="82"/>
      <c r="L139" s="182"/>
      <c r="N139" s="113"/>
      <c r="O139" s="195"/>
      <c r="P139" s="182"/>
      <c r="R139" s="113"/>
      <c r="S139" s="82"/>
      <c r="T139" s="182"/>
      <c r="V139" s="113"/>
    </row>
    <row r="140" spans="1:26" x14ac:dyDescent="0.3">
      <c r="A140" s="145" t="s">
        <v>60</v>
      </c>
      <c r="B140" s="139"/>
      <c r="C140" s="148"/>
      <c r="D140" s="139"/>
      <c r="E140" s="139"/>
      <c r="F140" s="149"/>
      <c r="G140" s="148"/>
      <c r="H140" s="139"/>
      <c r="I140" s="139"/>
      <c r="J140" s="149"/>
      <c r="K140" s="148"/>
      <c r="L140" s="139"/>
      <c r="M140" s="139"/>
      <c r="N140" s="149"/>
      <c r="O140" s="148"/>
      <c r="P140" s="139"/>
      <c r="Q140" s="139"/>
      <c r="R140" s="149"/>
      <c r="S140" s="148"/>
      <c r="T140" s="139"/>
      <c r="U140" s="139"/>
      <c r="V140" s="149"/>
      <c r="W140" s="139"/>
      <c r="X140" s="139"/>
      <c r="Z140" s="2"/>
    </row>
    <row r="141" spans="1:26" x14ac:dyDescent="0.3">
      <c r="A141" s="207" t="s">
        <v>51</v>
      </c>
      <c r="B141" s="216"/>
      <c r="C141" s="217"/>
      <c r="D141" s="216"/>
      <c r="E141" s="216"/>
      <c r="F141" s="218"/>
      <c r="G141" s="217"/>
      <c r="H141" s="216"/>
      <c r="I141" s="216"/>
      <c r="J141" s="218"/>
      <c r="K141" s="217"/>
      <c r="L141" s="216"/>
      <c r="M141" s="216">
        <v>2170407</v>
      </c>
      <c r="N141" s="218">
        <v>2433345</v>
      </c>
      <c r="O141" s="217">
        <v>5979274</v>
      </c>
      <c r="P141" s="216">
        <v>7212315.4999999981</v>
      </c>
      <c r="Q141" s="216"/>
      <c r="R141" s="218"/>
      <c r="S141" s="217"/>
      <c r="T141" s="216"/>
      <c r="U141" s="216"/>
      <c r="V141" s="218"/>
      <c r="W141" s="216"/>
      <c r="X141" s="216"/>
    </row>
    <row r="142" spans="1:26" x14ac:dyDescent="0.3">
      <c r="A142" s="207" t="s">
        <v>52</v>
      </c>
      <c r="B142" s="216"/>
      <c r="C142" s="217"/>
      <c r="D142" s="216"/>
      <c r="E142" s="216"/>
      <c r="F142" s="218"/>
      <c r="G142" s="217"/>
      <c r="H142" s="216"/>
      <c r="I142" s="216"/>
      <c r="J142" s="218"/>
      <c r="K142" s="217"/>
      <c r="L142" s="216"/>
      <c r="M142" s="216"/>
      <c r="N142" s="218"/>
      <c r="O142" s="217"/>
      <c r="P142" s="216">
        <v>151470.51</v>
      </c>
      <c r="Q142" s="216"/>
      <c r="R142" s="218"/>
      <c r="S142" s="217"/>
      <c r="T142" s="216"/>
      <c r="U142" s="216"/>
      <c r="V142" s="218"/>
      <c r="W142" s="216"/>
      <c r="X142" s="216"/>
    </row>
    <row r="143" spans="1:26" x14ac:dyDescent="0.3">
      <c r="A143" s="207" t="s">
        <v>53</v>
      </c>
      <c r="B143" s="216"/>
      <c r="C143" s="217"/>
      <c r="D143" s="216"/>
      <c r="E143" s="216"/>
      <c r="F143" s="218"/>
      <c r="G143" s="217"/>
      <c r="H143" s="216"/>
      <c r="I143" s="216"/>
      <c r="J143" s="218"/>
      <c r="K143" s="217"/>
      <c r="L143" s="216"/>
      <c r="M143" s="216"/>
      <c r="N143" s="218"/>
      <c r="O143" s="217"/>
      <c r="P143" s="216">
        <v>0</v>
      </c>
      <c r="Q143" s="216"/>
      <c r="R143" s="218"/>
      <c r="S143" s="217"/>
      <c r="T143" s="216"/>
      <c r="U143" s="216"/>
      <c r="V143" s="218"/>
      <c r="W143" s="216"/>
      <c r="X143" s="216"/>
    </row>
    <row r="144" spans="1:26" x14ac:dyDescent="0.3">
      <c r="A144" s="207" t="s">
        <v>54</v>
      </c>
      <c r="B144" s="216"/>
      <c r="C144" s="217"/>
      <c r="D144" s="216"/>
      <c r="E144" s="216"/>
      <c r="F144" s="218"/>
      <c r="G144" s="217"/>
      <c r="H144" s="216"/>
      <c r="I144" s="216"/>
      <c r="J144" s="218"/>
      <c r="K144" s="217"/>
      <c r="L144" s="216"/>
      <c r="M144" s="216"/>
      <c r="N144" s="218"/>
      <c r="O144" s="217"/>
      <c r="P144" s="216">
        <v>2284706.2000000002</v>
      </c>
      <c r="Q144" s="216"/>
      <c r="R144" s="218"/>
      <c r="S144" s="217"/>
      <c r="T144" s="216"/>
      <c r="U144" s="216"/>
      <c r="V144" s="218"/>
      <c r="W144" s="216"/>
      <c r="X144" s="216"/>
    </row>
    <row r="145" spans="1:26" x14ac:dyDescent="0.3">
      <c r="A145" s="207" t="s">
        <v>55</v>
      </c>
      <c r="B145" s="216"/>
      <c r="C145" s="217"/>
      <c r="D145" s="216"/>
      <c r="E145" s="216"/>
      <c r="F145" s="218"/>
      <c r="G145" s="217"/>
      <c r="H145" s="216"/>
      <c r="I145" s="216"/>
      <c r="J145" s="218"/>
      <c r="K145" s="217"/>
      <c r="L145" s="216"/>
      <c r="M145" s="216"/>
      <c r="N145" s="218"/>
      <c r="O145" s="217"/>
      <c r="P145" s="216">
        <v>0</v>
      </c>
      <c r="Q145" s="216"/>
      <c r="R145" s="218"/>
      <c r="S145" s="217"/>
      <c r="T145" s="216"/>
      <c r="U145" s="216"/>
      <c r="V145" s="218"/>
      <c r="W145" s="216"/>
      <c r="X145" s="216"/>
    </row>
    <row r="146" spans="1:26" x14ac:dyDescent="0.3">
      <c r="A146" s="207" t="s">
        <v>56</v>
      </c>
      <c r="B146" s="216"/>
      <c r="C146" s="217"/>
      <c r="D146" s="216"/>
      <c r="E146" s="216"/>
      <c r="F146" s="218"/>
      <c r="G146" s="217"/>
      <c r="H146" s="216"/>
      <c r="I146" s="216"/>
      <c r="J146" s="218"/>
      <c r="K146" s="217"/>
      <c r="L146" s="216"/>
      <c r="M146" s="216"/>
      <c r="N146" s="218"/>
      <c r="O146" s="217"/>
      <c r="P146" s="216">
        <v>0</v>
      </c>
      <c r="Q146" s="216"/>
      <c r="R146" s="218"/>
      <c r="S146" s="217"/>
      <c r="T146" s="216"/>
      <c r="U146" s="216"/>
      <c r="V146" s="218"/>
      <c r="W146" s="216"/>
      <c r="X146" s="216"/>
    </row>
    <row r="147" spans="1:26" x14ac:dyDescent="0.3">
      <c r="A147" s="207" t="s">
        <v>57</v>
      </c>
      <c r="B147" s="216"/>
      <c r="C147" s="217"/>
      <c r="D147" s="216"/>
      <c r="E147" s="216"/>
      <c r="F147" s="218"/>
      <c r="G147" s="217"/>
      <c r="H147" s="216"/>
      <c r="I147" s="216"/>
      <c r="J147" s="218"/>
      <c r="K147" s="217"/>
      <c r="L147" s="216"/>
      <c r="M147" s="216"/>
      <c r="N147" s="218"/>
      <c r="O147" s="217"/>
      <c r="P147" s="216">
        <v>0</v>
      </c>
      <c r="Q147" s="216"/>
      <c r="R147" s="218"/>
      <c r="S147" s="217"/>
      <c r="T147" s="216"/>
      <c r="U147" s="216"/>
      <c r="V147" s="218"/>
      <c r="W147" s="216"/>
      <c r="X147" s="216"/>
    </row>
    <row r="148" spans="1:26" x14ac:dyDescent="0.3">
      <c r="A148" s="207" t="s">
        <v>58</v>
      </c>
      <c r="B148" s="216"/>
      <c r="C148" s="217"/>
      <c r="D148" s="216"/>
      <c r="E148" s="216"/>
      <c r="F148" s="218"/>
      <c r="G148" s="217"/>
      <c r="H148" s="216"/>
      <c r="I148" s="216"/>
      <c r="J148" s="218"/>
      <c r="K148" s="217"/>
      <c r="L148" s="216"/>
      <c r="M148" s="216"/>
      <c r="N148" s="218"/>
      <c r="O148" s="217"/>
      <c r="P148" s="216">
        <v>0</v>
      </c>
      <c r="Q148" s="216"/>
      <c r="R148" s="218"/>
      <c r="S148" s="217"/>
      <c r="T148" s="216"/>
      <c r="U148" s="216"/>
      <c r="V148" s="218"/>
      <c r="W148" s="216"/>
      <c r="X148" s="216"/>
    </row>
    <row r="149" spans="1:26" x14ac:dyDescent="0.3">
      <c r="A149" s="141" t="s">
        <v>1951</v>
      </c>
      <c r="B149" s="219">
        <f t="shared" ref="B149:X149" si="108">IF(ISBLANK(B$8),"",SUM(B141:B148))</f>
        <v>0</v>
      </c>
      <c r="C149" s="220">
        <f t="shared" si="108"/>
        <v>0</v>
      </c>
      <c r="D149" s="219">
        <f t="shared" si="108"/>
        <v>0</v>
      </c>
      <c r="E149" s="219">
        <f t="shared" si="108"/>
        <v>0</v>
      </c>
      <c r="F149" s="221">
        <f t="shared" si="108"/>
        <v>0</v>
      </c>
      <c r="G149" s="220">
        <f t="shared" si="108"/>
        <v>0</v>
      </c>
      <c r="H149" s="219">
        <f t="shared" si="108"/>
        <v>0</v>
      </c>
      <c r="I149" s="219">
        <f t="shared" si="108"/>
        <v>0</v>
      </c>
      <c r="J149" s="221">
        <f t="shared" si="108"/>
        <v>0</v>
      </c>
      <c r="K149" s="220">
        <f t="shared" si="108"/>
        <v>0</v>
      </c>
      <c r="L149" s="219">
        <f t="shared" si="108"/>
        <v>0</v>
      </c>
      <c r="M149" s="219">
        <f t="shared" si="108"/>
        <v>2170407</v>
      </c>
      <c r="N149" s="221">
        <f t="shared" si="108"/>
        <v>2433345</v>
      </c>
      <c r="O149" s="220">
        <f t="shared" si="108"/>
        <v>5979274</v>
      </c>
      <c r="P149" s="219">
        <f t="shared" si="108"/>
        <v>9648492.2099999972</v>
      </c>
      <c r="Q149" s="219">
        <f t="shared" si="108"/>
        <v>0</v>
      </c>
      <c r="R149" s="221" t="str">
        <f t="shared" si="108"/>
        <v/>
      </c>
      <c r="S149" s="220">
        <f t="shared" si="108"/>
        <v>0</v>
      </c>
      <c r="T149" s="219" t="str">
        <f t="shared" si="108"/>
        <v/>
      </c>
      <c r="U149" s="219" t="str">
        <f t="shared" si="108"/>
        <v/>
      </c>
      <c r="V149" s="221" t="str">
        <f t="shared" si="108"/>
        <v/>
      </c>
      <c r="W149" s="219" t="str">
        <f t="shared" si="108"/>
        <v/>
      </c>
      <c r="X149" s="219" t="str">
        <f t="shared" si="108"/>
        <v/>
      </c>
    </row>
    <row r="150" spans="1:26" x14ac:dyDescent="0.3">
      <c r="C150" s="82"/>
      <c r="F150" s="97"/>
      <c r="G150" s="82"/>
      <c r="J150" s="97"/>
      <c r="K150" s="82"/>
      <c r="L150" s="182"/>
      <c r="N150" s="113"/>
      <c r="O150" s="195"/>
      <c r="P150" s="182"/>
      <c r="R150" s="113"/>
      <c r="S150" s="82"/>
      <c r="T150" s="182"/>
      <c r="V150" s="113"/>
    </row>
    <row r="151" spans="1:26" x14ac:dyDescent="0.3">
      <c r="A151" s="145" t="s">
        <v>36</v>
      </c>
      <c r="B151" s="139"/>
      <c r="C151" s="148"/>
      <c r="D151" s="139"/>
      <c r="E151" s="139"/>
      <c r="F151" s="149"/>
      <c r="G151" s="148"/>
      <c r="H151" s="139"/>
      <c r="I151" s="139"/>
      <c r="J151" s="149"/>
      <c r="K151" s="148"/>
      <c r="L151" s="139"/>
      <c r="M151" s="139"/>
      <c r="N151" s="149"/>
      <c r="O151" s="148"/>
      <c r="P151" s="139"/>
      <c r="Q151" s="139"/>
      <c r="R151" s="149"/>
      <c r="S151" s="148"/>
      <c r="T151" s="139"/>
      <c r="U151" s="139"/>
      <c r="V151" s="149"/>
      <c r="W151" s="139"/>
      <c r="X151" s="139"/>
      <c r="Z151" s="2"/>
    </row>
    <row r="152" spans="1:26" x14ac:dyDescent="0.3">
      <c r="A152" s="207" t="s">
        <v>51</v>
      </c>
      <c r="B152" s="216"/>
      <c r="C152" s="217"/>
      <c r="D152" s="216"/>
      <c r="E152" s="216"/>
      <c r="F152" s="218"/>
      <c r="G152" s="217"/>
      <c r="H152" s="216"/>
      <c r="I152" s="216"/>
      <c r="J152" s="218"/>
      <c r="K152" s="217"/>
      <c r="L152" s="216"/>
      <c r="M152" s="216"/>
      <c r="N152" s="218">
        <v>472845.88999999996</v>
      </c>
      <c r="O152" s="217"/>
      <c r="P152" s="216"/>
      <c r="Q152" s="216"/>
      <c r="R152" s="218"/>
      <c r="S152" s="217"/>
      <c r="T152" s="216"/>
      <c r="U152" s="216"/>
      <c r="V152" s="218"/>
      <c r="W152" s="216"/>
      <c r="X152" s="216"/>
    </row>
    <row r="153" spans="1:26" x14ac:dyDescent="0.3">
      <c r="A153" s="207" t="s">
        <v>52</v>
      </c>
      <c r="B153" s="216"/>
      <c r="C153" s="217"/>
      <c r="D153" s="216"/>
      <c r="E153" s="216"/>
      <c r="F153" s="218"/>
      <c r="G153" s="217"/>
      <c r="H153" s="216"/>
      <c r="I153" s="216"/>
      <c r="J153" s="218"/>
      <c r="K153" s="217"/>
      <c r="L153" s="216"/>
      <c r="M153" s="216"/>
      <c r="N153" s="218"/>
      <c r="O153" s="217"/>
      <c r="P153" s="216"/>
      <c r="Q153" s="216"/>
      <c r="R153" s="218"/>
      <c r="S153" s="217"/>
      <c r="T153" s="216"/>
      <c r="U153" s="216"/>
      <c r="V153" s="218"/>
      <c r="W153" s="216"/>
      <c r="X153" s="216"/>
    </row>
    <row r="154" spans="1:26" x14ac:dyDescent="0.3">
      <c r="A154" s="207" t="s">
        <v>53</v>
      </c>
      <c r="B154" s="216"/>
      <c r="C154" s="217"/>
      <c r="D154" s="216"/>
      <c r="E154" s="216"/>
      <c r="F154" s="218"/>
      <c r="G154" s="217"/>
      <c r="H154" s="216"/>
      <c r="I154" s="216"/>
      <c r="J154" s="218"/>
      <c r="K154" s="217"/>
      <c r="L154" s="216"/>
      <c r="M154" s="216"/>
      <c r="N154" s="218">
        <v>100000</v>
      </c>
      <c r="O154" s="217"/>
      <c r="P154" s="216"/>
      <c r="Q154" s="216"/>
      <c r="R154" s="218"/>
      <c r="S154" s="217"/>
      <c r="T154" s="216"/>
      <c r="U154" s="216"/>
      <c r="V154" s="218"/>
      <c r="W154" s="216"/>
      <c r="X154" s="216"/>
    </row>
    <row r="155" spans="1:26" x14ac:dyDescent="0.3">
      <c r="A155" s="207" t="s">
        <v>54</v>
      </c>
      <c r="B155" s="216"/>
      <c r="C155" s="217"/>
      <c r="D155" s="216"/>
      <c r="E155" s="216"/>
      <c r="F155" s="218"/>
      <c r="G155" s="217"/>
      <c r="H155" s="216"/>
      <c r="I155" s="216"/>
      <c r="J155" s="218"/>
      <c r="K155" s="217"/>
      <c r="L155" s="216"/>
      <c r="M155" s="216"/>
      <c r="N155" s="218"/>
      <c r="O155" s="217"/>
      <c r="P155" s="216"/>
      <c r="Q155" s="216"/>
      <c r="R155" s="218"/>
      <c r="S155" s="217"/>
      <c r="T155" s="216"/>
      <c r="U155" s="216"/>
      <c r="V155" s="218"/>
      <c r="W155" s="216"/>
      <c r="X155" s="216"/>
    </row>
    <row r="156" spans="1:26" x14ac:dyDescent="0.3">
      <c r="A156" s="207" t="s">
        <v>55</v>
      </c>
      <c r="B156" s="216"/>
      <c r="C156" s="217"/>
      <c r="D156" s="216"/>
      <c r="E156" s="216"/>
      <c r="F156" s="218"/>
      <c r="G156" s="217"/>
      <c r="H156" s="216"/>
      <c r="I156" s="216"/>
      <c r="J156" s="218"/>
      <c r="K156" s="217"/>
      <c r="L156" s="216"/>
      <c r="M156" s="216"/>
      <c r="N156" s="218"/>
      <c r="O156" s="217"/>
      <c r="P156" s="216"/>
      <c r="Q156" s="216"/>
      <c r="R156" s="218"/>
      <c r="S156" s="217"/>
      <c r="T156" s="216"/>
      <c r="U156" s="216"/>
      <c r="V156" s="218"/>
      <c r="W156" s="216"/>
      <c r="X156" s="216"/>
    </row>
    <row r="157" spans="1:26" x14ac:dyDescent="0.3">
      <c r="A157" s="207" t="s">
        <v>56</v>
      </c>
      <c r="B157" s="216"/>
      <c r="C157" s="217"/>
      <c r="D157" s="216"/>
      <c r="E157" s="216"/>
      <c r="F157" s="218"/>
      <c r="G157" s="217"/>
      <c r="H157" s="216"/>
      <c r="I157" s="216"/>
      <c r="J157" s="218"/>
      <c r="K157" s="217"/>
      <c r="L157" s="216"/>
      <c r="M157" s="216"/>
      <c r="N157" s="218"/>
      <c r="O157" s="217"/>
      <c r="P157" s="216"/>
      <c r="Q157" s="216"/>
      <c r="R157" s="218"/>
      <c r="S157" s="217"/>
      <c r="T157" s="216"/>
      <c r="U157" s="216"/>
      <c r="V157" s="218"/>
      <c r="W157" s="216"/>
      <c r="X157" s="216"/>
    </row>
    <row r="158" spans="1:26" x14ac:dyDescent="0.3">
      <c r="A158" s="207" t="s">
        <v>57</v>
      </c>
      <c r="B158" s="216"/>
      <c r="C158" s="217"/>
      <c r="D158" s="216"/>
      <c r="E158" s="216"/>
      <c r="F158" s="218"/>
      <c r="G158" s="217"/>
      <c r="H158" s="216"/>
      <c r="I158" s="216"/>
      <c r="J158" s="218"/>
      <c r="K158" s="217"/>
      <c r="L158" s="216"/>
      <c r="M158" s="216"/>
      <c r="N158" s="218"/>
      <c r="O158" s="217"/>
      <c r="P158" s="216"/>
      <c r="Q158" s="216"/>
      <c r="R158" s="218"/>
      <c r="S158" s="217"/>
      <c r="T158" s="216"/>
      <c r="U158" s="216"/>
      <c r="V158" s="218"/>
      <c r="W158" s="216"/>
      <c r="X158" s="216"/>
    </row>
    <row r="159" spans="1:26" x14ac:dyDescent="0.3">
      <c r="A159" s="207" t="s">
        <v>58</v>
      </c>
      <c r="B159" s="216"/>
      <c r="C159" s="217"/>
      <c r="D159" s="216"/>
      <c r="E159" s="216"/>
      <c r="F159" s="218"/>
      <c r="G159" s="217"/>
      <c r="H159" s="216"/>
      <c r="I159" s="216"/>
      <c r="J159" s="218"/>
      <c r="K159" s="217"/>
      <c r="L159" s="216"/>
      <c r="M159" s="216"/>
      <c r="N159" s="218"/>
      <c r="O159" s="217"/>
      <c r="P159" s="216"/>
      <c r="Q159" s="216"/>
      <c r="R159" s="218"/>
      <c r="S159" s="217"/>
      <c r="T159" s="216"/>
      <c r="U159" s="216"/>
      <c r="V159" s="218"/>
      <c r="W159" s="216"/>
      <c r="X159" s="216"/>
    </row>
    <row r="160" spans="1:26" x14ac:dyDescent="0.3">
      <c r="A160" s="141" t="s">
        <v>1952</v>
      </c>
      <c r="B160" s="219">
        <f t="shared" ref="B160:X160" si="109">IF(ISBLANK(B$8),"",SUM(B152:B159))</f>
        <v>0</v>
      </c>
      <c r="C160" s="220">
        <f t="shared" si="109"/>
        <v>0</v>
      </c>
      <c r="D160" s="219">
        <f t="shared" si="109"/>
        <v>0</v>
      </c>
      <c r="E160" s="219">
        <f t="shared" si="109"/>
        <v>0</v>
      </c>
      <c r="F160" s="221">
        <f t="shared" si="109"/>
        <v>0</v>
      </c>
      <c r="G160" s="220">
        <f t="shared" si="109"/>
        <v>0</v>
      </c>
      <c r="H160" s="219">
        <f t="shared" si="109"/>
        <v>0</v>
      </c>
      <c r="I160" s="219">
        <f t="shared" si="109"/>
        <v>0</v>
      </c>
      <c r="J160" s="221">
        <f t="shared" si="109"/>
        <v>0</v>
      </c>
      <c r="K160" s="220">
        <f t="shared" si="109"/>
        <v>0</v>
      </c>
      <c r="L160" s="219">
        <f t="shared" si="109"/>
        <v>0</v>
      </c>
      <c r="M160" s="219">
        <f t="shared" si="109"/>
        <v>0</v>
      </c>
      <c r="N160" s="221">
        <f t="shared" si="109"/>
        <v>572845.8899999999</v>
      </c>
      <c r="O160" s="220">
        <f t="shared" si="109"/>
        <v>0</v>
      </c>
      <c r="P160" s="219">
        <f t="shared" si="109"/>
        <v>0</v>
      </c>
      <c r="Q160" s="219">
        <f t="shared" si="109"/>
        <v>0</v>
      </c>
      <c r="R160" s="221" t="str">
        <f t="shared" si="109"/>
        <v/>
      </c>
      <c r="S160" s="220">
        <f t="shared" si="109"/>
        <v>0</v>
      </c>
      <c r="T160" s="219" t="str">
        <f t="shared" si="109"/>
        <v/>
      </c>
      <c r="U160" s="219" t="str">
        <f t="shared" si="109"/>
        <v/>
      </c>
      <c r="V160" s="221" t="str">
        <f t="shared" si="109"/>
        <v/>
      </c>
      <c r="W160" s="219" t="str">
        <f t="shared" si="109"/>
        <v/>
      </c>
      <c r="X160" s="219" t="str">
        <f t="shared" si="109"/>
        <v/>
      </c>
    </row>
    <row r="161" spans="1:32" x14ac:dyDescent="0.3">
      <c r="C161" s="82"/>
      <c r="F161" s="97"/>
      <c r="G161" s="82"/>
      <c r="J161" s="97"/>
      <c r="K161" s="82"/>
      <c r="L161" s="182"/>
      <c r="N161" s="113"/>
      <c r="O161" s="195"/>
      <c r="P161" s="182"/>
      <c r="R161" s="113"/>
      <c r="S161" s="82"/>
      <c r="T161" s="182"/>
      <c r="V161" s="113"/>
    </row>
    <row r="162" spans="1:32" ht="15" customHeight="1" x14ac:dyDescent="0.3">
      <c r="A162" s="142" t="s">
        <v>61</v>
      </c>
      <c r="B162" s="222">
        <f>IF(ISBLANK(B$8),"",SUM(B138,B149,B160))</f>
        <v>0</v>
      </c>
      <c r="C162" s="223">
        <f t="shared" ref="C162:X162" si="110">IF(ISBLANK(C$8),"",SUM(C138,C149,C160))</f>
        <v>0</v>
      </c>
      <c r="D162" s="222">
        <f t="shared" si="110"/>
        <v>0</v>
      </c>
      <c r="E162" s="222">
        <f t="shared" si="110"/>
        <v>0</v>
      </c>
      <c r="F162" s="224">
        <f t="shared" si="110"/>
        <v>0</v>
      </c>
      <c r="G162" s="223">
        <f t="shared" si="110"/>
        <v>0</v>
      </c>
      <c r="H162" s="222">
        <f t="shared" si="110"/>
        <v>0</v>
      </c>
      <c r="I162" s="222">
        <f t="shared" si="110"/>
        <v>0</v>
      </c>
      <c r="J162" s="224">
        <f t="shared" si="110"/>
        <v>5447320.9107404957</v>
      </c>
      <c r="K162" s="223">
        <f t="shared" si="110"/>
        <v>1363350.6912177252</v>
      </c>
      <c r="L162" s="222">
        <f t="shared" si="110"/>
        <v>2488547.9790000003</v>
      </c>
      <c r="M162" s="222">
        <f t="shared" si="110"/>
        <v>7113038.1090681152</v>
      </c>
      <c r="N162" s="224">
        <f t="shared" si="110"/>
        <v>6259791.9279318834</v>
      </c>
      <c r="O162" s="223">
        <f t="shared" si="110"/>
        <v>25649217.157800004</v>
      </c>
      <c r="P162" s="222">
        <f t="shared" si="110"/>
        <v>18432623.189999998</v>
      </c>
      <c r="Q162" s="222">
        <f t="shared" si="110"/>
        <v>0</v>
      </c>
      <c r="R162" s="224" t="str">
        <f t="shared" si="110"/>
        <v/>
      </c>
      <c r="S162" s="223">
        <f t="shared" si="110"/>
        <v>0</v>
      </c>
      <c r="T162" s="222" t="str">
        <f t="shared" si="110"/>
        <v/>
      </c>
      <c r="U162" s="222" t="str">
        <f t="shared" si="110"/>
        <v/>
      </c>
      <c r="V162" s="224" t="str">
        <f t="shared" si="110"/>
        <v/>
      </c>
      <c r="W162" s="222" t="str">
        <f t="shared" si="110"/>
        <v/>
      </c>
      <c r="X162" s="222" t="str">
        <f t="shared" si="110"/>
        <v/>
      </c>
    </row>
    <row r="163" spans="1:32" ht="15" customHeight="1" x14ac:dyDescent="0.3">
      <c r="C163" s="82"/>
      <c r="F163" s="97"/>
      <c r="G163" s="82"/>
      <c r="J163" s="97"/>
      <c r="K163" s="82"/>
      <c r="N163" s="97"/>
      <c r="O163" s="82"/>
      <c r="R163" s="97"/>
      <c r="S163" s="82"/>
      <c r="V163" s="97"/>
      <c r="AF163" s="11"/>
    </row>
    <row r="164" spans="1:32" ht="15" customHeight="1" x14ac:dyDescent="0.3">
      <c r="C164" s="82"/>
      <c r="F164" s="97"/>
      <c r="G164" s="82"/>
      <c r="J164" s="97"/>
      <c r="K164" s="82"/>
      <c r="N164" s="97"/>
      <c r="O164" s="82"/>
      <c r="R164" s="97"/>
      <c r="S164" s="82"/>
      <c r="V164" s="97"/>
      <c r="AF164" s="11"/>
    </row>
    <row r="165" spans="1:32" ht="15" customHeight="1" x14ac:dyDescent="0.3">
      <c r="A165" s="207" t="s">
        <v>62</v>
      </c>
      <c r="B165" s="216"/>
      <c r="C165" s="225">
        <f t="shared" ref="C165:X165" si="111">IF(ISBLANK(C$8),"",SUM(C130:C133,C141:C144,C152:C155))</f>
        <v>0</v>
      </c>
      <c r="D165" s="226">
        <f t="shared" si="111"/>
        <v>0</v>
      </c>
      <c r="E165" s="226">
        <f t="shared" si="111"/>
        <v>0</v>
      </c>
      <c r="F165" s="227">
        <f t="shared" si="111"/>
        <v>0</v>
      </c>
      <c r="G165" s="225">
        <f t="shared" si="111"/>
        <v>0</v>
      </c>
      <c r="H165" s="226">
        <f t="shared" si="111"/>
        <v>0</v>
      </c>
      <c r="I165" s="226">
        <f t="shared" si="111"/>
        <v>0</v>
      </c>
      <c r="J165" s="227">
        <f t="shared" si="111"/>
        <v>1411070.0710423498</v>
      </c>
      <c r="K165" s="225">
        <f t="shared" si="111"/>
        <v>677009.87321772519</v>
      </c>
      <c r="L165" s="226">
        <f t="shared" si="111"/>
        <v>2054885.3390000002</v>
      </c>
      <c r="M165" s="226">
        <f t="shared" si="111"/>
        <v>7113038.1090681152</v>
      </c>
      <c r="N165" s="227">
        <f t="shared" si="111"/>
        <v>6259791.9279318834</v>
      </c>
      <c r="O165" s="225">
        <f t="shared" si="111"/>
        <v>25649217.157800004</v>
      </c>
      <c r="P165" s="226">
        <f t="shared" si="111"/>
        <v>18432623.189999998</v>
      </c>
      <c r="Q165" s="226">
        <f t="shared" si="111"/>
        <v>0</v>
      </c>
      <c r="R165" s="227" t="str">
        <f t="shared" si="111"/>
        <v/>
      </c>
      <c r="S165" s="225">
        <f t="shared" si="111"/>
        <v>0</v>
      </c>
      <c r="T165" s="226" t="str">
        <f t="shared" si="111"/>
        <v/>
      </c>
      <c r="U165" s="226" t="str">
        <f t="shared" si="111"/>
        <v/>
      </c>
      <c r="V165" s="227" t="str">
        <f t="shared" si="111"/>
        <v/>
      </c>
      <c r="W165" s="226" t="str">
        <f t="shared" si="111"/>
        <v/>
      </c>
      <c r="X165" s="226" t="str">
        <f t="shared" si="111"/>
        <v/>
      </c>
      <c r="AF165" s="11"/>
    </row>
    <row r="166" spans="1:32" ht="15" customHeight="1" x14ac:dyDescent="0.3">
      <c r="A166" s="207" t="s">
        <v>63</v>
      </c>
      <c r="B166" s="216"/>
      <c r="C166" s="225">
        <f t="shared" ref="C166:X166" si="112">IF(ISBLANK(C$8),"",SUM(C134,C145,C156))</f>
        <v>0</v>
      </c>
      <c r="D166" s="226">
        <f t="shared" si="112"/>
        <v>0</v>
      </c>
      <c r="E166" s="226">
        <f t="shared" si="112"/>
        <v>0</v>
      </c>
      <c r="F166" s="227">
        <f t="shared" si="112"/>
        <v>0</v>
      </c>
      <c r="G166" s="225">
        <f t="shared" si="112"/>
        <v>0</v>
      </c>
      <c r="H166" s="226">
        <f t="shared" si="112"/>
        <v>0</v>
      </c>
      <c r="I166" s="226">
        <f t="shared" si="112"/>
        <v>0</v>
      </c>
      <c r="J166" s="227">
        <f t="shared" si="112"/>
        <v>0</v>
      </c>
      <c r="K166" s="225">
        <f t="shared" si="112"/>
        <v>0</v>
      </c>
      <c r="L166" s="226">
        <f t="shared" si="112"/>
        <v>0</v>
      </c>
      <c r="M166" s="226">
        <f t="shared" si="112"/>
        <v>0</v>
      </c>
      <c r="N166" s="227">
        <f t="shared" si="112"/>
        <v>0</v>
      </c>
      <c r="O166" s="225">
        <f t="shared" si="112"/>
        <v>0</v>
      </c>
      <c r="P166" s="226">
        <f t="shared" si="112"/>
        <v>0</v>
      </c>
      <c r="Q166" s="226">
        <f t="shared" si="112"/>
        <v>0</v>
      </c>
      <c r="R166" s="227" t="str">
        <f t="shared" si="112"/>
        <v/>
      </c>
      <c r="S166" s="225">
        <f t="shared" si="112"/>
        <v>0</v>
      </c>
      <c r="T166" s="226" t="str">
        <f t="shared" si="112"/>
        <v/>
      </c>
      <c r="U166" s="226" t="str">
        <f t="shared" si="112"/>
        <v/>
      </c>
      <c r="V166" s="227" t="str">
        <f t="shared" si="112"/>
        <v/>
      </c>
      <c r="W166" s="226" t="str">
        <f t="shared" si="112"/>
        <v/>
      </c>
      <c r="X166" s="226" t="str">
        <f t="shared" si="112"/>
        <v/>
      </c>
      <c r="AF166" s="11"/>
    </row>
    <row r="167" spans="1:32" ht="15" customHeight="1" x14ac:dyDescent="0.3">
      <c r="A167" s="207" t="s">
        <v>64</v>
      </c>
      <c r="B167" s="216"/>
      <c r="C167" s="225">
        <f t="shared" ref="C167:X167" si="113">IF(ISBLANK(C$8),"",SUM(C135,C146,C157))</f>
        <v>0</v>
      </c>
      <c r="D167" s="226">
        <f t="shared" si="113"/>
        <v>0</v>
      </c>
      <c r="E167" s="226">
        <f t="shared" si="113"/>
        <v>0</v>
      </c>
      <c r="F167" s="227">
        <f t="shared" si="113"/>
        <v>0</v>
      </c>
      <c r="G167" s="225">
        <f t="shared" si="113"/>
        <v>0</v>
      </c>
      <c r="H167" s="226">
        <f t="shared" si="113"/>
        <v>0</v>
      </c>
      <c r="I167" s="226">
        <f t="shared" si="113"/>
        <v>0</v>
      </c>
      <c r="J167" s="227">
        <f t="shared" si="113"/>
        <v>277416.31348378072</v>
      </c>
      <c r="K167" s="225">
        <f t="shared" si="113"/>
        <v>89658.786999999997</v>
      </c>
      <c r="L167" s="226">
        <f t="shared" si="113"/>
        <v>196125</v>
      </c>
      <c r="M167" s="226">
        <f t="shared" si="113"/>
        <v>0</v>
      </c>
      <c r="N167" s="227">
        <f t="shared" si="113"/>
        <v>0</v>
      </c>
      <c r="O167" s="225">
        <f t="shared" si="113"/>
        <v>0</v>
      </c>
      <c r="P167" s="226">
        <f t="shared" si="113"/>
        <v>0</v>
      </c>
      <c r="Q167" s="226">
        <f t="shared" si="113"/>
        <v>0</v>
      </c>
      <c r="R167" s="227" t="str">
        <f t="shared" si="113"/>
        <v/>
      </c>
      <c r="S167" s="225">
        <f t="shared" si="113"/>
        <v>0</v>
      </c>
      <c r="T167" s="226" t="str">
        <f t="shared" si="113"/>
        <v/>
      </c>
      <c r="U167" s="226" t="str">
        <f t="shared" si="113"/>
        <v/>
      </c>
      <c r="V167" s="227" t="str">
        <f t="shared" si="113"/>
        <v/>
      </c>
      <c r="W167" s="226" t="str">
        <f t="shared" si="113"/>
        <v/>
      </c>
      <c r="X167" s="226" t="str">
        <f t="shared" si="113"/>
        <v/>
      </c>
      <c r="AF167" s="11"/>
    </row>
    <row r="168" spans="1:32" ht="15" customHeight="1" x14ac:dyDescent="0.3">
      <c r="A168" s="207" t="s">
        <v>65</v>
      </c>
      <c r="B168" s="216"/>
      <c r="C168" s="225">
        <f t="shared" ref="C168:X168" si="114">IF(ISBLANK(C$8),"",SUM(C136,C147,C158))</f>
        <v>0</v>
      </c>
      <c r="D168" s="226">
        <f t="shared" si="114"/>
        <v>0</v>
      </c>
      <c r="E168" s="226">
        <f t="shared" si="114"/>
        <v>0</v>
      </c>
      <c r="F168" s="227">
        <f t="shared" si="114"/>
        <v>0</v>
      </c>
      <c r="G168" s="225">
        <f t="shared" si="114"/>
        <v>0</v>
      </c>
      <c r="H168" s="226">
        <f t="shared" si="114"/>
        <v>0</v>
      </c>
      <c r="I168" s="226">
        <f t="shared" si="114"/>
        <v>0</v>
      </c>
      <c r="J168" s="227">
        <f t="shared" si="114"/>
        <v>3710176.7302442142</v>
      </c>
      <c r="K168" s="225">
        <f t="shared" si="114"/>
        <v>376635.14799999999</v>
      </c>
      <c r="L168" s="226">
        <f t="shared" si="114"/>
        <v>192000</v>
      </c>
      <c r="M168" s="226">
        <f t="shared" si="114"/>
        <v>0</v>
      </c>
      <c r="N168" s="227">
        <f t="shared" si="114"/>
        <v>0</v>
      </c>
      <c r="O168" s="225">
        <f t="shared" si="114"/>
        <v>0</v>
      </c>
      <c r="P168" s="226">
        <f t="shared" si="114"/>
        <v>0</v>
      </c>
      <c r="Q168" s="226">
        <f t="shared" si="114"/>
        <v>0</v>
      </c>
      <c r="R168" s="227" t="str">
        <f t="shared" si="114"/>
        <v/>
      </c>
      <c r="S168" s="225">
        <f t="shared" si="114"/>
        <v>0</v>
      </c>
      <c r="T168" s="226" t="str">
        <f t="shared" si="114"/>
        <v/>
      </c>
      <c r="U168" s="226" t="str">
        <f t="shared" si="114"/>
        <v/>
      </c>
      <c r="V168" s="227" t="str">
        <f t="shared" si="114"/>
        <v/>
      </c>
      <c r="W168" s="226" t="str">
        <f t="shared" si="114"/>
        <v/>
      </c>
      <c r="X168" s="226" t="str">
        <f t="shared" si="114"/>
        <v/>
      </c>
      <c r="AF168" s="11"/>
    </row>
    <row r="169" spans="1:32" ht="15" customHeight="1" x14ac:dyDescent="0.3">
      <c r="A169" s="207" t="s">
        <v>66</v>
      </c>
      <c r="B169" s="216"/>
      <c r="C169" s="225">
        <f t="shared" ref="C169:X169" si="115">IF(ISBLANK(C$8),"",SUM(C137,C148,C159))</f>
        <v>0</v>
      </c>
      <c r="D169" s="226">
        <f t="shared" si="115"/>
        <v>0</v>
      </c>
      <c r="E169" s="226">
        <f t="shared" si="115"/>
        <v>0</v>
      </c>
      <c r="F169" s="227">
        <f t="shared" si="115"/>
        <v>0</v>
      </c>
      <c r="G169" s="225">
        <f t="shared" si="115"/>
        <v>0</v>
      </c>
      <c r="H169" s="226">
        <f t="shared" si="115"/>
        <v>0</v>
      </c>
      <c r="I169" s="226">
        <f t="shared" si="115"/>
        <v>0</v>
      </c>
      <c r="J169" s="227">
        <f t="shared" si="115"/>
        <v>48657.795970151128</v>
      </c>
      <c r="K169" s="225">
        <f t="shared" si="115"/>
        <v>220046.88299999997</v>
      </c>
      <c r="L169" s="226">
        <f t="shared" si="115"/>
        <v>45537.64</v>
      </c>
      <c r="M169" s="226">
        <f t="shared" si="115"/>
        <v>0</v>
      </c>
      <c r="N169" s="227">
        <f t="shared" si="115"/>
        <v>0</v>
      </c>
      <c r="O169" s="225">
        <f t="shared" si="115"/>
        <v>0</v>
      </c>
      <c r="P169" s="226">
        <f t="shared" si="115"/>
        <v>0</v>
      </c>
      <c r="Q169" s="226">
        <f t="shared" si="115"/>
        <v>0</v>
      </c>
      <c r="R169" s="227" t="str">
        <f t="shared" si="115"/>
        <v/>
      </c>
      <c r="S169" s="225">
        <f t="shared" si="115"/>
        <v>0</v>
      </c>
      <c r="T169" s="226" t="str">
        <f t="shared" si="115"/>
        <v/>
      </c>
      <c r="U169" s="226" t="str">
        <f t="shared" si="115"/>
        <v/>
      </c>
      <c r="V169" s="227" t="str">
        <f t="shared" si="115"/>
        <v/>
      </c>
      <c r="W169" s="226" t="str">
        <f t="shared" si="115"/>
        <v/>
      </c>
      <c r="X169" s="226" t="str">
        <f t="shared" si="115"/>
        <v/>
      </c>
      <c r="AF169" s="11"/>
    </row>
    <row r="170" spans="1:32" x14ac:dyDescent="0.3">
      <c r="C170" s="82"/>
      <c r="F170" s="97"/>
      <c r="G170" s="82"/>
      <c r="J170" s="97"/>
      <c r="K170" s="82"/>
      <c r="L170" s="182"/>
      <c r="N170" s="113"/>
      <c r="O170" s="195"/>
      <c r="P170" s="182"/>
      <c r="R170" s="113"/>
      <c r="S170" s="82"/>
      <c r="T170" s="182"/>
      <c r="V170" s="113"/>
    </row>
    <row r="171" spans="1:32" x14ac:dyDescent="0.3">
      <c r="C171" s="82"/>
      <c r="F171" s="97"/>
      <c r="G171" s="82"/>
      <c r="J171" s="97"/>
      <c r="K171" s="82"/>
      <c r="L171" s="182"/>
      <c r="N171" s="113"/>
      <c r="O171" s="195"/>
      <c r="P171" s="182"/>
      <c r="R171" s="113"/>
      <c r="S171" s="82"/>
      <c r="T171" s="182"/>
      <c r="V171" s="113"/>
    </row>
    <row r="172" spans="1:32" x14ac:dyDescent="0.3">
      <c r="C172" s="82"/>
      <c r="F172" s="97"/>
      <c r="G172" s="82"/>
      <c r="J172" s="97"/>
      <c r="K172" s="82"/>
      <c r="L172" s="182"/>
      <c r="N172" s="113"/>
      <c r="O172" s="195"/>
      <c r="P172" s="182"/>
      <c r="R172" s="113"/>
      <c r="S172" s="82"/>
      <c r="T172" s="182"/>
      <c r="V172" s="113"/>
    </row>
    <row r="173" spans="1:32" x14ac:dyDescent="0.3">
      <c r="A173" s="143" t="s">
        <v>67</v>
      </c>
      <c r="B173" s="144"/>
      <c r="C173" s="146"/>
      <c r="D173" s="144"/>
      <c r="E173" s="144"/>
      <c r="F173" s="147"/>
      <c r="G173" s="146"/>
      <c r="H173" s="144"/>
      <c r="I173" s="144"/>
      <c r="J173" s="147"/>
      <c r="K173" s="146"/>
      <c r="L173" s="144"/>
      <c r="M173" s="144"/>
      <c r="N173" s="147"/>
      <c r="O173" s="146"/>
      <c r="P173" s="144"/>
      <c r="Q173" s="144"/>
      <c r="R173" s="147"/>
      <c r="S173" s="146"/>
      <c r="T173" s="144"/>
      <c r="U173" s="144"/>
      <c r="V173" s="147"/>
      <c r="W173" s="144"/>
      <c r="X173" s="144"/>
    </row>
    <row r="174" spans="1:32" x14ac:dyDescent="0.3">
      <c r="A174" s="153" t="s">
        <v>68</v>
      </c>
      <c r="B174" s="153"/>
      <c r="C174" s="175"/>
      <c r="D174" s="153"/>
      <c r="E174" s="153"/>
      <c r="F174" s="176"/>
      <c r="G174" s="175"/>
      <c r="H174" s="153"/>
      <c r="I174" s="153"/>
      <c r="J174" s="176"/>
      <c r="K174" s="175"/>
      <c r="L174" s="153"/>
      <c r="M174" s="153"/>
      <c r="N174" s="176"/>
      <c r="O174" s="175"/>
      <c r="P174" s="153"/>
      <c r="Q174" s="153"/>
      <c r="R174" s="176"/>
      <c r="S174" s="175"/>
      <c r="T174" s="153"/>
      <c r="U174" s="153"/>
      <c r="V174" s="176"/>
      <c r="W174" s="153"/>
      <c r="X174" s="153"/>
    </row>
    <row r="175" spans="1:32" x14ac:dyDescent="0.3">
      <c r="A175" s="207" t="s">
        <v>69</v>
      </c>
      <c r="B175" s="157">
        <v>31</v>
      </c>
      <c r="C175" s="177">
        <v>33</v>
      </c>
      <c r="D175" s="157">
        <v>43</v>
      </c>
      <c r="E175" s="157">
        <v>25</v>
      </c>
      <c r="F175" s="178">
        <v>35</v>
      </c>
      <c r="G175" s="177">
        <v>46</v>
      </c>
      <c r="H175" s="157">
        <v>37</v>
      </c>
      <c r="I175" s="157">
        <v>40</v>
      </c>
      <c r="J175" s="178">
        <v>44</v>
      </c>
      <c r="K175" s="177">
        <v>50</v>
      </c>
      <c r="L175" s="157">
        <v>45</v>
      </c>
      <c r="M175" s="157">
        <v>60</v>
      </c>
      <c r="N175" s="178">
        <v>52</v>
      </c>
      <c r="O175" s="177">
        <v>46</v>
      </c>
      <c r="P175" s="157">
        <v>45</v>
      </c>
      <c r="Q175" s="157"/>
      <c r="R175" s="178"/>
      <c r="S175" s="177"/>
      <c r="T175" s="157"/>
      <c r="U175" s="157"/>
      <c r="V175" s="178"/>
      <c r="W175" s="157"/>
      <c r="X175" s="157"/>
    </row>
    <row r="176" spans="1:32" x14ac:dyDescent="0.3">
      <c r="A176" s="207" t="s">
        <v>70</v>
      </c>
      <c r="B176" s="157">
        <v>4</v>
      </c>
      <c r="C176" s="177">
        <v>7</v>
      </c>
      <c r="D176" s="157">
        <v>8</v>
      </c>
      <c r="E176" s="157">
        <v>3</v>
      </c>
      <c r="F176" s="178">
        <v>6</v>
      </c>
      <c r="G176" s="177">
        <v>7</v>
      </c>
      <c r="H176" s="157">
        <v>5</v>
      </c>
      <c r="I176" s="157">
        <v>6</v>
      </c>
      <c r="J176" s="178">
        <v>6</v>
      </c>
      <c r="K176" s="177">
        <v>5</v>
      </c>
      <c r="L176" s="157">
        <v>8</v>
      </c>
      <c r="M176" s="157">
        <v>11</v>
      </c>
      <c r="N176" s="178">
        <v>10</v>
      </c>
      <c r="O176" s="177">
        <v>10</v>
      </c>
      <c r="P176" s="157">
        <v>4</v>
      </c>
      <c r="Q176" s="157"/>
      <c r="R176" s="178"/>
      <c r="S176" s="177"/>
      <c r="T176" s="157"/>
      <c r="U176" s="157"/>
      <c r="V176" s="178"/>
      <c r="W176" s="157"/>
      <c r="X176" s="157"/>
    </row>
    <row r="177" spans="1:32" x14ac:dyDescent="0.3">
      <c r="A177" s="207" t="s">
        <v>71</v>
      </c>
      <c r="B177" s="157">
        <v>85</v>
      </c>
      <c r="C177" s="177">
        <v>61</v>
      </c>
      <c r="D177" s="157">
        <v>71</v>
      </c>
      <c r="E177" s="157">
        <v>85</v>
      </c>
      <c r="F177" s="178">
        <v>62</v>
      </c>
      <c r="G177" s="177">
        <v>52</v>
      </c>
      <c r="H177" s="157">
        <v>55</v>
      </c>
      <c r="I177" s="157">
        <v>81</v>
      </c>
      <c r="J177" s="178">
        <v>72</v>
      </c>
      <c r="K177" s="177">
        <v>65</v>
      </c>
      <c r="L177" s="157">
        <v>100</v>
      </c>
      <c r="M177" s="157">
        <v>115</v>
      </c>
      <c r="N177" s="178">
        <v>98</v>
      </c>
      <c r="O177" s="177">
        <v>80</v>
      </c>
      <c r="P177" s="157">
        <v>81</v>
      </c>
      <c r="Q177" s="157"/>
      <c r="R177" s="178"/>
      <c r="S177" s="177"/>
      <c r="T177" s="157"/>
      <c r="U177" s="157"/>
      <c r="V177" s="178"/>
      <c r="W177" s="157"/>
      <c r="X177" s="157"/>
    </row>
    <row r="178" spans="1:32" x14ac:dyDescent="0.3">
      <c r="A178" s="141" t="s">
        <v>72</v>
      </c>
      <c r="B178" s="158">
        <f t="shared" ref="B178:X178" si="116">IF(ISBLANK(B$8),"",SUM(B175:B177))</f>
        <v>120</v>
      </c>
      <c r="C178" s="179">
        <f t="shared" si="116"/>
        <v>101</v>
      </c>
      <c r="D178" s="158">
        <f t="shared" si="116"/>
        <v>122</v>
      </c>
      <c r="E178" s="158">
        <f t="shared" si="116"/>
        <v>113</v>
      </c>
      <c r="F178" s="180">
        <f t="shared" si="116"/>
        <v>103</v>
      </c>
      <c r="G178" s="179">
        <f t="shared" si="116"/>
        <v>105</v>
      </c>
      <c r="H178" s="158">
        <f t="shared" si="116"/>
        <v>97</v>
      </c>
      <c r="I178" s="158">
        <f t="shared" si="116"/>
        <v>127</v>
      </c>
      <c r="J178" s="180">
        <f t="shared" si="116"/>
        <v>122</v>
      </c>
      <c r="K178" s="179">
        <f t="shared" si="116"/>
        <v>120</v>
      </c>
      <c r="L178" s="158">
        <f t="shared" si="116"/>
        <v>153</v>
      </c>
      <c r="M178" s="158">
        <f t="shared" si="116"/>
        <v>186</v>
      </c>
      <c r="N178" s="180">
        <f t="shared" si="116"/>
        <v>160</v>
      </c>
      <c r="O178" s="179">
        <f t="shared" si="116"/>
        <v>136</v>
      </c>
      <c r="P178" s="158">
        <f t="shared" si="116"/>
        <v>130</v>
      </c>
      <c r="Q178" s="158">
        <f t="shared" si="116"/>
        <v>0</v>
      </c>
      <c r="R178" s="180" t="str">
        <f t="shared" si="116"/>
        <v/>
      </c>
      <c r="S178" s="179">
        <f t="shared" si="116"/>
        <v>0</v>
      </c>
      <c r="T178" s="158" t="str">
        <f t="shared" si="116"/>
        <v/>
      </c>
      <c r="U178" s="158" t="str">
        <f t="shared" si="116"/>
        <v/>
      </c>
      <c r="V178" s="180" t="str">
        <f t="shared" si="116"/>
        <v/>
      </c>
      <c r="W178" s="158" t="str">
        <f t="shared" si="116"/>
        <v/>
      </c>
      <c r="X178" s="158" t="str">
        <f t="shared" si="116"/>
        <v/>
      </c>
    </row>
    <row r="179" spans="1:32" x14ac:dyDescent="0.3">
      <c r="C179" s="82"/>
      <c r="F179" s="97"/>
      <c r="G179" s="82"/>
      <c r="J179" s="97"/>
      <c r="K179" s="82"/>
      <c r="N179" s="97"/>
      <c r="O179" s="82"/>
      <c r="R179" s="97"/>
      <c r="S179" s="82"/>
      <c r="V179" s="97"/>
    </row>
    <row r="180" spans="1:32" ht="15" customHeight="1" x14ac:dyDescent="0.3">
      <c r="A180" s="207" t="s">
        <v>73</v>
      </c>
      <c r="B180" s="210">
        <f>IF(ISBLANK(C$8),"",SUM(B175:B176))</f>
        <v>35</v>
      </c>
      <c r="C180" s="211">
        <f t="shared" ref="C180:X180" si="117">IF(ISBLANK(D$8),"",SUM(C175:C176))</f>
        <v>40</v>
      </c>
      <c r="D180" s="212">
        <f t="shared" si="117"/>
        <v>51</v>
      </c>
      <c r="E180" s="212">
        <f t="shared" si="117"/>
        <v>28</v>
      </c>
      <c r="F180" s="210">
        <f t="shared" si="117"/>
        <v>41</v>
      </c>
      <c r="G180" s="211">
        <f t="shared" si="117"/>
        <v>53</v>
      </c>
      <c r="H180" s="212">
        <f t="shared" si="117"/>
        <v>42</v>
      </c>
      <c r="I180" s="212">
        <f t="shared" si="117"/>
        <v>46</v>
      </c>
      <c r="J180" s="210">
        <f t="shared" si="117"/>
        <v>50</v>
      </c>
      <c r="K180" s="211">
        <f t="shared" si="117"/>
        <v>55</v>
      </c>
      <c r="L180" s="212">
        <f t="shared" si="117"/>
        <v>53</v>
      </c>
      <c r="M180" s="212">
        <f t="shared" si="117"/>
        <v>71</v>
      </c>
      <c r="N180" s="210">
        <f t="shared" si="117"/>
        <v>62</v>
      </c>
      <c r="O180" s="211">
        <f t="shared" si="117"/>
        <v>56</v>
      </c>
      <c r="P180" s="212">
        <f t="shared" si="117"/>
        <v>49</v>
      </c>
      <c r="Q180" s="212" t="str">
        <f t="shared" si="117"/>
        <v/>
      </c>
      <c r="R180" s="210">
        <f t="shared" si="117"/>
        <v>0</v>
      </c>
      <c r="S180" s="211" t="str">
        <f t="shared" si="117"/>
        <v/>
      </c>
      <c r="T180" s="212" t="str">
        <f t="shared" si="117"/>
        <v/>
      </c>
      <c r="U180" s="212" t="str">
        <f t="shared" si="117"/>
        <v/>
      </c>
      <c r="V180" s="210" t="str">
        <f t="shared" si="117"/>
        <v/>
      </c>
      <c r="W180" s="212" t="str">
        <f t="shared" si="117"/>
        <v/>
      </c>
      <c r="X180" s="212" t="str">
        <f t="shared" si="117"/>
        <v/>
      </c>
      <c r="AF180" s="11"/>
    </row>
    <row r="181" spans="1:32" ht="15" customHeight="1" x14ac:dyDescent="0.3">
      <c r="A181" s="207" t="s">
        <v>74</v>
      </c>
      <c r="B181" s="210">
        <f>IF(ISBLANK(C$8),"",B177)</f>
        <v>85</v>
      </c>
      <c r="C181" s="211">
        <f t="shared" ref="C181:X181" si="118">IF(ISBLANK(D$8),"",C177)</f>
        <v>61</v>
      </c>
      <c r="D181" s="212">
        <f t="shared" si="118"/>
        <v>71</v>
      </c>
      <c r="E181" s="212">
        <f t="shared" si="118"/>
        <v>85</v>
      </c>
      <c r="F181" s="210">
        <f t="shared" si="118"/>
        <v>62</v>
      </c>
      <c r="G181" s="211">
        <f t="shared" si="118"/>
        <v>52</v>
      </c>
      <c r="H181" s="212">
        <f t="shared" si="118"/>
        <v>55</v>
      </c>
      <c r="I181" s="212">
        <f t="shared" si="118"/>
        <v>81</v>
      </c>
      <c r="J181" s="210">
        <f t="shared" si="118"/>
        <v>72</v>
      </c>
      <c r="K181" s="211">
        <f t="shared" si="118"/>
        <v>65</v>
      </c>
      <c r="L181" s="212">
        <f t="shared" si="118"/>
        <v>100</v>
      </c>
      <c r="M181" s="212">
        <f t="shared" si="118"/>
        <v>115</v>
      </c>
      <c r="N181" s="210">
        <f t="shared" si="118"/>
        <v>98</v>
      </c>
      <c r="O181" s="211">
        <f t="shared" si="118"/>
        <v>80</v>
      </c>
      <c r="P181" s="212">
        <f t="shared" si="118"/>
        <v>81</v>
      </c>
      <c r="Q181" s="212" t="str">
        <f t="shared" si="118"/>
        <v/>
      </c>
      <c r="R181" s="210">
        <f t="shared" si="118"/>
        <v>0</v>
      </c>
      <c r="S181" s="211" t="str">
        <f t="shared" si="118"/>
        <v/>
      </c>
      <c r="T181" s="212" t="str">
        <f t="shared" si="118"/>
        <v/>
      </c>
      <c r="U181" s="212" t="str">
        <f t="shared" si="118"/>
        <v/>
      </c>
      <c r="V181" s="210" t="str">
        <f t="shared" si="118"/>
        <v/>
      </c>
      <c r="W181" s="212" t="str">
        <f t="shared" si="118"/>
        <v/>
      </c>
      <c r="X181" s="212" t="str">
        <f t="shared" si="118"/>
        <v/>
      </c>
      <c r="AF181" s="11"/>
    </row>
    <row r="182" spans="1:32" x14ac:dyDescent="0.3">
      <c r="C182" s="82"/>
      <c r="F182" s="97"/>
      <c r="G182" s="82"/>
      <c r="J182" s="97"/>
      <c r="K182" s="82"/>
      <c r="N182" s="97"/>
      <c r="O182" s="82"/>
      <c r="R182" s="97"/>
      <c r="S182" s="82"/>
      <c r="V182" s="97"/>
    </row>
    <row r="183" spans="1:32" x14ac:dyDescent="0.3">
      <c r="C183" s="82"/>
      <c r="F183" s="97"/>
      <c r="G183" s="82"/>
      <c r="J183" s="97"/>
      <c r="K183" s="82"/>
      <c r="N183" s="97"/>
      <c r="O183" s="82"/>
      <c r="R183" s="97"/>
      <c r="S183" s="82"/>
      <c r="V183" s="97"/>
    </row>
    <row r="184" spans="1:32" x14ac:dyDescent="0.3">
      <c r="A184" s="153" t="s">
        <v>75</v>
      </c>
      <c r="B184" s="153"/>
      <c r="C184" s="175"/>
      <c r="D184" s="153"/>
      <c r="E184" s="153"/>
      <c r="F184" s="176"/>
      <c r="G184" s="175"/>
      <c r="H184" s="153"/>
      <c r="I184" s="153"/>
      <c r="J184" s="176"/>
      <c r="K184" s="175"/>
      <c r="L184" s="153"/>
      <c r="M184" s="153"/>
      <c r="N184" s="176"/>
      <c r="O184" s="175"/>
      <c r="P184" s="153"/>
      <c r="Q184" s="153"/>
      <c r="R184" s="176"/>
      <c r="S184" s="175"/>
      <c r="T184" s="153"/>
      <c r="U184" s="153"/>
      <c r="V184" s="176"/>
      <c r="W184" s="153"/>
      <c r="X184" s="153"/>
    </row>
    <row r="185" spans="1:32" x14ac:dyDescent="0.3">
      <c r="A185" s="207" t="s">
        <v>69</v>
      </c>
      <c r="B185" s="157">
        <v>408</v>
      </c>
      <c r="C185" s="177">
        <v>419</v>
      </c>
      <c r="D185" s="157">
        <v>392</v>
      </c>
      <c r="E185" s="157">
        <v>393</v>
      </c>
      <c r="F185" s="178">
        <v>375</v>
      </c>
      <c r="G185" s="177">
        <v>571</v>
      </c>
      <c r="H185" s="157">
        <v>364</v>
      </c>
      <c r="I185" s="157">
        <v>545</v>
      </c>
      <c r="J185" s="178">
        <v>553</v>
      </c>
      <c r="K185" s="177">
        <v>520</v>
      </c>
      <c r="L185" s="157">
        <v>394</v>
      </c>
      <c r="M185" s="157">
        <v>471</v>
      </c>
      <c r="N185" s="178">
        <v>462</v>
      </c>
      <c r="O185" s="177">
        <v>454</v>
      </c>
      <c r="P185" s="157">
        <v>444</v>
      </c>
      <c r="Q185" s="157"/>
      <c r="R185" s="178"/>
      <c r="S185" s="177"/>
      <c r="T185" s="157"/>
      <c r="U185" s="157"/>
      <c r="V185" s="178"/>
      <c r="W185" s="157"/>
      <c r="X185" s="157"/>
    </row>
    <row r="186" spans="1:32" x14ac:dyDescent="0.3">
      <c r="A186" s="207" t="s">
        <v>70</v>
      </c>
      <c r="B186" s="157">
        <v>147</v>
      </c>
      <c r="C186" s="177">
        <v>129</v>
      </c>
      <c r="D186" s="157">
        <v>144</v>
      </c>
      <c r="E186" s="157">
        <v>146</v>
      </c>
      <c r="F186" s="178">
        <v>165</v>
      </c>
      <c r="G186" s="177">
        <v>233</v>
      </c>
      <c r="H186" s="157">
        <v>158</v>
      </c>
      <c r="I186" s="157">
        <v>182</v>
      </c>
      <c r="J186" s="178">
        <v>169</v>
      </c>
      <c r="K186" s="177">
        <v>171</v>
      </c>
      <c r="L186" s="157">
        <v>134</v>
      </c>
      <c r="M186" s="157">
        <v>138</v>
      </c>
      <c r="N186" s="178">
        <v>171</v>
      </c>
      <c r="O186" s="177">
        <v>164</v>
      </c>
      <c r="P186" s="157">
        <v>172</v>
      </c>
      <c r="Q186" s="157"/>
      <c r="R186" s="178"/>
      <c r="S186" s="177"/>
      <c r="T186" s="157"/>
      <c r="U186" s="157"/>
      <c r="V186" s="178"/>
      <c r="W186" s="157"/>
      <c r="X186" s="157"/>
    </row>
    <row r="187" spans="1:32" x14ac:dyDescent="0.3">
      <c r="A187" s="207" t="s">
        <v>71</v>
      </c>
      <c r="B187" s="157">
        <v>1289</v>
      </c>
      <c r="C187" s="177">
        <v>1252</v>
      </c>
      <c r="D187" s="157">
        <v>1290</v>
      </c>
      <c r="E187" s="157">
        <v>1443</v>
      </c>
      <c r="F187" s="178">
        <v>1476</v>
      </c>
      <c r="G187" s="177">
        <v>1766</v>
      </c>
      <c r="H187" s="157">
        <v>1472</v>
      </c>
      <c r="I187" s="157">
        <v>1656</v>
      </c>
      <c r="J187" s="178">
        <v>1748</v>
      </c>
      <c r="K187" s="177">
        <v>1617</v>
      </c>
      <c r="L187" s="157">
        <v>1665</v>
      </c>
      <c r="M187" s="157">
        <v>1690</v>
      </c>
      <c r="N187" s="178">
        <v>1582</v>
      </c>
      <c r="O187" s="177">
        <v>1583</v>
      </c>
      <c r="P187" s="157">
        <v>1280</v>
      </c>
      <c r="Q187" s="157"/>
      <c r="R187" s="178"/>
      <c r="S187" s="177"/>
      <c r="T187" s="157"/>
      <c r="U187" s="157"/>
      <c r="V187" s="178"/>
      <c r="W187" s="157"/>
      <c r="X187" s="157"/>
    </row>
    <row r="188" spans="1:32" x14ac:dyDescent="0.3">
      <c r="A188" s="141" t="s">
        <v>76</v>
      </c>
      <c r="B188" s="158">
        <f t="shared" ref="B188:X188" si="119">IF(ISBLANK(B$8),"",SUM(B185:B187))</f>
        <v>1844</v>
      </c>
      <c r="C188" s="179">
        <f t="shared" si="119"/>
        <v>1800</v>
      </c>
      <c r="D188" s="158">
        <f t="shared" si="119"/>
        <v>1826</v>
      </c>
      <c r="E188" s="158">
        <f t="shared" si="119"/>
        <v>1982</v>
      </c>
      <c r="F188" s="180">
        <f t="shared" si="119"/>
        <v>2016</v>
      </c>
      <c r="G188" s="179">
        <f t="shared" si="119"/>
        <v>2570</v>
      </c>
      <c r="H188" s="158">
        <f t="shared" si="119"/>
        <v>1994</v>
      </c>
      <c r="I188" s="158">
        <f t="shared" si="119"/>
        <v>2383</v>
      </c>
      <c r="J188" s="180">
        <f t="shared" si="119"/>
        <v>2470</v>
      </c>
      <c r="K188" s="179">
        <f t="shared" si="119"/>
        <v>2308</v>
      </c>
      <c r="L188" s="158">
        <f t="shared" si="119"/>
        <v>2193</v>
      </c>
      <c r="M188" s="158">
        <f t="shared" si="119"/>
        <v>2299</v>
      </c>
      <c r="N188" s="180">
        <f t="shared" si="119"/>
        <v>2215</v>
      </c>
      <c r="O188" s="179">
        <f t="shared" si="119"/>
        <v>2201</v>
      </c>
      <c r="P188" s="158">
        <f t="shared" si="119"/>
        <v>1896</v>
      </c>
      <c r="Q188" s="158">
        <f t="shared" si="119"/>
        <v>0</v>
      </c>
      <c r="R188" s="180" t="str">
        <f t="shared" si="119"/>
        <v/>
      </c>
      <c r="S188" s="179">
        <f t="shared" si="119"/>
        <v>0</v>
      </c>
      <c r="T188" s="158" t="str">
        <f t="shared" si="119"/>
        <v/>
      </c>
      <c r="U188" s="158" t="str">
        <f t="shared" si="119"/>
        <v/>
      </c>
      <c r="V188" s="180" t="str">
        <f t="shared" si="119"/>
        <v/>
      </c>
      <c r="W188" s="158" t="str">
        <f t="shared" si="119"/>
        <v/>
      </c>
      <c r="X188" s="158" t="str">
        <f t="shared" si="119"/>
        <v/>
      </c>
    </row>
    <row r="189" spans="1:32" x14ac:dyDescent="0.3">
      <c r="C189" s="82"/>
      <c r="F189" s="97"/>
      <c r="G189" s="82"/>
      <c r="J189" s="97"/>
      <c r="K189" s="82"/>
      <c r="N189" s="97"/>
      <c r="O189" s="82"/>
      <c r="R189" s="97"/>
      <c r="S189" s="82"/>
      <c r="V189" s="97"/>
    </row>
    <row r="190" spans="1:32" ht="15" customHeight="1" x14ac:dyDescent="0.3">
      <c r="A190" s="207" t="s">
        <v>73</v>
      </c>
      <c r="B190" s="210">
        <f>IF(ISBLANK(C$8),"",SUM(B185:B186))</f>
        <v>555</v>
      </c>
      <c r="C190" s="211">
        <f t="shared" ref="C190:X190" si="120">IF(ISBLANK(D$8),"",SUM(C185:C186))</f>
        <v>548</v>
      </c>
      <c r="D190" s="212">
        <f t="shared" si="120"/>
        <v>536</v>
      </c>
      <c r="E190" s="212">
        <f t="shared" si="120"/>
        <v>539</v>
      </c>
      <c r="F190" s="210">
        <f t="shared" si="120"/>
        <v>540</v>
      </c>
      <c r="G190" s="211">
        <f t="shared" si="120"/>
        <v>804</v>
      </c>
      <c r="H190" s="212">
        <f t="shared" si="120"/>
        <v>522</v>
      </c>
      <c r="I190" s="212">
        <f t="shared" si="120"/>
        <v>727</v>
      </c>
      <c r="J190" s="210">
        <f t="shared" si="120"/>
        <v>722</v>
      </c>
      <c r="K190" s="211">
        <f t="shared" si="120"/>
        <v>691</v>
      </c>
      <c r="L190" s="212">
        <f t="shared" si="120"/>
        <v>528</v>
      </c>
      <c r="M190" s="212">
        <f t="shared" si="120"/>
        <v>609</v>
      </c>
      <c r="N190" s="210">
        <f t="shared" si="120"/>
        <v>633</v>
      </c>
      <c r="O190" s="211">
        <f t="shared" si="120"/>
        <v>618</v>
      </c>
      <c r="P190" s="212">
        <f t="shared" si="120"/>
        <v>616</v>
      </c>
      <c r="Q190" s="212" t="str">
        <f t="shared" si="120"/>
        <v/>
      </c>
      <c r="R190" s="210">
        <f t="shared" si="120"/>
        <v>0</v>
      </c>
      <c r="S190" s="211" t="str">
        <f t="shared" si="120"/>
        <v/>
      </c>
      <c r="T190" s="212" t="str">
        <f t="shared" si="120"/>
        <v/>
      </c>
      <c r="U190" s="212" t="str">
        <f t="shared" si="120"/>
        <v/>
      </c>
      <c r="V190" s="210" t="str">
        <f t="shared" si="120"/>
        <v/>
      </c>
      <c r="W190" s="212" t="str">
        <f t="shared" si="120"/>
        <v/>
      </c>
      <c r="X190" s="212" t="str">
        <f t="shared" si="120"/>
        <v/>
      </c>
      <c r="AF190" s="11"/>
    </row>
    <row r="191" spans="1:32" ht="15" customHeight="1" x14ac:dyDescent="0.3">
      <c r="A191" s="207" t="s">
        <v>74</v>
      </c>
      <c r="B191" s="210">
        <f>IF(ISBLANK(C$8),"",B187)</f>
        <v>1289</v>
      </c>
      <c r="C191" s="211">
        <f t="shared" ref="C191:X191" si="121">IF(ISBLANK(D$8),"",C187)</f>
        <v>1252</v>
      </c>
      <c r="D191" s="212">
        <f t="shared" si="121"/>
        <v>1290</v>
      </c>
      <c r="E191" s="212">
        <f t="shared" si="121"/>
        <v>1443</v>
      </c>
      <c r="F191" s="210">
        <f t="shared" si="121"/>
        <v>1476</v>
      </c>
      <c r="G191" s="211">
        <f t="shared" si="121"/>
        <v>1766</v>
      </c>
      <c r="H191" s="212">
        <f t="shared" si="121"/>
        <v>1472</v>
      </c>
      <c r="I191" s="212">
        <f t="shared" si="121"/>
        <v>1656</v>
      </c>
      <c r="J191" s="210">
        <f t="shared" si="121"/>
        <v>1748</v>
      </c>
      <c r="K191" s="211">
        <f t="shared" si="121"/>
        <v>1617</v>
      </c>
      <c r="L191" s="212">
        <f t="shared" si="121"/>
        <v>1665</v>
      </c>
      <c r="M191" s="212">
        <f t="shared" si="121"/>
        <v>1690</v>
      </c>
      <c r="N191" s="210">
        <f t="shared" si="121"/>
        <v>1582</v>
      </c>
      <c r="O191" s="211">
        <f t="shared" si="121"/>
        <v>1583</v>
      </c>
      <c r="P191" s="212">
        <f t="shared" si="121"/>
        <v>1280</v>
      </c>
      <c r="Q191" s="212" t="str">
        <f t="shared" si="121"/>
        <v/>
      </c>
      <c r="R191" s="210">
        <f t="shared" si="121"/>
        <v>0</v>
      </c>
      <c r="S191" s="211" t="str">
        <f t="shared" si="121"/>
        <v/>
      </c>
      <c r="T191" s="212" t="str">
        <f t="shared" si="121"/>
        <v/>
      </c>
      <c r="U191" s="212" t="str">
        <f t="shared" si="121"/>
        <v/>
      </c>
      <c r="V191" s="210" t="str">
        <f t="shared" si="121"/>
        <v/>
      </c>
      <c r="W191" s="212" t="str">
        <f t="shared" si="121"/>
        <v/>
      </c>
      <c r="X191" s="212" t="str">
        <f t="shared" si="121"/>
        <v/>
      </c>
      <c r="AF191" s="11"/>
    </row>
    <row r="192" spans="1:32" x14ac:dyDescent="0.3">
      <c r="C192" s="82"/>
      <c r="F192" s="97"/>
      <c r="G192" s="82"/>
      <c r="J192" s="97"/>
      <c r="K192" s="82"/>
      <c r="N192" s="97"/>
      <c r="O192" s="82"/>
      <c r="R192" s="97"/>
      <c r="S192" s="82"/>
      <c r="V192" s="97"/>
    </row>
    <row r="193" spans="1:32" x14ac:dyDescent="0.3">
      <c r="C193" s="82"/>
      <c r="F193" s="97"/>
      <c r="G193" s="82"/>
      <c r="J193" s="97"/>
      <c r="K193" s="82"/>
      <c r="N193" s="97"/>
      <c r="O193" s="82"/>
      <c r="R193" s="97"/>
      <c r="S193" s="82"/>
      <c r="V193" s="97"/>
    </row>
    <row r="194" spans="1:32" x14ac:dyDescent="0.3">
      <c r="A194" s="153" t="s">
        <v>77</v>
      </c>
      <c r="B194" s="153"/>
      <c r="C194" s="175"/>
      <c r="D194" s="153"/>
      <c r="E194" s="153"/>
      <c r="F194" s="176"/>
      <c r="G194" s="175"/>
      <c r="H194" s="153"/>
      <c r="I194" s="153"/>
      <c r="J194" s="176"/>
      <c r="K194" s="175"/>
      <c r="L194" s="153"/>
      <c r="M194" s="153"/>
      <c r="N194" s="176"/>
      <c r="O194" s="175"/>
      <c r="P194" s="153"/>
      <c r="Q194" s="153"/>
      <c r="R194" s="176"/>
      <c r="S194" s="175"/>
      <c r="T194" s="153"/>
      <c r="U194" s="153"/>
      <c r="V194" s="176"/>
      <c r="W194" s="153"/>
      <c r="X194" s="153"/>
    </row>
    <row r="195" spans="1:32" x14ac:dyDescent="0.3">
      <c r="A195" s="207" t="s">
        <v>69</v>
      </c>
      <c r="B195" s="157">
        <v>3069</v>
      </c>
      <c r="C195" s="177">
        <v>2961</v>
      </c>
      <c r="D195" s="157">
        <v>2838</v>
      </c>
      <c r="E195" s="157">
        <v>2712</v>
      </c>
      <c r="F195" s="178">
        <v>2489</v>
      </c>
      <c r="G195" s="177">
        <v>2843</v>
      </c>
      <c r="H195" s="157">
        <v>2739</v>
      </c>
      <c r="I195" s="157">
        <v>2937</v>
      </c>
      <c r="J195" s="178">
        <v>2996</v>
      </c>
      <c r="K195" s="177">
        <v>2937</v>
      </c>
      <c r="L195" s="157">
        <v>1985</v>
      </c>
      <c r="M195" s="157">
        <v>2170</v>
      </c>
      <c r="N195" s="178">
        <v>2360</v>
      </c>
      <c r="O195" s="177">
        <v>2640</v>
      </c>
      <c r="P195" s="157">
        <v>2987</v>
      </c>
      <c r="Q195" s="157"/>
      <c r="R195" s="178"/>
      <c r="S195" s="177"/>
      <c r="T195" s="157"/>
      <c r="U195" s="157"/>
      <c r="V195" s="178"/>
      <c r="W195" s="157"/>
      <c r="X195" s="157"/>
    </row>
    <row r="196" spans="1:32" x14ac:dyDescent="0.3">
      <c r="A196" s="207" t="s">
        <v>70</v>
      </c>
      <c r="B196" s="157">
        <v>1576</v>
      </c>
      <c r="C196" s="177">
        <v>1292</v>
      </c>
      <c r="D196" s="157">
        <v>1506</v>
      </c>
      <c r="E196" s="157">
        <v>1570</v>
      </c>
      <c r="F196" s="178">
        <v>1679</v>
      </c>
      <c r="G196" s="177">
        <v>1915</v>
      </c>
      <c r="H196" s="157">
        <v>1653</v>
      </c>
      <c r="I196" s="157">
        <v>1486</v>
      </c>
      <c r="J196" s="178">
        <v>1318</v>
      </c>
      <c r="K196" s="177">
        <v>1326</v>
      </c>
      <c r="L196" s="157">
        <v>975</v>
      </c>
      <c r="M196" s="157">
        <v>1139</v>
      </c>
      <c r="N196" s="178">
        <v>1246</v>
      </c>
      <c r="O196" s="177">
        <v>1435</v>
      </c>
      <c r="P196" s="157">
        <v>1666</v>
      </c>
      <c r="Q196" s="157"/>
      <c r="R196" s="178"/>
      <c r="S196" s="177"/>
      <c r="T196" s="157"/>
      <c r="U196" s="157"/>
      <c r="V196" s="178"/>
      <c r="W196" s="157"/>
      <c r="X196" s="157"/>
    </row>
    <row r="197" spans="1:32" x14ac:dyDescent="0.3">
      <c r="A197" s="207" t="s">
        <v>71</v>
      </c>
      <c r="B197" s="157">
        <v>15171</v>
      </c>
      <c r="C197" s="177">
        <v>14218</v>
      </c>
      <c r="D197" s="157">
        <v>14234</v>
      </c>
      <c r="E197" s="157">
        <v>14065</v>
      </c>
      <c r="F197" s="178">
        <v>13721</v>
      </c>
      <c r="G197" s="177">
        <v>15138</v>
      </c>
      <c r="H197" s="157">
        <v>14950</v>
      </c>
      <c r="I197" s="157">
        <v>17275</v>
      </c>
      <c r="J197" s="178">
        <v>18569</v>
      </c>
      <c r="K197" s="177">
        <v>18068</v>
      </c>
      <c r="L197" s="157">
        <v>16900</v>
      </c>
      <c r="M197" s="157">
        <v>18854</v>
      </c>
      <c r="N197" s="178">
        <v>18141</v>
      </c>
      <c r="O197" s="177">
        <v>19404</v>
      </c>
      <c r="P197" s="157">
        <v>20933</v>
      </c>
      <c r="Q197" s="157"/>
      <c r="R197" s="178"/>
      <c r="S197" s="177"/>
      <c r="T197" s="157"/>
      <c r="U197" s="157"/>
      <c r="V197" s="178"/>
      <c r="W197" s="157"/>
      <c r="X197" s="157"/>
    </row>
    <row r="198" spans="1:32" x14ac:dyDescent="0.3">
      <c r="A198" s="141" t="s">
        <v>78</v>
      </c>
      <c r="B198" s="158">
        <f t="shared" ref="B198:X198" si="122">IF(ISBLANK(B$8),"",SUM(B195:B197))</f>
        <v>19816</v>
      </c>
      <c r="C198" s="179">
        <f t="shared" si="122"/>
        <v>18471</v>
      </c>
      <c r="D198" s="158">
        <f t="shared" si="122"/>
        <v>18578</v>
      </c>
      <c r="E198" s="158">
        <f t="shared" si="122"/>
        <v>18347</v>
      </c>
      <c r="F198" s="180">
        <f t="shared" si="122"/>
        <v>17889</v>
      </c>
      <c r="G198" s="179">
        <f t="shared" si="122"/>
        <v>19896</v>
      </c>
      <c r="H198" s="158">
        <f t="shared" si="122"/>
        <v>19342</v>
      </c>
      <c r="I198" s="158">
        <f t="shared" si="122"/>
        <v>21698</v>
      </c>
      <c r="J198" s="180">
        <f t="shared" si="122"/>
        <v>22883</v>
      </c>
      <c r="K198" s="179">
        <f t="shared" si="122"/>
        <v>22331</v>
      </c>
      <c r="L198" s="158">
        <f t="shared" si="122"/>
        <v>19860</v>
      </c>
      <c r="M198" s="158">
        <f t="shared" si="122"/>
        <v>22163</v>
      </c>
      <c r="N198" s="180">
        <f t="shared" si="122"/>
        <v>21747</v>
      </c>
      <c r="O198" s="179">
        <f t="shared" si="122"/>
        <v>23479</v>
      </c>
      <c r="P198" s="158">
        <f t="shared" si="122"/>
        <v>25586</v>
      </c>
      <c r="Q198" s="158">
        <f t="shared" si="122"/>
        <v>0</v>
      </c>
      <c r="R198" s="180" t="str">
        <f t="shared" si="122"/>
        <v/>
      </c>
      <c r="S198" s="179">
        <f t="shared" si="122"/>
        <v>0</v>
      </c>
      <c r="T198" s="158" t="str">
        <f t="shared" si="122"/>
        <v/>
      </c>
      <c r="U198" s="158" t="str">
        <f t="shared" si="122"/>
        <v/>
      </c>
      <c r="V198" s="180" t="str">
        <f t="shared" si="122"/>
        <v/>
      </c>
      <c r="W198" s="158" t="str">
        <f t="shared" si="122"/>
        <v/>
      </c>
      <c r="X198" s="158" t="str">
        <f t="shared" si="122"/>
        <v/>
      </c>
    </row>
    <row r="199" spans="1:32" x14ac:dyDescent="0.3">
      <c r="C199" s="82"/>
      <c r="F199" s="97"/>
      <c r="G199" s="82"/>
      <c r="J199" s="97"/>
      <c r="K199" s="82"/>
      <c r="N199" s="97"/>
      <c r="O199" s="82"/>
      <c r="R199" s="97"/>
      <c r="S199" s="82"/>
      <c r="V199" s="97"/>
    </row>
    <row r="200" spans="1:32" ht="15" customHeight="1" x14ac:dyDescent="0.3">
      <c r="A200" s="207" t="s">
        <v>73</v>
      </c>
      <c r="B200" s="210">
        <f>IF(ISBLANK(C$8),"",SUM(B195:B196))</f>
        <v>4645</v>
      </c>
      <c r="C200" s="211">
        <f t="shared" ref="C200:X200" si="123">IF(ISBLANK(D$8),"",SUM(C195:C196))</f>
        <v>4253</v>
      </c>
      <c r="D200" s="212">
        <f t="shared" si="123"/>
        <v>4344</v>
      </c>
      <c r="E200" s="212">
        <f t="shared" si="123"/>
        <v>4282</v>
      </c>
      <c r="F200" s="210">
        <f t="shared" si="123"/>
        <v>4168</v>
      </c>
      <c r="G200" s="211">
        <f t="shared" si="123"/>
        <v>4758</v>
      </c>
      <c r="H200" s="212">
        <f t="shared" si="123"/>
        <v>4392</v>
      </c>
      <c r="I200" s="212">
        <f t="shared" si="123"/>
        <v>4423</v>
      </c>
      <c r="J200" s="210">
        <f t="shared" si="123"/>
        <v>4314</v>
      </c>
      <c r="K200" s="211">
        <f t="shared" si="123"/>
        <v>4263</v>
      </c>
      <c r="L200" s="212">
        <f t="shared" si="123"/>
        <v>2960</v>
      </c>
      <c r="M200" s="212">
        <f t="shared" si="123"/>
        <v>3309</v>
      </c>
      <c r="N200" s="210">
        <f t="shared" si="123"/>
        <v>3606</v>
      </c>
      <c r="O200" s="211">
        <f t="shared" si="123"/>
        <v>4075</v>
      </c>
      <c r="P200" s="212">
        <f t="shared" si="123"/>
        <v>4653</v>
      </c>
      <c r="Q200" s="212" t="str">
        <f t="shared" si="123"/>
        <v/>
      </c>
      <c r="R200" s="210">
        <f t="shared" si="123"/>
        <v>0</v>
      </c>
      <c r="S200" s="211" t="str">
        <f t="shared" si="123"/>
        <v/>
      </c>
      <c r="T200" s="212" t="str">
        <f t="shared" si="123"/>
        <v/>
      </c>
      <c r="U200" s="212" t="str">
        <f t="shared" si="123"/>
        <v/>
      </c>
      <c r="V200" s="210" t="str">
        <f t="shared" si="123"/>
        <v/>
      </c>
      <c r="W200" s="212" t="str">
        <f t="shared" si="123"/>
        <v/>
      </c>
      <c r="X200" s="212" t="str">
        <f t="shared" si="123"/>
        <v/>
      </c>
      <c r="AF200" s="11"/>
    </row>
    <row r="201" spans="1:32" ht="15" customHeight="1" x14ac:dyDescent="0.3">
      <c r="A201" s="207" t="s">
        <v>74</v>
      </c>
      <c r="B201" s="210">
        <f>IF(ISBLANK(C$8),"",B197)</f>
        <v>15171</v>
      </c>
      <c r="C201" s="211">
        <f t="shared" ref="C201:X201" si="124">IF(ISBLANK(D$8),"",C197)</f>
        <v>14218</v>
      </c>
      <c r="D201" s="212">
        <f t="shared" si="124"/>
        <v>14234</v>
      </c>
      <c r="E201" s="212">
        <f t="shared" si="124"/>
        <v>14065</v>
      </c>
      <c r="F201" s="210">
        <f t="shared" si="124"/>
        <v>13721</v>
      </c>
      <c r="G201" s="211">
        <f t="shared" si="124"/>
        <v>15138</v>
      </c>
      <c r="H201" s="212">
        <f t="shared" si="124"/>
        <v>14950</v>
      </c>
      <c r="I201" s="212">
        <f t="shared" si="124"/>
        <v>17275</v>
      </c>
      <c r="J201" s="210">
        <f t="shared" si="124"/>
        <v>18569</v>
      </c>
      <c r="K201" s="211">
        <f t="shared" si="124"/>
        <v>18068</v>
      </c>
      <c r="L201" s="212">
        <f t="shared" si="124"/>
        <v>16900</v>
      </c>
      <c r="M201" s="212">
        <f t="shared" si="124"/>
        <v>18854</v>
      </c>
      <c r="N201" s="210">
        <f t="shared" si="124"/>
        <v>18141</v>
      </c>
      <c r="O201" s="211">
        <f t="shared" si="124"/>
        <v>19404</v>
      </c>
      <c r="P201" s="212">
        <f t="shared" si="124"/>
        <v>20933</v>
      </c>
      <c r="Q201" s="212" t="str">
        <f t="shared" si="124"/>
        <v/>
      </c>
      <c r="R201" s="210">
        <f t="shared" si="124"/>
        <v>0</v>
      </c>
      <c r="S201" s="211" t="str">
        <f t="shared" si="124"/>
        <v/>
      </c>
      <c r="T201" s="212" t="str">
        <f t="shared" si="124"/>
        <v/>
      </c>
      <c r="U201" s="212" t="str">
        <f t="shared" si="124"/>
        <v/>
      </c>
      <c r="V201" s="210" t="str">
        <f t="shared" si="124"/>
        <v/>
      </c>
      <c r="W201" s="212" t="str">
        <f t="shared" si="124"/>
        <v/>
      </c>
      <c r="X201" s="212" t="str">
        <f t="shared" si="124"/>
        <v/>
      </c>
      <c r="AF201" s="11"/>
    </row>
    <row r="202" spans="1:32" x14ac:dyDescent="0.3">
      <c r="C202" s="82"/>
      <c r="F202" s="97"/>
      <c r="G202" s="82"/>
      <c r="J202" s="97"/>
      <c r="K202" s="82"/>
      <c r="N202" s="97"/>
      <c r="O202" s="82"/>
      <c r="R202" s="97"/>
      <c r="S202" s="82"/>
      <c r="V202" s="97"/>
    </row>
    <row r="203" spans="1:32" x14ac:dyDescent="0.3">
      <c r="C203" s="82"/>
      <c r="F203" s="97"/>
      <c r="G203" s="82"/>
      <c r="J203" s="97"/>
      <c r="K203" s="82"/>
      <c r="N203" s="97"/>
      <c r="O203" s="82"/>
      <c r="R203" s="97"/>
      <c r="S203" s="82"/>
      <c r="V203" s="97"/>
    </row>
    <row r="204" spans="1:32" x14ac:dyDescent="0.3">
      <c r="A204" s="153" t="s">
        <v>79</v>
      </c>
      <c r="B204" s="153"/>
      <c r="C204" s="175"/>
      <c r="D204" s="153"/>
      <c r="E204" s="153"/>
      <c r="F204" s="176"/>
      <c r="G204" s="175"/>
      <c r="H204" s="153"/>
      <c r="I204" s="153"/>
      <c r="J204" s="176"/>
      <c r="K204" s="175"/>
      <c r="L204" s="153"/>
      <c r="M204" s="153"/>
      <c r="N204" s="176"/>
      <c r="O204" s="175"/>
      <c r="P204" s="153"/>
      <c r="Q204" s="153"/>
      <c r="R204" s="176"/>
      <c r="S204" s="175"/>
      <c r="T204" s="153"/>
      <c r="U204" s="153"/>
      <c r="V204" s="176"/>
      <c r="W204" s="153"/>
      <c r="X204" s="153"/>
    </row>
    <row r="205" spans="1:32" x14ac:dyDescent="0.3">
      <c r="A205" s="207" t="s">
        <v>69</v>
      </c>
      <c r="B205" s="157"/>
      <c r="C205" s="177"/>
      <c r="D205" s="157"/>
      <c r="E205" s="157"/>
      <c r="F205" s="178">
        <v>2476</v>
      </c>
      <c r="G205" s="177">
        <v>2838</v>
      </c>
      <c r="H205" s="157">
        <v>2692</v>
      </c>
      <c r="I205" s="157">
        <v>2841</v>
      </c>
      <c r="J205" s="178">
        <v>2842</v>
      </c>
      <c r="K205" s="177">
        <v>2782</v>
      </c>
      <c r="L205" s="157">
        <v>1846</v>
      </c>
      <c r="M205" s="157">
        <v>2026</v>
      </c>
      <c r="N205" s="178">
        <v>2208</v>
      </c>
      <c r="O205" s="177">
        <v>2476</v>
      </c>
      <c r="P205" s="157">
        <v>2787</v>
      </c>
      <c r="Q205" s="157"/>
      <c r="R205" s="178"/>
      <c r="S205" s="177"/>
      <c r="T205" s="157"/>
      <c r="U205" s="157"/>
      <c r="V205" s="178"/>
      <c r="W205" s="157"/>
      <c r="X205" s="157"/>
    </row>
    <row r="206" spans="1:32" x14ac:dyDescent="0.3">
      <c r="A206" s="207" t="s">
        <v>70</v>
      </c>
      <c r="B206" s="157"/>
      <c r="C206" s="177"/>
      <c r="D206" s="157"/>
      <c r="E206" s="157"/>
      <c r="F206" s="178">
        <v>1717</v>
      </c>
      <c r="G206" s="177">
        <v>1978</v>
      </c>
      <c r="H206" s="157">
        <v>1773</v>
      </c>
      <c r="I206" s="157">
        <v>1544</v>
      </c>
      <c r="J206" s="178">
        <v>1400</v>
      </c>
      <c r="K206" s="177">
        <v>1439</v>
      </c>
      <c r="L206" s="157">
        <v>1038</v>
      </c>
      <c r="M206" s="157">
        <v>1228</v>
      </c>
      <c r="N206" s="178">
        <v>1386</v>
      </c>
      <c r="O206" s="177">
        <v>1585</v>
      </c>
      <c r="P206" s="157">
        <v>1905</v>
      </c>
      <c r="Q206" s="157"/>
      <c r="R206" s="178"/>
      <c r="S206" s="177"/>
      <c r="T206" s="157"/>
      <c r="U206" s="157"/>
      <c r="V206" s="178"/>
      <c r="W206" s="157"/>
      <c r="X206" s="157"/>
    </row>
    <row r="207" spans="1:32" x14ac:dyDescent="0.3">
      <c r="A207" s="207" t="s">
        <v>71</v>
      </c>
      <c r="B207" s="157"/>
      <c r="C207" s="177"/>
      <c r="D207" s="157"/>
      <c r="E207" s="157"/>
      <c r="F207" s="178">
        <v>67625</v>
      </c>
      <c r="G207" s="177">
        <v>74898</v>
      </c>
      <c r="H207" s="157">
        <v>82072</v>
      </c>
      <c r="I207" s="157">
        <v>81103</v>
      </c>
      <c r="J207" s="178">
        <v>83450</v>
      </c>
      <c r="K207" s="177">
        <v>80641</v>
      </c>
      <c r="L207" s="157">
        <v>69526</v>
      </c>
      <c r="M207" s="157">
        <v>82608</v>
      </c>
      <c r="N207" s="178">
        <v>82323</v>
      </c>
      <c r="O207" s="177">
        <v>85982</v>
      </c>
      <c r="P207" s="157">
        <v>87314</v>
      </c>
      <c r="Q207" s="157"/>
      <c r="R207" s="178"/>
      <c r="S207" s="177"/>
      <c r="T207" s="157"/>
      <c r="U207" s="157"/>
      <c r="V207" s="178"/>
      <c r="W207" s="157"/>
      <c r="X207" s="157"/>
    </row>
    <row r="208" spans="1:32" x14ac:dyDescent="0.3">
      <c r="A208" s="141" t="s">
        <v>79</v>
      </c>
      <c r="B208" s="158">
        <f t="shared" ref="B208:X208" si="125">IF(ISBLANK(B$8),"",SUM(B205:B207))</f>
        <v>0</v>
      </c>
      <c r="C208" s="179">
        <f t="shared" si="125"/>
        <v>0</v>
      </c>
      <c r="D208" s="158">
        <f t="shared" si="125"/>
        <v>0</v>
      </c>
      <c r="E208" s="158">
        <f t="shared" si="125"/>
        <v>0</v>
      </c>
      <c r="F208" s="180">
        <f t="shared" si="125"/>
        <v>71818</v>
      </c>
      <c r="G208" s="179">
        <f t="shared" si="125"/>
        <v>79714</v>
      </c>
      <c r="H208" s="158">
        <f t="shared" si="125"/>
        <v>86537</v>
      </c>
      <c r="I208" s="158">
        <f t="shared" si="125"/>
        <v>85488</v>
      </c>
      <c r="J208" s="180">
        <f t="shared" si="125"/>
        <v>87692</v>
      </c>
      <c r="K208" s="179">
        <f t="shared" si="125"/>
        <v>84862</v>
      </c>
      <c r="L208" s="158">
        <f t="shared" si="125"/>
        <v>72410</v>
      </c>
      <c r="M208" s="158">
        <f t="shared" si="125"/>
        <v>85862</v>
      </c>
      <c r="N208" s="180">
        <f t="shared" si="125"/>
        <v>85917</v>
      </c>
      <c r="O208" s="179">
        <f t="shared" si="125"/>
        <v>90043</v>
      </c>
      <c r="P208" s="158">
        <f t="shared" si="125"/>
        <v>92006</v>
      </c>
      <c r="Q208" s="158">
        <f t="shared" si="125"/>
        <v>0</v>
      </c>
      <c r="R208" s="180" t="str">
        <f t="shared" si="125"/>
        <v/>
      </c>
      <c r="S208" s="179">
        <f t="shared" si="125"/>
        <v>0</v>
      </c>
      <c r="T208" s="158" t="str">
        <f t="shared" si="125"/>
        <v/>
      </c>
      <c r="U208" s="158" t="str">
        <f t="shared" si="125"/>
        <v/>
      </c>
      <c r="V208" s="180" t="str">
        <f t="shared" si="125"/>
        <v/>
      </c>
      <c r="W208" s="158" t="str">
        <f t="shared" si="125"/>
        <v/>
      </c>
      <c r="X208" s="158" t="str">
        <f t="shared" si="125"/>
        <v/>
      </c>
    </row>
    <row r="209" spans="1:26" x14ac:dyDescent="0.3">
      <c r="C209" s="82"/>
      <c r="F209" s="97"/>
      <c r="G209" s="82"/>
      <c r="J209" s="97"/>
      <c r="K209" s="82"/>
      <c r="N209" s="97"/>
      <c r="O209" s="82"/>
      <c r="R209" s="97"/>
      <c r="S209" s="82"/>
      <c r="V209" s="97"/>
    </row>
    <row r="210" spans="1:26" x14ac:dyDescent="0.3">
      <c r="C210" s="82"/>
      <c r="F210" s="97"/>
      <c r="G210" s="82"/>
      <c r="J210" s="97"/>
      <c r="K210" s="82"/>
      <c r="N210" s="97"/>
      <c r="O210" s="82"/>
      <c r="R210" s="97"/>
      <c r="S210" s="82"/>
      <c r="V210" s="97"/>
    </row>
    <row r="211" spans="1:26" x14ac:dyDescent="0.3">
      <c r="C211" s="82"/>
      <c r="F211" s="97"/>
      <c r="G211" s="82"/>
      <c r="J211" s="97"/>
      <c r="K211" s="82"/>
      <c r="N211" s="97"/>
      <c r="O211" s="82"/>
      <c r="R211" s="97"/>
      <c r="S211" s="82"/>
      <c r="V211" s="97"/>
    </row>
    <row r="212" spans="1:26" x14ac:dyDescent="0.3">
      <c r="A212" s="143" t="s">
        <v>80</v>
      </c>
      <c r="B212" s="144"/>
      <c r="C212" s="146"/>
      <c r="D212" s="144"/>
      <c r="E212" s="144"/>
      <c r="F212" s="147"/>
      <c r="G212" s="146"/>
      <c r="H212" s="144"/>
      <c r="I212" s="144"/>
      <c r="J212" s="147"/>
      <c r="K212" s="146"/>
      <c r="L212" s="144"/>
      <c r="M212" s="144"/>
      <c r="N212" s="147"/>
      <c r="O212" s="146"/>
      <c r="P212" s="144"/>
      <c r="Q212" s="144"/>
      <c r="R212" s="147"/>
      <c r="S212" s="146"/>
      <c r="T212" s="144"/>
      <c r="U212" s="144"/>
      <c r="V212" s="147"/>
      <c r="W212" s="144"/>
      <c r="X212" s="144"/>
    </row>
    <row r="213" spans="1:26" x14ac:dyDescent="0.3">
      <c r="A213" s="145" t="s">
        <v>81</v>
      </c>
      <c r="B213" s="139"/>
      <c r="C213" s="148"/>
      <c r="D213" s="139"/>
      <c r="E213" s="139"/>
      <c r="F213" s="149"/>
      <c r="G213" s="148"/>
      <c r="H213" s="139"/>
      <c r="I213" s="139"/>
      <c r="J213" s="149"/>
      <c r="K213" s="148"/>
      <c r="L213" s="139"/>
      <c r="M213" s="139"/>
      <c r="N213" s="149"/>
      <c r="O213" s="148"/>
      <c r="P213" s="139"/>
      <c r="Q213" s="139"/>
      <c r="R213" s="149"/>
      <c r="S213" s="148"/>
      <c r="T213" s="139"/>
      <c r="U213" s="139"/>
      <c r="V213" s="149"/>
      <c r="W213" s="139"/>
      <c r="X213" s="139"/>
      <c r="Z213" s="2" t="s">
        <v>1953</v>
      </c>
    </row>
    <row r="214" spans="1:26" ht="15" customHeight="1" x14ac:dyDescent="0.3">
      <c r="A214" s="207" t="s">
        <v>82</v>
      </c>
      <c r="B214" s="157">
        <v>1162550</v>
      </c>
      <c r="C214" s="177">
        <v>1209122</v>
      </c>
      <c r="D214" s="157">
        <v>1230933</v>
      </c>
      <c r="E214" s="157">
        <v>1260741</v>
      </c>
      <c r="F214" s="178">
        <v>1271744</v>
      </c>
      <c r="G214" s="177">
        <v>1168318</v>
      </c>
      <c r="H214" s="157">
        <v>1199278</v>
      </c>
      <c r="I214" s="157">
        <v>1218908</v>
      </c>
      <c r="J214" s="178">
        <v>1245739</v>
      </c>
      <c r="K214" s="177">
        <v>1255632</v>
      </c>
      <c r="L214" s="157"/>
      <c r="M214" s="157"/>
      <c r="N214" s="178"/>
      <c r="O214" s="177"/>
      <c r="P214" s="157">
        <v>1430663</v>
      </c>
      <c r="Q214" s="157"/>
      <c r="R214" s="178"/>
      <c r="S214" s="177"/>
      <c r="T214" s="157"/>
      <c r="U214" s="157"/>
      <c r="V214" s="178"/>
      <c r="W214" s="157"/>
      <c r="X214" s="157"/>
    </row>
    <row r="215" spans="1:26" x14ac:dyDescent="0.3">
      <c r="B215" s="81"/>
      <c r="C215" s="106"/>
      <c r="D215" s="81"/>
      <c r="E215" s="81"/>
      <c r="F215" s="107"/>
      <c r="G215" s="106"/>
      <c r="H215" s="81"/>
      <c r="I215" s="81"/>
      <c r="J215" s="107"/>
      <c r="K215" s="106"/>
      <c r="L215" s="81"/>
      <c r="M215" s="81"/>
      <c r="N215" s="107"/>
      <c r="O215" s="106"/>
      <c r="P215" s="81"/>
      <c r="Q215" s="81"/>
      <c r="R215" s="107"/>
      <c r="S215" s="106"/>
      <c r="T215" s="81"/>
      <c r="U215" s="81"/>
      <c r="V215" s="107"/>
      <c r="W215" s="81"/>
      <c r="X215" s="81"/>
    </row>
    <row r="216" spans="1:26" x14ac:dyDescent="0.3">
      <c r="A216" s="145" t="s">
        <v>83</v>
      </c>
      <c r="B216" s="139"/>
      <c r="C216" s="148"/>
      <c r="D216" s="139"/>
      <c r="E216" s="139"/>
      <c r="F216" s="149"/>
      <c r="G216" s="148"/>
      <c r="H216" s="139"/>
      <c r="I216" s="139"/>
      <c r="J216" s="149"/>
      <c r="K216" s="148"/>
      <c r="L216" s="139"/>
      <c r="M216" s="139"/>
      <c r="N216" s="149"/>
      <c r="O216" s="148"/>
      <c r="P216" s="139"/>
      <c r="Q216" s="139"/>
      <c r="R216" s="149"/>
      <c r="S216" s="148"/>
      <c r="T216" s="139"/>
      <c r="U216" s="139"/>
      <c r="V216" s="149"/>
      <c r="W216" s="139"/>
      <c r="X216" s="139"/>
      <c r="Z216" s="2"/>
    </row>
    <row r="217" spans="1:26" x14ac:dyDescent="0.3">
      <c r="A217" s="207" t="s">
        <v>86</v>
      </c>
      <c r="B217" s="213">
        <v>0.59599999999999997</v>
      </c>
      <c r="C217" s="214">
        <v>0.58899999999999997</v>
      </c>
      <c r="D217" s="213">
        <v>0.59499999999999997</v>
      </c>
      <c r="E217" s="213">
        <v>0.58199999999999996</v>
      </c>
      <c r="F217" s="215">
        <v>0.57299999999999995</v>
      </c>
      <c r="G217" s="214">
        <v>0.57099999999999995</v>
      </c>
      <c r="H217" s="213">
        <v>0.56999999999999995</v>
      </c>
      <c r="I217" s="213">
        <v>0.56200000000000006</v>
      </c>
      <c r="J217" s="215">
        <v>0.57199999999999995</v>
      </c>
      <c r="K217" s="214">
        <v>0.55400000000000005</v>
      </c>
      <c r="L217" s="213"/>
      <c r="M217" s="213"/>
      <c r="N217" s="215"/>
      <c r="O217" s="214"/>
      <c r="P217" s="213"/>
      <c r="Q217" s="213"/>
      <c r="R217" s="215"/>
      <c r="S217" s="214"/>
      <c r="T217" s="213"/>
      <c r="U217" s="213"/>
      <c r="V217" s="215"/>
      <c r="W217" s="213"/>
      <c r="X217" s="213"/>
      <c r="Y217" s="200"/>
    </row>
    <row r="218" spans="1:26" x14ac:dyDescent="0.3">
      <c r="A218" s="207" t="s">
        <v>85</v>
      </c>
      <c r="B218" s="213">
        <v>0.26500000000000001</v>
      </c>
      <c r="C218" s="214">
        <v>0.27600000000000002</v>
      </c>
      <c r="D218" s="213">
        <v>0.26300000000000001</v>
      </c>
      <c r="E218" s="213">
        <v>0.27800000000000002</v>
      </c>
      <c r="F218" s="215">
        <v>0.28199999999999997</v>
      </c>
      <c r="G218" s="214">
        <v>0.28299999999999997</v>
      </c>
      <c r="H218" s="213">
        <v>0.28199999999999997</v>
      </c>
      <c r="I218" s="213">
        <v>0.28338011596475166</v>
      </c>
      <c r="J218" s="215">
        <v>0.28299999999999997</v>
      </c>
      <c r="K218" s="214">
        <v>0.28399999999999997</v>
      </c>
      <c r="L218" s="213"/>
      <c r="M218" s="213"/>
      <c r="N218" s="215"/>
      <c r="O218" s="214"/>
      <c r="P218" s="213"/>
      <c r="Q218" s="213"/>
      <c r="R218" s="215"/>
      <c r="S218" s="214"/>
      <c r="T218" s="213"/>
      <c r="U218" s="213"/>
      <c r="V218" s="215"/>
      <c r="W218" s="213"/>
      <c r="X218" s="213"/>
      <c r="Y218" s="200"/>
    </row>
    <row r="219" spans="1:26" x14ac:dyDescent="0.3">
      <c r="A219" s="207" t="s">
        <v>84</v>
      </c>
      <c r="B219" s="213">
        <v>6.5000000000000002E-2</v>
      </c>
      <c r="C219" s="214">
        <v>6.3E-2</v>
      </c>
      <c r="D219" s="213">
        <v>6.9000000000000006E-2</v>
      </c>
      <c r="E219" s="213">
        <v>6.7000000000000004E-2</v>
      </c>
      <c r="F219" s="215">
        <v>6.6000000000000003E-2</v>
      </c>
      <c r="G219" s="214">
        <v>6.7000000000000004E-2</v>
      </c>
      <c r="H219" s="213">
        <v>6.6000000000000003E-2</v>
      </c>
      <c r="I219" s="213">
        <v>6.6467950198503309E-2</v>
      </c>
      <c r="J219" s="215">
        <v>5.6000000000000001E-2</v>
      </c>
      <c r="K219" s="214">
        <v>6.6000000000000003E-2</v>
      </c>
      <c r="L219" s="213"/>
      <c r="M219" s="213"/>
      <c r="N219" s="215"/>
      <c r="O219" s="214"/>
      <c r="P219" s="213"/>
      <c r="Q219" s="213"/>
      <c r="R219" s="215"/>
      <c r="S219" s="214"/>
      <c r="T219" s="213"/>
      <c r="U219" s="213"/>
      <c r="V219" s="215"/>
      <c r="W219" s="213"/>
      <c r="X219" s="213"/>
      <c r="Y219" s="200"/>
    </row>
    <row r="220" spans="1:26" x14ac:dyDescent="0.3">
      <c r="A220" s="207" t="s">
        <v>70</v>
      </c>
      <c r="B220" s="213">
        <v>1.2999999999999999E-2</v>
      </c>
      <c r="C220" s="214">
        <v>1.4E-2</v>
      </c>
      <c r="D220" s="213">
        <v>1.6E-2</v>
      </c>
      <c r="E220" s="213">
        <v>1.4E-2</v>
      </c>
      <c r="F220" s="215">
        <v>1.7000000000000001E-2</v>
      </c>
      <c r="G220" s="214">
        <v>1.7999999999999999E-2</v>
      </c>
      <c r="H220" s="213">
        <v>1.7000000000000001E-2</v>
      </c>
      <c r="I220" s="213">
        <v>1.7000000000000001E-2</v>
      </c>
      <c r="J220" s="215">
        <v>1.7999999999999999E-2</v>
      </c>
      <c r="K220" s="214">
        <v>1.4999999999999999E-2</v>
      </c>
      <c r="L220" s="213"/>
      <c r="M220" s="213"/>
      <c r="N220" s="215"/>
      <c r="O220" s="214"/>
      <c r="P220" s="213"/>
      <c r="Q220" s="213"/>
      <c r="R220" s="215"/>
      <c r="S220" s="214"/>
      <c r="T220" s="213"/>
      <c r="U220" s="213"/>
      <c r="V220" s="215"/>
      <c r="W220" s="213"/>
      <c r="X220" s="213"/>
      <c r="Y220" s="200"/>
    </row>
    <row r="221" spans="1:26" x14ac:dyDescent="0.3">
      <c r="A221" s="207" t="s">
        <v>58</v>
      </c>
      <c r="B221" s="237"/>
      <c r="C221" s="238"/>
      <c r="D221" s="237"/>
      <c r="E221" s="237"/>
      <c r="F221" s="239"/>
      <c r="G221" s="238"/>
      <c r="H221" s="237"/>
      <c r="I221" s="237"/>
      <c r="J221" s="239"/>
      <c r="K221" s="238"/>
      <c r="L221" s="237"/>
      <c r="M221" s="237"/>
      <c r="N221" s="239"/>
      <c r="O221" s="238"/>
      <c r="P221" s="213"/>
      <c r="Q221" s="237"/>
      <c r="R221" s="239"/>
      <c r="S221" s="238"/>
      <c r="T221" s="237"/>
      <c r="U221" s="237"/>
      <c r="V221" s="239"/>
      <c r="W221" s="237"/>
      <c r="X221" s="237"/>
      <c r="Y221" s="200"/>
    </row>
    <row r="222" spans="1:26" x14ac:dyDescent="0.3">
      <c r="A222" s="207" t="s">
        <v>88</v>
      </c>
      <c r="B222" s="213">
        <v>4.7E-2</v>
      </c>
      <c r="C222" s="214">
        <v>4.2999999999999997E-2</v>
      </c>
      <c r="D222" s="213">
        <v>4.2999999999999997E-2</v>
      </c>
      <c r="E222" s="213">
        <v>4.3999999999999997E-2</v>
      </c>
      <c r="F222" s="215">
        <v>4.3999999999999997E-2</v>
      </c>
      <c r="G222" s="214">
        <v>4.4999999999999998E-2</v>
      </c>
      <c r="H222" s="213">
        <v>4.7E-2</v>
      </c>
      <c r="I222" s="213">
        <v>5.0386812489044135E-2</v>
      </c>
      <c r="J222" s="215">
        <v>5.1999999999999998E-2</v>
      </c>
      <c r="K222" s="214">
        <v>6.2E-2</v>
      </c>
      <c r="L222" s="213"/>
      <c r="M222" s="213"/>
      <c r="N222" s="215"/>
      <c r="O222" s="214"/>
      <c r="P222" s="213"/>
      <c r="Q222" s="213"/>
      <c r="R222" s="215"/>
      <c r="S222" s="214"/>
      <c r="T222" s="213"/>
      <c r="U222" s="213"/>
      <c r="V222" s="215"/>
      <c r="W222" s="213"/>
      <c r="X222" s="213"/>
      <c r="Y222" s="200"/>
    </row>
    <row r="223" spans="1:26" x14ac:dyDescent="0.3">
      <c r="B223" s="1"/>
      <c r="C223" s="108"/>
      <c r="D223" s="1"/>
      <c r="E223" s="1"/>
      <c r="F223" s="109"/>
      <c r="G223" s="108"/>
      <c r="H223" s="1"/>
      <c r="I223" s="1"/>
      <c r="J223" s="109"/>
      <c r="K223" s="108"/>
      <c r="L223" s="1"/>
      <c r="M223" s="1"/>
      <c r="N223" s="109"/>
      <c r="O223" s="108"/>
      <c r="P223" s="1"/>
      <c r="Q223" s="1"/>
      <c r="R223" s="109"/>
      <c r="S223" s="108"/>
      <c r="T223" s="1"/>
      <c r="U223" s="1"/>
      <c r="V223" s="109"/>
      <c r="W223" s="1"/>
      <c r="X223" s="1"/>
    </row>
    <row r="224" spans="1:26" ht="15" customHeight="1" x14ac:dyDescent="0.3">
      <c r="A224" s="142" t="s">
        <v>89</v>
      </c>
      <c r="B224" s="201">
        <f t="shared" ref="B224:K224" si="126">SUM(B219+B220+B218+B222)</f>
        <v>0.39</v>
      </c>
      <c r="C224" s="202">
        <f t="shared" si="126"/>
        <v>0.39600000000000002</v>
      </c>
      <c r="D224" s="201">
        <f t="shared" si="126"/>
        <v>0.39100000000000001</v>
      </c>
      <c r="E224" s="201">
        <f t="shared" si="126"/>
        <v>0.40300000000000002</v>
      </c>
      <c r="F224" s="203">
        <f t="shared" si="126"/>
        <v>0.40899999999999997</v>
      </c>
      <c r="G224" s="202">
        <f t="shared" si="126"/>
        <v>0.41299999999999998</v>
      </c>
      <c r="H224" s="201">
        <f t="shared" si="126"/>
        <v>0.41199999999999998</v>
      </c>
      <c r="I224" s="201">
        <f t="shared" si="126"/>
        <v>0.41723487865229908</v>
      </c>
      <c r="J224" s="203">
        <f t="shared" si="126"/>
        <v>0.40899999999999997</v>
      </c>
      <c r="K224" s="202">
        <f t="shared" si="126"/>
        <v>0.42699999999999999</v>
      </c>
      <c r="L224" s="201"/>
      <c r="M224" s="201"/>
      <c r="N224" s="203"/>
      <c r="O224" s="202"/>
      <c r="P224" s="150">
        <f>SUM(P218:P220)</f>
        <v>0</v>
      </c>
      <c r="Q224" s="201"/>
      <c r="R224" s="203"/>
      <c r="S224" s="202"/>
      <c r="T224" s="201"/>
      <c r="U224" s="201"/>
      <c r="V224" s="203"/>
      <c r="W224" s="201"/>
      <c r="X224" s="201"/>
      <c r="Y224" s="200"/>
    </row>
    <row r="225" spans="1:26" x14ac:dyDescent="0.3">
      <c r="C225" s="82"/>
      <c r="F225" s="97"/>
      <c r="G225" s="82"/>
      <c r="J225" s="97"/>
      <c r="K225" s="82"/>
      <c r="N225" s="97"/>
      <c r="O225" s="82"/>
      <c r="R225" s="97"/>
      <c r="S225" s="82"/>
      <c r="V225" s="97"/>
    </row>
    <row r="226" spans="1:26" x14ac:dyDescent="0.3">
      <c r="C226" s="82"/>
      <c r="F226" s="97"/>
      <c r="G226" s="82"/>
      <c r="J226" s="97"/>
      <c r="K226" s="82"/>
      <c r="N226" s="97"/>
      <c r="O226" s="82"/>
      <c r="R226" s="97"/>
      <c r="S226" s="82"/>
      <c r="V226" s="97"/>
    </row>
    <row r="227" spans="1:26" x14ac:dyDescent="0.3">
      <c r="A227" s="145" t="s">
        <v>90</v>
      </c>
      <c r="B227" s="139"/>
      <c r="C227" s="148"/>
      <c r="D227" s="139"/>
      <c r="E227" s="139"/>
      <c r="F227" s="149"/>
      <c r="G227" s="148"/>
      <c r="H227" s="139"/>
      <c r="I227" s="139"/>
      <c r="J227" s="149"/>
      <c r="K227" s="148"/>
      <c r="L227" s="139"/>
      <c r="M227" s="139"/>
      <c r="N227" s="149"/>
      <c r="O227" s="148"/>
      <c r="P227" s="139"/>
      <c r="Q227" s="139"/>
      <c r="R227" s="149"/>
      <c r="S227" s="148"/>
      <c r="T227" s="139"/>
      <c r="U227" s="139"/>
      <c r="V227" s="149"/>
      <c r="W227" s="139"/>
      <c r="X227" s="139"/>
      <c r="Z227" s="2"/>
    </row>
    <row r="228" spans="1:26" x14ac:dyDescent="0.3">
      <c r="A228" s="207" t="s">
        <v>86</v>
      </c>
      <c r="B228" s="157">
        <f t="shared" ref="B228:O228" si="127">B217*B$214</f>
        <v>692879.79999999993</v>
      </c>
      <c r="C228" s="177">
        <f t="shared" si="127"/>
        <v>712172.85800000001</v>
      </c>
      <c r="D228" s="157">
        <f t="shared" si="127"/>
        <v>732405.13500000001</v>
      </c>
      <c r="E228" s="157">
        <f t="shared" si="127"/>
        <v>733751.26199999999</v>
      </c>
      <c r="F228" s="178">
        <f t="shared" si="127"/>
        <v>728709.31199999992</v>
      </c>
      <c r="G228" s="177">
        <f t="shared" si="127"/>
        <v>667109.57799999998</v>
      </c>
      <c r="H228" s="157">
        <f t="shared" si="127"/>
        <v>683588.46</v>
      </c>
      <c r="I228" s="157">
        <f t="shared" si="127"/>
        <v>685026.29600000009</v>
      </c>
      <c r="J228" s="178">
        <f t="shared" si="127"/>
        <v>712562.70799999998</v>
      </c>
      <c r="K228" s="177">
        <f t="shared" si="127"/>
        <v>695620.12800000003</v>
      </c>
      <c r="L228" s="157">
        <f t="shared" si="127"/>
        <v>0</v>
      </c>
      <c r="M228" s="157">
        <f t="shared" si="127"/>
        <v>0</v>
      </c>
      <c r="N228" s="178">
        <f t="shared" si="127"/>
        <v>0</v>
      </c>
      <c r="O228" s="177">
        <f t="shared" si="127"/>
        <v>0</v>
      </c>
      <c r="P228" s="157">
        <v>729169</v>
      </c>
      <c r="Q228" s="157">
        <f t="shared" ref="Q228:X231" si="128">Q217*Q$214</f>
        <v>0</v>
      </c>
      <c r="R228" s="178">
        <f t="shared" si="128"/>
        <v>0</v>
      </c>
      <c r="S228" s="177">
        <f t="shared" si="128"/>
        <v>0</v>
      </c>
      <c r="T228" s="157">
        <f t="shared" si="128"/>
        <v>0</v>
      </c>
      <c r="U228" s="157">
        <f t="shared" si="128"/>
        <v>0</v>
      </c>
      <c r="V228" s="178">
        <f t="shared" si="128"/>
        <v>0</v>
      </c>
      <c r="W228" s="157">
        <f t="shared" si="128"/>
        <v>0</v>
      </c>
      <c r="X228" s="157">
        <f t="shared" si="128"/>
        <v>0</v>
      </c>
      <c r="Y228" s="200"/>
    </row>
    <row r="229" spans="1:26" x14ac:dyDescent="0.3">
      <c r="A229" s="207" t="s">
        <v>85</v>
      </c>
      <c r="B229" s="157">
        <f t="shared" ref="B229:O229" si="129">B218*B$214</f>
        <v>308075.75</v>
      </c>
      <c r="C229" s="177">
        <f t="shared" si="129"/>
        <v>333717.67200000002</v>
      </c>
      <c r="D229" s="157">
        <f t="shared" si="129"/>
        <v>323735.37900000002</v>
      </c>
      <c r="E229" s="157">
        <f t="shared" si="129"/>
        <v>350485.99800000002</v>
      </c>
      <c r="F229" s="178">
        <f t="shared" si="129"/>
        <v>358631.80799999996</v>
      </c>
      <c r="G229" s="177">
        <f t="shared" si="129"/>
        <v>330633.99399999995</v>
      </c>
      <c r="H229" s="157">
        <f t="shared" si="129"/>
        <v>338196.39599999995</v>
      </c>
      <c r="I229" s="157">
        <f t="shared" si="129"/>
        <v>345414.29039036349</v>
      </c>
      <c r="J229" s="178">
        <f t="shared" si="129"/>
        <v>352544.13699999999</v>
      </c>
      <c r="K229" s="177">
        <f t="shared" si="129"/>
        <v>356599.48799999995</v>
      </c>
      <c r="L229" s="157">
        <f t="shared" si="129"/>
        <v>0</v>
      </c>
      <c r="M229" s="157">
        <f t="shared" si="129"/>
        <v>0</v>
      </c>
      <c r="N229" s="178">
        <f t="shared" si="129"/>
        <v>0</v>
      </c>
      <c r="O229" s="177">
        <f t="shared" si="129"/>
        <v>0</v>
      </c>
      <c r="P229" s="157">
        <v>293874</v>
      </c>
      <c r="Q229" s="157">
        <f t="shared" si="128"/>
        <v>0</v>
      </c>
      <c r="R229" s="178">
        <f t="shared" si="128"/>
        <v>0</v>
      </c>
      <c r="S229" s="177">
        <f t="shared" si="128"/>
        <v>0</v>
      </c>
      <c r="T229" s="157">
        <f t="shared" si="128"/>
        <v>0</v>
      </c>
      <c r="U229" s="157">
        <f t="shared" si="128"/>
        <v>0</v>
      </c>
      <c r="V229" s="178">
        <f t="shared" si="128"/>
        <v>0</v>
      </c>
      <c r="W229" s="157">
        <f t="shared" si="128"/>
        <v>0</v>
      </c>
      <c r="X229" s="157">
        <f t="shared" si="128"/>
        <v>0</v>
      </c>
      <c r="Y229" s="200"/>
    </row>
    <row r="230" spans="1:26" x14ac:dyDescent="0.3">
      <c r="A230" s="207" t="s">
        <v>84</v>
      </c>
      <c r="B230" s="157">
        <f t="shared" ref="B230:O230" si="130">B219*B$214</f>
        <v>75565.75</v>
      </c>
      <c r="C230" s="177">
        <f t="shared" si="130"/>
        <v>76174.686000000002</v>
      </c>
      <c r="D230" s="157">
        <f t="shared" si="130"/>
        <v>84934.377000000008</v>
      </c>
      <c r="E230" s="157">
        <f t="shared" si="130"/>
        <v>84469.647000000012</v>
      </c>
      <c r="F230" s="178">
        <f t="shared" si="130"/>
        <v>83935.104000000007</v>
      </c>
      <c r="G230" s="177">
        <f t="shared" si="130"/>
        <v>78277.306000000011</v>
      </c>
      <c r="H230" s="157">
        <f t="shared" si="130"/>
        <v>79152.347999999998</v>
      </c>
      <c r="I230" s="157">
        <f t="shared" si="130"/>
        <v>81018.316240557266</v>
      </c>
      <c r="J230" s="178">
        <f t="shared" si="130"/>
        <v>69761.384000000005</v>
      </c>
      <c r="K230" s="177">
        <f t="shared" si="130"/>
        <v>82871.712</v>
      </c>
      <c r="L230" s="157">
        <f t="shared" si="130"/>
        <v>0</v>
      </c>
      <c r="M230" s="157">
        <f t="shared" si="130"/>
        <v>0</v>
      </c>
      <c r="N230" s="178">
        <f t="shared" si="130"/>
        <v>0</v>
      </c>
      <c r="O230" s="177">
        <f t="shared" si="130"/>
        <v>0</v>
      </c>
      <c r="P230" s="157">
        <v>102022</v>
      </c>
      <c r="Q230" s="157">
        <f t="shared" si="128"/>
        <v>0</v>
      </c>
      <c r="R230" s="178">
        <f t="shared" si="128"/>
        <v>0</v>
      </c>
      <c r="S230" s="177">
        <f t="shared" si="128"/>
        <v>0</v>
      </c>
      <c r="T230" s="157">
        <f t="shared" si="128"/>
        <v>0</v>
      </c>
      <c r="U230" s="157">
        <f t="shared" si="128"/>
        <v>0</v>
      </c>
      <c r="V230" s="178">
        <f t="shared" si="128"/>
        <v>0</v>
      </c>
      <c r="W230" s="157">
        <f t="shared" si="128"/>
        <v>0</v>
      </c>
      <c r="X230" s="157">
        <f t="shared" si="128"/>
        <v>0</v>
      </c>
      <c r="Y230" s="200"/>
    </row>
    <row r="231" spans="1:26" x14ac:dyDescent="0.3">
      <c r="A231" s="207" t="s">
        <v>70</v>
      </c>
      <c r="B231" s="157">
        <f t="shared" ref="B231:O231" si="131">B220*B$214</f>
        <v>15113.15</v>
      </c>
      <c r="C231" s="177">
        <f t="shared" si="131"/>
        <v>16927.707999999999</v>
      </c>
      <c r="D231" s="157">
        <f t="shared" si="131"/>
        <v>19694.928</v>
      </c>
      <c r="E231" s="157">
        <f t="shared" si="131"/>
        <v>17650.374</v>
      </c>
      <c r="F231" s="178">
        <f t="shared" si="131"/>
        <v>21619.648000000001</v>
      </c>
      <c r="G231" s="177">
        <f t="shared" si="131"/>
        <v>21029.723999999998</v>
      </c>
      <c r="H231" s="157">
        <f t="shared" si="131"/>
        <v>20387.726000000002</v>
      </c>
      <c r="I231" s="157">
        <f t="shared" si="131"/>
        <v>20721.436000000002</v>
      </c>
      <c r="J231" s="178">
        <f t="shared" si="131"/>
        <v>22423.302</v>
      </c>
      <c r="K231" s="177">
        <f t="shared" si="131"/>
        <v>18834.48</v>
      </c>
      <c r="L231" s="157">
        <f t="shared" si="131"/>
        <v>0</v>
      </c>
      <c r="M231" s="157">
        <f t="shared" si="131"/>
        <v>0</v>
      </c>
      <c r="N231" s="178">
        <f t="shared" si="131"/>
        <v>0</v>
      </c>
      <c r="O231" s="177">
        <f t="shared" si="131"/>
        <v>0</v>
      </c>
      <c r="P231" s="157">
        <v>25352</v>
      </c>
      <c r="Q231" s="157">
        <f t="shared" si="128"/>
        <v>0</v>
      </c>
      <c r="R231" s="178">
        <f t="shared" si="128"/>
        <v>0</v>
      </c>
      <c r="S231" s="177">
        <f t="shared" si="128"/>
        <v>0</v>
      </c>
      <c r="T231" s="157">
        <f t="shared" si="128"/>
        <v>0</v>
      </c>
      <c r="U231" s="157">
        <f t="shared" si="128"/>
        <v>0</v>
      </c>
      <c r="V231" s="178">
        <f t="shared" si="128"/>
        <v>0</v>
      </c>
      <c r="W231" s="157">
        <f t="shared" si="128"/>
        <v>0</v>
      </c>
      <c r="X231" s="157">
        <f t="shared" si="128"/>
        <v>0</v>
      </c>
      <c r="Y231" s="200"/>
    </row>
    <row r="232" spans="1:26" x14ac:dyDescent="0.3">
      <c r="A232" s="207" t="s">
        <v>58</v>
      </c>
      <c r="B232" s="157"/>
      <c r="C232" s="177"/>
      <c r="D232" s="157"/>
      <c r="E232" s="157"/>
      <c r="F232" s="178"/>
      <c r="G232" s="177"/>
      <c r="H232" s="157"/>
      <c r="I232" s="157"/>
      <c r="J232" s="178"/>
      <c r="K232" s="177"/>
      <c r="L232" s="157"/>
      <c r="M232" s="157"/>
      <c r="N232" s="178"/>
      <c r="O232" s="177"/>
      <c r="P232" s="157">
        <v>12057</v>
      </c>
      <c r="Q232" s="157"/>
      <c r="R232" s="178"/>
      <c r="S232" s="177"/>
      <c r="T232" s="157"/>
      <c r="U232" s="157"/>
      <c r="V232" s="178"/>
      <c r="W232" s="157"/>
      <c r="X232" s="157"/>
      <c r="Y232" s="200"/>
    </row>
    <row r="233" spans="1:26" x14ac:dyDescent="0.3">
      <c r="A233" s="207" t="s">
        <v>88</v>
      </c>
      <c r="B233" s="157">
        <f t="shared" ref="B233:O233" si="132">B222*B$214</f>
        <v>54639.85</v>
      </c>
      <c r="C233" s="177">
        <f t="shared" si="132"/>
        <v>51992.245999999999</v>
      </c>
      <c r="D233" s="157">
        <f t="shared" si="132"/>
        <v>52930.118999999999</v>
      </c>
      <c r="E233" s="157">
        <f t="shared" si="132"/>
        <v>55472.603999999999</v>
      </c>
      <c r="F233" s="178">
        <f t="shared" si="132"/>
        <v>55956.735999999997</v>
      </c>
      <c r="G233" s="177">
        <f t="shared" si="132"/>
        <v>52574.31</v>
      </c>
      <c r="H233" s="157">
        <f t="shared" si="132"/>
        <v>56366.065999999999</v>
      </c>
      <c r="I233" s="157">
        <f t="shared" si="132"/>
        <v>61416.888837395811</v>
      </c>
      <c r="J233" s="178">
        <f t="shared" si="132"/>
        <v>64778.428</v>
      </c>
      <c r="K233" s="177">
        <f t="shared" si="132"/>
        <v>77849.183999999994</v>
      </c>
      <c r="L233" s="157">
        <f t="shared" si="132"/>
        <v>0</v>
      </c>
      <c r="M233" s="157">
        <f t="shared" si="132"/>
        <v>0</v>
      </c>
      <c r="N233" s="178">
        <f t="shared" si="132"/>
        <v>0</v>
      </c>
      <c r="O233" s="177">
        <f t="shared" si="132"/>
        <v>0</v>
      </c>
      <c r="P233" s="157">
        <v>251656</v>
      </c>
      <c r="Q233" s="157">
        <f t="shared" ref="Q233:X233" si="133">Q222*Q$214</f>
        <v>0</v>
      </c>
      <c r="R233" s="178">
        <f t="shared" si="133"/>
        <v>0</v>
      </c>
      <c r="S233" s="177">
        <f t="shared" si="133"/>
        <v>0</v>
      </c>
      <c r="T233" s="157">
        <f t="shared" si="133"/>
        <v>0</v>
      </c>
      <c r="U233" s="157">
        <f t="shared" si="133"/>
        <v>0</v>
      </c>
      <c r="V233" s="178">
        <f t="shared" si="133"/>
        <v>0</v>
      </c>
      <c r="W233" s="157">
        <f t="shared" si="133"/>
        <v>0</v>
      </c>
      <c r="X233" s="157">
        <f t="shared" si="133"/>
        <v>0</v>
      </c>
      <c r="Y233" s="200"/>
    </row>
    <row r="234" spans="1:26" x14ac:dyDescent="0.3">
      <c r="B234" s="1"/>
      <c r="C234" s="108"/>
      <c r="D234" s="1"/>
      <c r="E234" s="1"/>
      <c r="F234" s="109"/>
      <c r="G234" s="108"/>
      <c r="H234" s="1"/>
      <c r="I234" s="1"/>
      <c r="J234" s="109"/>
      <c r="K234" s="108"/>
      <c r="L234" s="1"/>
      <c r="M234" s="1"/>
      <c r="N234" s="109"/>
      <c r="O234" s="108"/>
      <c r="P234" s="1"/>
      <c r="Q234" s="1"/>
      <c r="R234" s="109"/>
      <c r="S234" s="108"/>
      <c r="T234" s="1"/>
      <c r="U234" s="1"/>
      <c r="V234" s="109"/>
      <c r="W234" s="1"/>
      <c r="X234" s="1"/>
    </row>
    <row r="235" spans="1:26" ht="15" customHeight="1" x14ac:dyDescent="0.3">
      <c r="A235" s="142" t="s">
        <v>89</v>
      </c>
      <c r="B235" s="204">
        <f t="shared" ref="B235:O235" si="134">SUM(B230+B231+B229+B233)</f>
        <v>453394.5</v>
      </c>
      <c r="C235" s="205">
        <f t="shared" si="134"/>
        <v>478812.31199999998</v>
      </c>
      <c r="D235" s="204">
        <f t="shared" si="134"/>
        <v>481294.80300000001</v>
      </c>
      <c r="E235" s="204">
        <f t="shared" si="134"/>
        <v>508078.62300000002</v>
      </c>
      <c r="F235" s="206">
        <f t="shared" si="134"/>
        <v>520143.29599999991</v>
      </c>
      <c r="G235" s="205">
        <f t="shared" si="134"/>
        <v>482515.33399999997</v>
      </c>
      <c r="H235" s="204">
        <f t="shared" si="134"/>
        <v>494102.53599999996</v>
      </c>
      <c r="I235" s="204">
        <f t="shared" si="134"/>
        <v>508570.93146831659</v>
      </c>
      <c r="J235" s="206">
        <f t="shared" si="134"/>
        <v>509507.25099999999</v>
      </c>
      <c r="K235" s="205">
        <f t="shared" si="134"/>
        <v>536154.86399999994</v>
      </c>
      <c r="L235" s="204">
        <f t="shared" si="134"/>
        <v>0</v>
      </c>
      <c r="M235" s="204">
        <f t="shared" si="134"/>
        <v>0</v>
      </c>
      <c r="N235" s="206">
        <f t="shared" si="134"/>
        <v>0</v>
      </c>
      <c r="O235" s="205">
        <f t="shared" si="134"/>
        <v>0</v>
      </c>
      <c r="P235" s="204">
        <f>SUM(P229:P231)</f>
        <v>421248</v>
      </c>
      <c r="Q235" s="204">
        <f t="shared" ref="Q235:X235" si="135">SUM(Q230+Q231+Q229+Q233)</f>
        <v>0</v>
      </c>
      <c r="R235" s="206">
        <f t="shared" si="135"/>
        <v>0</v>
      </c>
      <c r="S235" s="205">
        <f t="shared" si="135"/>
        <v>0</v>
      </c>
      <c r="T235" s="204">
        <f t="shared" si="135"/>
        <v>0</v>
      </c>
      <c r="U235" s="204">
        <f t="shared" si="135"/>
        <v>0</v>
      </c>
      <c r="V235" s="206">
        <f t="shared" si="135"/>
        <v>0</v>
      </c>
      <c r="W235" s="204">
        <f t="shared" si="135"/>
        <v>0</v>
      </c>
      <c r="X235" s="204">
        <f t="shared" si="135"/>
        <v>0</v>
      </c>
      <c r="Y235" s="200"/>
    </row>
    <row r="236" spans="1:26" x14ac:dyDescent="0.3">
      <c r="C236" s="82"/>
      <c r="F236" s="97"/>
      <c r="G236" s="82"/>
      <c r="J236" s="97"/>
      <c r="K236" s="82"/>
      <c r="N236" s="97"/>
      <c r="O236" s="82"/>
      <c r="R236" s="97"/>
      <c r="S236" s="82"/>
      <c r="V236" s="97"/>
    </row>
    <row r="237" spans="1:26" x14ac:dyDescent="0.3">
      <c r="C237" s="82"/>
      <c r="F237" s="97"/>
      <c r="G237" s="82"/>
      <c r="J237" s="97"/>
      <c r="K237" s="82"/>
      <c r="N237" s="97"/>
      <c r="O237" s="82"/>
      <c r="R237" s="97"/>
      <c r="S237" s="82"/>
      <c r="V237" s="97"/>
    </row>
    <row r="238" spans="1:26" x14ac:dyDescent="0.3">
      <c r="C238" s="82"/>
      <c r="F238" s="97"/>
      <c r="G238" s="82"/>
      <c r="J238" s="97"/>
      <c r="K238" s="82"/>
      <c r="N238" s="97"/>
      <c r="O238" s="82"/>
      <c r="R238" s="97"/>
      <c r="S238" s="82"/>
      <c r="V238" s="97"/>
    </row>
    <row r="239" spans="1:26" x14ac:dyDescent="0.3">
      <c r="A239" s="143" t="s">
        <v>91</v>
      </c>
      <c r="B239" s="144"/>
      <c r="C239" s="146"/>
      <c r="D239" s="144"/>
      <c r="E239" s="144"/>
      <c r="F239" s="147"/>
      <c r="G239" s="146"/>
      <c r="H239" s="144"/>
      <c r="I239" s="144"/>
      <c r="J239" s="147"/>
      <c r="K239" s="146"/>
      <c r="L239" s="144"/>
      <c r="M239" s="144"/>
      <c r="N239" s="147"/>
      <c r="O239" s="146"/>
      <c r="P239" s="144"/>
      <c r="Q239" s="144"/>
      <c r="R239" s="147"/>
      <c r="S239" s="146"/>
      <c r="T239" s="144"/>
      <c r="U239" s="144"/>
      <c r="V239" s="147"/>
      <c r="W239" s="144"/>
      <c r="X239" s="144"/>
      <c r="Z239" s="209" t="s">
        <v>92</v>
      </c>
    </row>
    <row r="240" spans="1:26" x14ac:dyDescent="0.3">
      <c r="A240" s="145" t="s">
        <v>93</v>
      </c>
      <c r="B240" s="139"/>
      <c r="C240" s="148"/>
      <c r="D240" s="139"/>
      <c r="E240" s="139"/>
      <c r="F240" s="149"/>
      <c r="G240" s="148"/>
      <c r="H240" s="139"/>
      <c r="I240" s="139"/>
      <c r="J240" s="149"/>
      <c r="K240" s="148"/>
      <c r="L240" s="139"/>
      <c r="M240" s="139"/>
      <c r="N240" s="149"/>
      <c r="O240" s="148"/>
      <c r="P240" s="139"/>
      <c r="Q240" s="139"/>
      <c r="R240" s="149"/>
      <c r="S240" s="148"/>
      <c r="T240" s="139"/>
      <c r="U240" s="139"/>
      <c r="V240" s="149"/>
      <c r="W240" s="139"/>
      <c r="X240" s="139"/>
      <c r="Z240" s="198" t="s">
        <v>94</v>
      </c>
    </row>
    <row r="241" spans="1:26" ht="15" customHeight="1" x14ac:dyDescent="0.3">
      <c r="A241" s="207" t="s">
        <v>95</v>
      </c>
      <c r="B241" s="157"/>
      <c r="C241" s="177"/>
      <c r="D241" s="157"/>
      <c r="E241" s="157"/>
      <c r="F241" s="185">
        <v>64.12</v>
      </c>
      <c r="G241" s="184">
        <v>64.12</v>
      </c>
      <c r="H241" s="154">
        <v>64.12</v>
      </c>
      <c r="I241" s="154">
        <v>64.12</v>
      </c>
      <c r="J241" s="185">
        <v>64.12</v>
      </c>
      <c r="K241" s="184">
        <v>64.12</v>
      </c>
      <c r="L241" s="154">
        <v>64.12</v>
      </c>
      <c r="M241" s="154">
        <v>64.12</v>
      </c>
      <c r="N241" s="185">
        <v>64.12</v>
      </c>
      <c r="O241" s="184">
        <v>94.12</v>
      </c>
      <c r="P241" s="154"/>
      <c r="Q241" s="154"/>
      <c r="R241" s="185"/>
      <c r="S241" s="184"/>
      <c r="T241" s="154"/>
      <c r="U241" s="154"/>
      <c r="V241" s="185"/>
      <c r="W241" s="154"/>
      <c r="X241" s="154"/>
    </row>
    <row r="242" spans="1:26" x14ac:dyDescent="0.3">
      <c r="A242" s="207" t="s">
        <v>96</v>
      </c>
      <c r="B242" s="157"/>
      <c r="C242" s="177"/>
      <c r="D242" s="157"/>
      <c r="E242" s="157"/>
      <c r="F242" s="185">
        <v>0</v>
      </c>
      <c r="G242" s="184">
        <v>0</v>
      </c>
      <c r="H242" s="154">
        <v>0</v>
      </c>
      <c r="I242" s="154">
        <v>0</v>
      </c>
      <c r="J242" s="185">
        <v>0</v>
      </c>
      <c r="K242" s="184">
        <v>0</v>
      </c>
      <c r="L242" s="154">
        <v>0</v>
      </c>
      <c r="M242" s="154">
        <v>0</v>
      </c>
      <c r="N242" s="185">
        <v>0</v>
      </c>
      <c r="O242" s="184">
        <v>0</v>
      </c>
      <c r="P242" s="154"/>
      <c r="Q242" s="154"/>
      <c r="R242" s="185"/>
      <c r="S242" s="184"/>
      <c r="T242" s="154"/>
      <c r="U242" s="154"/>
      <c r="V242" s="185"/>
      <c r="W242" s="154"/>
      <c r="X242" s="154"/>
      <c r="Y242" s="200"/>
    </row>
    <row r="243" spans="1:26" x14ac:dyDescent="0.3">
      <c r="A243" s="207" t="s">
        <v>97</v>
      </c>
      <c r="B243" s="157"/>
      <c r="C243" s="177"/>
      <c r="D243" s="157"/>
      <c r="E243" s="157"/>
      <c r="F243" s="185">
        <v>179.14</v>
      </c>
      <c r="G243" s="184">
        <v>179.14</v>
      </c>
      <c r="H243" s="154">
        <v>171.66</v>
      </c>
      <c r="I243" s="154">
        <v>171.66</v>
      </c>
      <c r="J243" s="185">
        <v>172.07</v>
      </c>
      <c r="K243" s="184">
        <v>172.07</v>
      </c>
      <c r="L243" s="154">
        <v>172.07</v>
      </c>
      <c r="M243" s="154">
        <v>172.16</v>
      </c>
      <c r="N243" s="185">
        <v>172.16</v>
      </c>
      <c r="O243" s="184">
        <v>172.24</v>
      </c>
      <c r="P243" s="154"/>
      <c r="Q243" s="154"/>
      <c r="R243" s="185"/>
      <c r="S243" s="184"/>
      <c r="T243" s="154"/>
      <c r="U243" s="154"/>
      <c r="V243" s="185"/>
      <c r="W243" s="154"/>
      <c r="X243" s="154"/>
      <c r="Y243" s="200"/>
    </row>
    <row r="244" spans="1:26" x14ac:dyDescent="0.3">
      <c r="A244" s="207" t="s">
        <v>98</v>
      </c>
      <c r="B244" s="157"/>
      <c r="C244" s="177"/>
      <c r="D244" s="157"/>
      <c r="E244" s="157"/>
      <c r="F244" s="185">
        <v>307.60000000000002</v>
      </c>
      <c r="G244" s="184">
        <v>307.60000000000002</v>
      </c>
      <c r="H244" s="154">
        <v>300.75</v>
      </c>
      <c r="I244" s="154">
        <v>300.75</v>
      </c>
      <c r="J244" s="185">
        <v>299.88</v>
      </c>
      <c r="K244" s="184">
        <v>299.88</v>
      </c>
      <c r="L244" s="154">
        <v>299.88</v>
      </c>
      <c r="M244" s="154">
        <v>299.89999999999998</v>
      </c>
      <c r="N244" s="185">
        <v>299.89999999999998</v>
      </c>
      <c r="O244" s="184">
        <v>300</v>
      </c>
      <c r="P244" s="154"/>
      <c r="Q244" s="154"/>
      <c r="R244" s="185"/>
      <c r="S244" s="184"/>
      <c r="T244" s="154"/>
      <c r="U244" s="154"/>
      <c r="V244" s="185"/>
      <c r="W244" s="154"/>
      <c r="X244" s="154"/>
      <c r="Y244" s="200"/>
    </row>
    <row r="245" spans="1:26" x14ac:dyDescent="0.3">
      <c r="A245" s="207" t="s">
        <v>99</v>
      </c>
      <c r="B245" s="157"/>
      <c r="C245" s="177"/>
      <c r="D245" s="157"/>
      <c r="E245" s="157"/>
      <c r="F245" s="185">
        <v>502.35</v>
      </c>
      <c r="G245" s="184">
        <v>501.35</v>
      </c>
      <c r="H245" s="154">
        <v>461.95</v>
      </c>
      <c r="I245" s="154">
        <v>461.88</v>
      </c>
      <c r="J245" s="185">
        <v>460.88</v>
      </c>
      <c r="K245" s="184">
        <v>460.88</v>
      </c>
      <c r="L245" s="154">
        <v>460.88</v>
      </c>
      <c r="M245" s="154">
        <v>460.86</v>
      </c>
      <c r="N245" s="185">
        <v>460.86</v>
      </c>
      <c r="O245" s="184">
        <v>460.86</v>
      </c>
      <c r="P245" s="154"/>
      <c r="Q245" s="154"/>
      <c r="R245" s="185"/>
      <c r="S245" s="184"/>
      <c r="T245" s="154"/>
      <c r="U245" s="154"/>
      <c r="V245" s="185"/>
      <c r="W245" s="154"/>
      <c r="X245" s="154"/>
      <c r="Y245" s="200"/>
    </row>
    <row r="246" spans="1:26" x14ac:dyDescent="0.3">
      <c r="A246" s="207" t="s">
        <v>100</v>
      </c>
      <c r="B246" s="157"/>
      <c r="C246" s="177"/>
      <c r="D246" s="157"/>
      <c r="E246" s="157"/>
      <c r="F246" s="185">
        <v>0</v>
      </c>
      <c r="G246" s="184">
        <v>0</v>
      </c>
      <c r="H246" s="154">
        <v>53.8</v>
      </c>
      <c r="I246" s="154">
        <v>53.8</v>
      </c>
      <c r="J246" s="185">
        <v>54.65</v>
      </c>
      <c r="K246" s="184">
        <v>54.65</v>
      </c>
      <c r="L246" s="154">
        <v>54.65</v>
      </c>
      <c r="M246" s="154">
        <v>54.65</v>
      </c>
      <c r="N246" s="185">
        <v>54.65</v>
      </c>
      <c r="O246" s="184">
        <v>54.65</v>
      </c>
      <c r="P246" s="154"/>
      <c r="Q246" s="154"/>
      <c r="R246" s="185"/>
      <c r="S246" s="184"/>
      <c r="T246" s="154"/>
      <c r="U246" s="154"/>
      <c r="V246" s="185"/>
      <c r="W246" s="154"/>
      <c r="X246" s="154"/>
      <c r="Y246" s="200"/>
    </row>
    <row r="247" spans="1:26" x14ac:dyDescent="0.3">
      <c r="A247" s="207" t="s">
        <v>101</v>
      </c>
      <c r="B247" s="157"/>
      <c r="C247" s="177"/>
      <c r="D247" s="157"/>
      <c r="E247" s="157"/>
      <c r="F247" s="185">
        <v>2805.66</v>
      </c>
      <c r="G247" s="184">
        <v>2804.96</v>
      </c>
      <c r="H247" s="154">
        <v>2807.24</v>
      </c>
      <c r="I247" s="154">
        <v>2809.24</v>
      </c>
      <c r="J247" s="185">
        <v>2806.62</v>
      </c>
      <c r="K247" s="184">
        <v>2806.82</v>
      </c>
      <c r="L247" s="154">
        <v>2807.2</v>
      </c>
      <c r="M247" s="154">
        <v>2807.32</v>
      </c>
      <c r="N247" s="185">
        <v>2807.52</v>
      </c>
      <c r="O247" s="184">
        <v>2807.52</v>
      </c>
      <c r="P247" s="154"/>
      <c r="Q247" s="154"/>
      <c r="R247" s="185"/>
      <c r="S247" s="184"/>
      <c r="T247" s="154"/>
      <c r="U247" s="154"/>
      <c r="V247" s="185"/>
      <c r="W247" s="154"/>
      <c r="X247" s="154"/>
      <c r="Y247" s="200"/>
    </row>
    <row r="248" spans="1:26" x14ac:dyDescent="0.3">
      <c r="A248" s="141" t="s">
        <v>102</v>
      </c>
      <c r="B248" s="158">
        <f t="shared" ref="B248:E248" si="136">IF(ISBLANK(B$8),"",SUM(B241:B247))</f>
        <v>0</v>
      </c>
      <c r="C248" s="179">
        <f t="shared" si="136"/>
        <v>0</v>
      </c>
      <c r="D248" s="158">
        <f t="shared" si="136"/>
        <v>0</v>
      </c>
      <c r="E248" s="158">
        <f t="shared" si="136"/>
        <v>0</v>
      </c>
      <c r="F248" s="188">
        <f>IF(ISBLANK(F$8),"",SUM(F241:F247))</f>
        <v>3858.87</v>
      </c>
      <c r="G248" s="187">
        <f t="shared" ref="G248:X248" si="137">IF(ISBLANK(G$8),"",SUM(G241:G247))</f>
        <v>3857.17</v>
      </c>
      <c r="H248" s="186">
        <f t="shared" si="137"/>
        <v>3859.5199999999995</v>
      </c>
      <c r="I248" s="186">
        <f t="shared" si="137"/>
        <v>3861.45</v>
      </c>
      <c r="J248" s="188">
        <f t="shared" si="137"/>
        <v>3858.22</v>
      </c>
      <c r="K248" s="187">
        <f t="shared" si="137"/>
        <v>3858.42</v>
      </c>
      <c r="L248" s="186">
        <f t="shared" si="137"/>
        <v>3858.7999999999997</v>
      </c>
      <c r="M248" s="186">
        <f t="shared" si="137"/>
        <v>3859.01</v>
      </c>
      <c r="N248" s="188">
        <f t="shared" si="137"/>
        <v>3859.21</v>
      </c>
      <c r="O248" s="187">
        <f t="shared" si="137"/>
        <v>3889.3900000000003</v>
      </c>
      <c r="P248" s="186">
        <f t="shared" si="137"/>
        <v>0</v>
      </c>
      <c r="Q248" s="186">
        <f t="shared" si="137"/>
        <v>0</v>
      </c>
      <c r="R248" s="188" t="str">
        <f t="shared" si="137"/>
        <v/>
      </c>
      <c r="S248" s="187">
        <f t="shared" si="137"/>
        <v>0</v>
      </c>
      <c r="T248" s="186" t="str">
        <f t="shared" si="137"/>
        <v/>
      </c>
      <c r="U248" s="186" t="str">
        <f t="shared" si="137"/>
        <v/>
      </c>
      <c r="V248" s="188" t="str">
        <f t="shared" si="137"/>
        <v/>
      </c>
      <c r="W248" s="186" t="str">
        <f t="shared" si="137"/>
        <v/>
      </c>
      <c r="X248" s="186" t="str">
        <f t="shared" si="137"/>
        <v/>
      </c>
    </row>
    <row r="249" spans="1:26" x14ac:dyDescent="0.3">
      <c r="B249" s="81"/>
      <c r="C249" s="106"/>
      <c r="D249" s="81"/>
      <c r="E249" s="81"/>
      <c r="F249" s="107"/>
      <c r="G249" s="106"/>
      <c r="H249" s="81"/>
      <c r="I249" s="81"/>
      <c r="J249" s="107"/>
      <c r="K249" s="106"/>
      <c r="L249" s="81"/>
      <c r="M249" s="81"/>
      <c r="N249" s="107"/>
      <c r="O249" s="106"/>
      <c r="P249" s="81"/>
      <c r="Q249" s="81"/>
      <c r="R249" s="107"/>
      <c r="S249" s="106"/>
      <c r="T249" s="81"/>
      <c r="U249" s="81"/>
      <c r="V249" s="107"/>
      <c r="W249" s="81"/>
      <c r="X249" s="81"/>
    </row>
    <row r="250" spans="1:26" x14ac:dyDescent="0.3">
      <c r="A250" s="145" t="s">
        <v>103</v>
      </c>
      <c r="B250" s="139"/>
      <c r="C250" s="148"/>
      <c r="D250" s="139"/>
      <c r="E250" s="139"/>
      <c r="F250" s="149"/>
      <c r="G250" s="148"/>
      <c r="H250" s="139"/>
      <c r="I250" s="139"/>
      <c r="J250" s="149"/>
      <c r="K250" s="148"/>
      <c r="L250" s="139"/>
      <c r="M250" s="139"/>
      <c r="N250" s="149"/>
      <c r="O250" s="148"/>
      <c r="P250" s="139"/>
      <c r="Q250" s="139"/>
      <c r="R250" s="149"/>
      <c r="S250" s="148"/>
      <c r="T250" s="139"/>
      <c r="U250" s="139"/>
      <c r="V250" s="149"/>
      <c r="W250" s="139"/>
      <c r="X250" s="139"/>
      <c r="Z250" s="2"/>
    </row>
    <row r="251" spans="1:26" ht="15" customHeight="1" x14ac:dyDescent="0.3">
      <c r="A251" s="207" t="s">
        <v>95</v>
      </c>
      <c r="B251" s="157"/>
      <c r="C251" s="177"/>
      <c r="D251" s="157"/>
      <c r="E251" s="157"/>
      <c r="F251" s="178">
        <v>3938805</v>
      </c>
      <c r="G251" s="177">
        <v>4049237</v>
      </c>
      <c r="H251" s="157">
        <v>4082947</v>
      </c>
      <c r="I251" s="157">
        <v>4173253</v>
      </c>
      <c r="J251" s="178">
        <v>4051260</v>
      </c>
      <c r="K251" s="177">
        <v>3895889</v>
      </c>
      <c r="L251" s="157">
        <v>3120899</v>
      </c>
      <c r="M251" s="157">
        <v>3550448</v>
      </c>
      <c r="N251" s="178">
        <v>3724056</v>
      </c>
      <c r="O251" s="177">
        <v>3789853</v>
      </c>
      <c r="P251" s="157"/>
      <c r="Q251" s="157"/>
      <c r="R251" s="178"/>
      <c r="S251" s="177"/>
      <c r="T251" s="157"/>
      <c r="U251" s="157"/>
      <c r="V251" s="178"/>
      <c r="W251" s="157"/>
      <c r="X251" s="157"/>
    </row>
    <row r="252" spans="1:26" x14ac:dyDescent="0.3">
      <c r="A252" s="207" t="s">
        <v>96</v>
      </c>
      <c r="B252" s="157"/>
      <c r="C252" s="177"/>
      <c r="D252" s="157"/>
      <c r="E252" s="157"/>
      <c r="F252" s="178">
        <v>0</v>
      </c>
      <c r="G252" s="177">
        <v>0</v>
      </c>
      <c r="H252" s="157">
        <v>0</v>
      </c>
      <c r="I252" s="157">
        <v>0</v>
      </c>
      <c r="J252" s="178">
        <v>0</v>
      </c>
      <c r="K252" s="177">
        <v>0</v>
      </c>
      <c r="L252" s="157">
        <v>0</v>
      </c>
      <c r="M252" s="157">
        <v>0</v>
      </c>
      <c r="N252" s="178">
        <v>0</v>
      </c>
      <c r="O252" s="177">
        <v>0</v>
      </c>
      <c r="P252" s="157"/>
      <c r="Q252" s="157"/>
      <c r="R252" s="178"/>
      <c r="S252" s="177"/>
      <c r="T252" s="157"/>
      <c r="U252" s="157"/>
      <c r="V252" s="178"/>
      <c r="W252" s="157"/>
      <c r="X252" s="157"/>
      <c r="Y252" s="200"/>
    </row>
    <row r="253" spans="1:26" x14ac:dyDescent="0.3">
      <c r="A253" s="207" t="s">
        <v>97</v>
      </c>
      <c r="B253" s="157"/>
      <c r="C253" s="177"/>
      <c r="D253" s="157"/>
      <c r="E253" s="157"/>
      <c r="F253" s="178">
        <v>2101957</v>
      </c>
      <c r="G253" s="177">
        <v>1983320</v>
      </c>
      <c r="H253" s="157">
        <v>2033416</v>
      </c>
      <c r="I253" s="157">
        <v>2111957</v>
      </c>
      <c r="J253" s="178">
        <v>2178841</v>
      </c>
      <c r="K253" s="177">
        <v>2195677</v>
      </c>
      <c r="L253" s="157">
        <v>1743802</v>
      </c>
      <c r="M253" s="157">
        <v>1958242</v>
      </c>
      <c r="N253" s="178">
        <v>1958828</v>
      </c>
      <c r="O253" s="177">
        <v>1996522</v>
      </c>
      <c r="P253" s="157"/>
      <c r="Q253" s="157"/>
      <c r="R253" s="178"/>
      <c r="S253" s="177"/>
      <c r="T253" s="157"/>
      <c r="U253" s="157"/>
      <c r="V253" s="178"/>
      <c r="W253" s="157"/>
      <c r="X253" s="157"/>
      <c r="Y253" s="200"/>
    </row>
    <row r="254" spans="1:26" x14ac:dyDescent="0.3">
      <c r="A254" s="207" t="s">
        <v>98</v>
      </c>
      <c r="B254" s="157"/>
      <c r="C254" s="177"/>
      <c r="D254" s="157"/>
      <c r="E254" s="157"/>
      <c r="F254" s="178">
        <v>1581134</v>
      </c>
      <c r="G254" s="177">
        <v>1612316</v>
      </c>
      <c r="H254" s="157">
        <v>1659732</v>
      </c>
      <c r="I254" s="157">
        <v>1642634</v>
      </c>
      <c r="J254" s="178">
        <v>1776920</v>
      </c>
      <c r="K254" s="177">
        <v>1793001</v>
      </c>
      <c r="L254" s="157">
        <v>1460032</v>
      </c>
      <c r="M254" s="157">
        <v>1607583</v>
      </c>
      <c r="N254" s="178">
        <v>1581500</v>
      </c>
      <c r="O254" s="177">
        <v>1616024</v>
      </c>
      <c r="P254" s="157"/>
      <c r="Q254" s="157"/>
      <c r="R254" s="178"/>
      <c r="S254" s="177"/>
      <c r="T254" s="157"/>
      <c r="U254" s="157"/>
      <c r="V254" s="178"/>
      <c r="W254" s="157"/>
      <c r="X254" s="157"/>
      <c r="Y254" s="200"/>
    </row>
    <row r="255" spans="1:26" x14ac:dyDescent="0.3">
      <c r="A255" s="207" t="s">
        <v>99</v>
      </c>
      <c r="B255" s="157"/>
      <c r="C255" s="177"/>
      <c r="D255" s="157"/>
      <c r="E255" s="157"/>
      <c r="F255" s="178">
        <v>1707904</v>
      </c>
      <c r="G255" s="177">
        <v>1758951</v>
      </c>
      <c r="H255" s="157">
        <v>1679331</v>
      </c>
      <c r="I255" s="157">
        <v>1676539</v>
      </c>
      <c r="J255" s="178">
        <v>1841633</v>
      </c>
      <c r="K255" s="177">
        <v>1859376</v>
      </c>
      <c r="L255" s="157">
        <v>1548750</v>
      </c>
      <c r="M255" s="157">
        <v>1696937</v>
      </c>
      <c r="N255" s="178">
        <v>1638648</v>
      </c>
      <c r="O255" s="177">
        <v>1698167</v>
      </c>
      <c r="P255" s="157"/>
      <c r="Q255" s="157"/>
      <c r="R255" s="178"/>
      <c r="S255" s="177"/>
      <c r="T255" s="157"/>
      <c r="U255" s="157"/>
      <c r="V255" s="178"/>
      <c r="W255" s="157"/>
      <c r="X255" s="157"/>
      <c r="Y255" s="200"/>
    </row>
    <row r="256" spans="1:26" x14ac:dyDescent="0.3">
      <c r="A256" s="207" t="s">
        <v>100</v>
      </c>
      <c r="B256" s="157"/>
      <c r="C256" s="177"/>
      <c r="D256" s="157"/>
      <c r="E256" s="157"/>
      <c r="F256" s="178">
        <v>0</v>
      </c>
      <c r="G256" s="177">
        <v>0</v>
      </c>
      <c r="H256" s="157">
        <v>60692</v>
      </c>
      <c r="I256" s="157">
        <v>62270</v>
      </c>
      <c r="J256" s="178">
        <v>85694</v>
      </c>
      <c r="K256" s="177">
        <v>86541</v>
      </c>
      <c r="L256" s="157">
        <v>72085</v>
      </c>
      <c r="M256" s="157">
        <v>79638</v>
      </c>
      <c r="N256" s="178">
        <v>88943</v>
      </c>
      <c r="O256" s="177">
        <v>90593</v>
      </c>
      <c r="P256" s="157"/>
      <c r="Q256" s="157"/>
      <c r="R256" s="178"/>
      <c r="S256" s="177"/>
      <c r="T256" s="157"/>
      <c r="U256" s="157"/>
      <c r="V256" s="178"/>
      <c r="W256" s="157"/>
      <c r="X256" s="157"/>
      <c r="Y256" s="200"/>
    </row>
    <row r="257" spans="1:26" x14ac:dyDescent="0.3">
      <c r="A257" s="207" t="s">
        <v>101</v>
      </c>
      <c r="B257" s="157"/>
      <c r="C257" s="177"/>
      <c r="D257" s="157"/>
      <c r="E257" s="157"/>
      <c r="F257" s="178">
        <v>1224144</v>
      </c>
      <c r="G257" s="177">
        <v>1228046</v>
      </c>
      <c r="H257" s="157">
        <v>1223607</v>
      </c>
      <c r="I257" s="157">
        <v>1229482</v>
      </c>
      <c r="J257" s="178">
        <v>1253096</v>
      </c>
      <c r="K257" s="177">
        <v>1256532</v>
      </c>
      <c r="L257" s="157">
        <v>1256766</v>
      </c>
      <c r="M257" s="157">
        <v>1256011</v>
      </c>
      <c r="N257" s="178">
        <v>1228079</v>
      </c>
      <c r="O257" s="177">
        <v>1251216</v>
      </c>
      <c r="P257" s="157"/>
      <c r="Q257" s="157"/>
      <c r="R257" s="178"/>
      <c r="S257" s="177"/>
      <c r="T257" s="157"/>
      <c r="U257" s="157"/>
      <c r="V257" s="178"/>
      <c r="W257" s="157"/>
      <c r="X257" s="157"/>
      <c r="Y257" s="200"/>
    </row>
    <row r="258" spans="1:26" x14ac:dyDescent="0.3">
      <c r="A258" s="141" t="s">
        <v>102</v>
      </c>
      <c r="B258" s="158">
        <f t="shared" ref="B258" si="138">IF(ISBLANK(B$8),"",SUM(B251:B257))</f>
        <v>0</v>
      </c>
      <c r="C258" s="179">
        <f t="shared" ref="C258" si="139">IF(ISBLANK(C$8),"",SUM(C251:C257))</f>
        <v>0</v>
      </c>
      <c r="D258" s="158">
        <f t="shared" ref="D258" si="140">IF(ISBLANK(D$8),"",SUM(D251:D257))</f>
        <v>0</v>
      </c>
      <c r="E258" s="158">
        <f t="shared" ref="E258:F258" si="141">IF(ISBLANK(E$8),"",SUM(E251:E257))</f>
        <v>0</v>
      </c>
      <c r="F258" s="158">
        <f t="shared" si="141"/>
        <v>10553944</v>
      </c>
      <c r="G258" s="179">
        <f t="shared" ref="G258" si="142">IF(ISBLANK(G$8),"",SUM(G251:G257))</f>
        <v>10631870</v>
      </c>
      <c r="H258" s="158">
        <f t="shared" ref="H258" si="143">IF(ISBLANK(H$8),"",SUM(H251:H257))</f>
        <v>10739725</v>
      </c>
      <c r="I258" s="158">
        <f t="shared" ref="I258" si="144">IF(ISBLANK(I$8),"",SUM(I251:I257))</f>
        <v>10896135</v>
      </c>
      <c r="J258" s="180">
        <f t="shared" ref="J258" si="145">IF(ISBLANK(J$8),"",SUM(J251:J257))</f>
        <v>11187444</v>
      </c>
      <c r="K258" s="179">
        <f t="shared" ref="K258" si="146">IF(ISBLANK(K$8),"",SUM(K251:K257))</f>
        <v>11087016</v>
      </c>
      <c r="L258" s="158">
        <f t="shared" ref="L258" si="147">IF(ISBLANK(L$8),"",SUM(L251:L257))</f>
        <v>9202334</v>
      </c>
      <c r="M258" s="158">
        <f t="shared" ref="M258" si="148">IF(ISBLANK(M$8),"",SUM(M251:M257))</f>
        <v>10148859</v>
      </c>
      <c r="N258" s="180">
        <f t="shared" ref="N258" si="149">IF(ISBLANK(N$8),"",SUM(N251:N257))</f>
        <v>10220054</v>
      </c>
      <c r="O258" s="179">
        <f t="shared" ref="O258" si="150">IF(ISBLANK(O$8),"",SUM(O251:O257))</f>
        <v>10442375</v>
      </c>
      <c r="P258" s="158">
        <f t="shared" ref="P258" si="151">IF(ISBLANK(P$8),"",SUM(P251:P257))</f>
        <v>0</v>
      </c>
      <c r="Q258" s="158">
        <f t="shared" ref="Q258" si="152">IF(ISBLANK(Q$8),"",SUM(Q251:Q257))</f>
        <v>0</v>
      </c>
      <c r="R258" s="180" t="str">
        <f t="shared" ref="R258" si="153">IF(ISBLANK(R$8),"",SUM(R251:R257))</f>
        <v/>
      </c>
      <c r="S258" s="179">
        <f t="shared" ref="S258" si="154">IF(ISBLANK(S$8),"",SUM(S251:S257))</f>
        <v>0</v>
      </c>
      <c r="T258" s="158" t="str">
        <f t="shared" ref="T258" si="155">IF(ISBLANK(T$8),"",SUM(T251:T257))</f>
        <v/>
      </c>
      <c r="U258" s="158" t="str">
        <f t="shared" ref="U258" si="156">IF(ISBLANK(U$8),"",SUM(U251:U257))</f>
        <v/>
      </c>
      <c r="V258" s="180" t="str">
        <f t="shared" ref="V258" si="157">IF(ISBLANK(V$8),"",SUM(V251:V257))</f>
        <v/>
      </c>
      <c r="W258" s="158" t="str">
        <f t="shared" ref="W258" si="158">IF(ISBLANK(W$8),"",SUM(W251:W257))</f>
        <v/>
      </c>
      <c r="X258" s="158" t="str">
        <f t="shared" ref="X258" si="159">IF(ISBLANK(X$8),"",SUM(X251:X257))</f>
        <v/>
      </c>
    </row>
    <row r="259" spans="1:26" x14ac:dyDescent="0.3">
      <c r="C259" s="82"/>
      <c r="F259" s="97"/>
      <c r="G259" s="82"/>
      <c r="J259" s="97"/>
      <c r="K259" s="82"/>
      <c r="N259" s="97"/>
      <c r="O259" s="82"/>
      <c r="R259" s="97"/>
      <c r="S259" s="82"/>
      <c r="V259" s="97"/>
    </row>
    <row r="260" spans="1:26" x14ac:dyDescent="0.3">
      <c r="C260" s="82"/>
      <c r="F260" s="97"/>
      <c r="G260" s="82"/>
      <c r="J260" s="97"/>
      <c r="K260" s="82"/>
      <c r="N260" s="97"/>
      <c r="O260" s="82"/>
      <c r="R260" s="97"/>
      <c r="S260" s="82"/>
      <c r="V260" s="97"/>
    </row>
    <row r="261" spans="1:26" x14ac:dyDescent="0.3">
      <c r="A261" t="s">
        <v>104</v>
      </c>
      <c r="C261" s="82"/>
      <c r="F261" s="97"/>
      <c r="G261" s="82"/>
      <c r="J261" s="97"/>
      <c r="K261" s="82"/>
      <c r="N261" s="97"/>
      <c r="O261" s="82"/>
      <c r="R261" s="97"/>
      <c r="S261" s="82"/>
      <c r="V261" s="97"/>
    </row>
    <row r="262" spans="1:26" x14ac:dyDescent="0.3">
      <c r="A262" t="s">
        <v>105</v>
      </c>
      <c r="C262" s="82"/>
      <c r="F262" s="97"/>
      <c r="G262" s="82"/>
      <c r="J262" s="97"/>
      <c r="K262" s="82"/>
      <c r="L262" s="182"/>
      <c r="N262" s="113"/>
      <c r="O262" s="82"/>
      <c r="P262" s="182"/>
      <c r="R262" s="113"/>
      <c r="S262" s="82"/>
      <c r="T262" s="182"/>
      <c r="V262" s="113"/>
    </row>
    <row r="263" spans="1:26" x14ac:dyDescent="0.3">
      <c r="B263" s="75"/>
      <c r="C263" s="104"/>
      <c r="D263" s="75"/>
      <c r="E263" s="75"/>
      <c r="F263" s="105"/>
      <c r="G263" s="104"/>
      <c r="H263" s="75"/>
      <c r="I263" s="75"/>
      <c r="J263" s="105"/>
      <c r="K263" s="104"/>
      <c r="L263" s="75"/>
      <c r="M263" s="75"/>
      <c r="N263" s="105"/>
      <c r="O263" s="104"/>
      <c r="P263" s="75"/>
      <c r="Q263" s="75"/>
      <c r="R263" s="105"/>
      <c r="S263" s="104"/>
      <c r="T263" s="75"/>
      <c r="U263" s="75"/>
      <c r="V263" s="105"/>
      <c r="W263" s="75"/>
      <c r="X263" s="75"/>
    </row>
    <row r="264" spans="1:26" x14ac:dyDescent="0.3">
      <c r="A264" t="s">
        <v>106</v>
      </c>
      <c r="C264" s="82"/>
      <c r="F264" s="97"/>
      <c r="G264" s="82"/>
      <c r="J264" s="112"/>
      <c r="K264" s="82"/>
      <c r="N264" s="97"/>
      <c r="O264" s="82"/>
      <c r="R264" s="97"/>
      <c r="S264" s="82"/>
      <c r="V264" s="97"/>
    </row>
    <row r="265" spans="1:26" x14ac:dyDescent="0.3">
      <c r="A265" t="s">
        <v>107</v>
      </c>
      <c r="C265" s="82"/>
      <c r="F265" s="97"/>
      <c r="G265" s="82"/>
      <c r="J265" s="97"/>
      <c r="K265" s="82"/>
      <c r="N265" s="97"/>
      <c r="O265" s="82"/>
      <c r="R265" s="97"/>
      <c r="S265" s="82"/>
      <c r="V265" s="97"/>
    </row>
    <row r="266" spans="1:26" x14ac:dyDescent="0.3">
      <c r="A266" t="s">
        <v>108</v>
      </c>
      <c r="C266" s="82"/>
      <c r="F266" s="97"/>
      <c r="G266" s="82"/>
      <c r="J266" s="97"/>
      <c r="K266" s="82"/>
      <c r="N266" s="97"/>
      <c r="O266" s="82"/>
      <c r="R266" s="97"/>
      <c r="S266" s="82"/>
      <c r="V266" s="97"/>
      <c r="Z266" s="11"/>
    </row>
    <row r="267" spans="1:26" x14ac:dyDescent="0.3">
      <c r="A267" t="s">
        <v>109</v>
      </c>
      <c r="C267" s="82"/>
      <c r="F267" s="97"/>
      <c r="G267" s="82"/>
      <c r="J267" s="97"/>
      <c r="K267" s="82"/>
      <c r="N267" s="97"/>
      <c r="O267" s="82"/>
      <c r="R267" s="97"/>
      <c r="S267" s="82"/>
      <c r="V267" s="97"/>
    </row>
    <row r="268" spans="1:26" x14ac:dyDescent="0.3">
      <c r="A268" t="s">
        <v>110</v>
      </c>
      <c r="C268" s="82"/>
      <c r="F268" s="97"/>
      <c r="G268" s="82"/>
      <c r="J268" s="97"/>
      <c r="K268" s="82"/>
      <c r="N268" s="97"/>
      <c r="O268" s="82"/>
      <c r="R268" s="97"/>
      <c r="S268" s="82"/>
      <c r="V268" s="97"/>
    </row>
    <row r="269" spans="1:26" x14ac:dyDescent="0.3">
      <c r="A269" t="s">
        <v>111</v>
      </c>
      <c r="C269" s="100"/>
      <c r="D269" s="10"/>
      <c r="E269" s="10"/>
      <c r="F269" s="101"/>
      <c r="G269" s="100"/>
      <c r="H269" s="10"/>
      <c r="I269" s="10"/>
      <c r="J269" s="101"/>
      <c r="K269" s="100"/>
      <c r="L269" s="10"/>
      <c r="M269" s="10"/>
      <c r="N269" s="101"/>
      <c r="O269" s="100"/>
      <c r="P269" s="10"/>
      <c r="Q269" s="10"/>
      <c r="R269" s="101"/>
      <c r="S269" s="100"/>
      <c r="T269" s="10"/>
      <c r="U269" s="10"/>
      <c r="V269" s="101"/>
    </row>
  </sheetData>
  <mergeCells count="5">
    <mergeCell ref="C6:F6"/>
    <mergeCell ref="G6:J6"/>
    <mergeCell ref="K6:N6"/>
    <mergeCell ref="O6:R6"/>
    <mergeCell ref="S6:V6"/>
  </mergeCells>
  <conditionalFormatting sqref="AA107">
    <cfRule type="expression" dxfId="18" priority="40">
      <formula>AND(CELL("protect",AA107)=0,$DU131="R2",ISBLANK(AA107))</formula>
    </cfRule>
    <cfRule type="expression" dxfId="17" priority="42">
      <formula>AND(CELL("protect",AA107)=0,$DU131="R1",ISBLANK(AA107))</formula>
    </cfRule>
  </conditionalFormatting>
  <conditionalFormatting sqref="AA107:AA112 AA170:AA172">
    <cfRule type="expression" dxfId="16" priority="8">
      <formula>AA107="Complete"</formula>
    </cfRule>
    <cfRule type="expression" dxfId="15" priority="9">
      <formula>AA107="In Progress"</formula>
    </cfRule>
    <cfRule type="expression" dxfId="14" priority="10">
      <formula>AA107="Required"</formula>
    </cfRule>
  </conditionalFormatting>
  <conditionalFormatting sqref="AA108 AA110:AA112">
    <cfRule type="expression" dxfId="13" priority="24">
      <formula>AND(CELL("protect",AA108)=0,$DU135="R2",ISBLANK(AA108))</formula>
    </cfRule>
    <cfRule type="expression" dxfId="12" priority="25">
      <formula>AND(CELL("protect",AA108)=0,$DU135="R1",ISBLANK(AA108))</formula>
    </cfRule>
  </conditionalFormatting>
  <conditionalFormatting sqref="AA109">
    <cfRule type="expression" dxfId="11" priority="35">
      <formula>AND(CELL("protect",AA109)=0,$DU134="R2",ISBLANK(AA109))</formula>
    </cfRule>
    <cfRule type="expression" dxfId="10" priority="37">
      <formula>AND(CELL("protect",AA109)=0,$DU134="R1",ISBLANK(AA109))</formula>
    </cfRule>
  </conditionalFormatting>
  <conditionalFormatting sqref="AA161">
    <cfRule type="expression" dxfId="9" priority="1">
      <formula>AA161="Complete"</formula>
    </cfRule>
    <cfRule type="expression" dxfId="8" priority="2">
      <formula>AA161="In Progress"</formula>
    </cfRule>
    <cfRule type="expression" dxfId="7" priority="3">
      <formula>AA161="Required"</formula>
    </cfRule>
    <cfRule type="expression" dxfId="6" priority="4">
      <formula>AND(CELL("protect",AA161)=0,$DU127="R2",ISBLANK(AA161))</formula>
    </cfRule>
    <cfRule type="expression" dxfId="5" priority="5">
      <formula>AND(CELL("protect",AA161)=0,$DU127="R1",ISBLANK(AA161))</formula>
    </cfRule>
  </conditionalFormatting>
  <conditionalFormatting sqref="AA170:AA171">
    <cfRule type="expression" dxfId="4" priority="15">
      <formula>AND(CELL("protect",AA170)=0,$DU129="R2",ISBLANK(AA170))</formula>
    </cfRule>
    <cfRule type="expression" dxfId="3" priority="17">
      <formula>AND(CELL("protect",AA170)=0,$DU129="R1",ISBLANK(AA170))</formula>
    </cfRule>
  </conditionalFormatting>
  <conditionalFormatting sqref="AA172">
    <cfRule type="expression" dxfId="2" priority="19">
      <formula>AND(CELL("protect",AA172)=0,$DU130="R2",ISBLANK(AA172))</formula>
    </cfRule>
    <cfRule type="expression" dxfId="1" priority="21">
      <formula>AND(CELL("protect",AA172)=0,$DU130="R1",ISBLANK(AA172))</formula>
    </cfRule>
  </conditionalFormatting>
  <hyperlinks>
    <hyperlink ref="Z240" r:id="rId1" xr:uid="{6A32582A-DB74-4940-BE83-3A9EE7271653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8909-B32A-4569-AD14-F44F550105EF}">
  <sheetPr codeName="Sheet3">
    <tabColor theme="4" tint="0.79998168889431442"/>
  </sheetPr>
  <dimension ref="A1:Q144"/>
  <sheetViews>
    <sheetView topLeftCell="A36" workbookViewId="0">
      <selection activeCell="A68" sqref="A68"/>
    </sheetView>
  </sheetViews>
  <sheetFormatPr defaultRowHeight="14.4" x14ac:dyDescent="0.3"/>
  <cols>
    <col min="1" max="1" width="34.33203125" customWidth="1"/>
  </cols>
  <sheetData>
    <row r="1" spans="1:17" ht="18" x14ac:dyDescent="0.35">
      <c r="A1" s="6" t="s">
        <v>0</v>
      </c>
    </row>
    <row r="2" spans="1:17" x14ac:dyDescent="0.3">
      <c r="A2" t="s">
        <v>1</v>
      </c>
    </row>
    <row r="4" spans="1:17" x14ac:dyDescent="0.3">
      <c r="A4" s="2" t="s">
        <v>11</v>
      </c>
    </row>
    <row r="8" spans="1:17" x14ac:dyDescent="0.3">
      <c r="A8" s="2" t="s">
        <v>112</v>
      </c>
      <c r="B8" cm="1">
        <f t="array" ref="B8:Q8">_xlfn._xlws.FILTER(Dashboard!$B8:$Y8,(Dashboard!$B$8:$Y$8&gt;=Date_Start)*(Dashboard!$B$8:$Y$8&lt;=Date_End),NA())</f>
        <v>2010</v>
      </c>
      <c r="C8">
        <v>2011</v>
      </c>
      <c r="D8">
        <v>2012</v>
      </c>
      <c r="E8">
        <v>2013</v>
      </c>
      <c r="F8">
        <v>2014</v>
      </c>
      <c r="G8">
        <v>2015</v>
      </c>
      <c r="H8">
        <v>2016</v>
      </c>
      <c r="I8">
        <v>2017</v>
      </c>
      <c r="J8">
        <v>2018</v>
      </c>
      <c r="K8">
        <v>2019</v>
      </c>
      <c r="L8">
        <v>2020</v>
      </c>
      <c r="M8">
        <v>2021</v>
      </c>
      <c r="N8">
        <v>2022</v>
      </c>
      <c r="O8">
        <v>2023</v>
      </c>
      <c r="P8">
        <v>2024</v>
      </c>
      <c r="Q8">
        <v>2025</v>
      </c>
    </row>
    <row r="9" spans="1:17" x14ac:dyDescent="0.3">
      <c r="A9" s="143" t="s">
        <v>113</v>
      </c>
    </row>
    <row r="10" spans="1:17" x14ac:dyDescent="0.3">
      <c r="A10" s="145" t="s">
        <v>114</v>
      </c>
    </row>
    <row r="11" spans="1:17" x14ac:dyDescent="0.3">
      <c r="A11" s="140" t="s">
        <v>115</v>
      </c>
      <c r="B11" cm="1">
        <f t="array" ref="B11:Q11">_xlfn._xlws.FILTER(Dashboard!$B11:$Y11,(Dashboard!$B$8:$Y$8&gt;=Date_Start)*(Dashboard!$B$8:$Y$8&lt;=Date_End),NA())</f>
        <v>0</v>
      </c>
      <c r="C11">
        <v>2</v>
      </c>
      <c r="D11">
        <v>11.4</v>
      </c>
      <c r="E11">
        <v>15.5</v>
      </c>
      <c r="F11">
        <v>18.5</v>
      </c>
      <c r="G11">
        <v>21.35</v>
      </c>
      <c r="H11">
        <v>22.55</v>
      </c>
      <c r="I11">
        <v>22.5</v>
      </c>
      <c r="J11">
        <v>23.450679652365004</v>
      </c>
      <c r="K11">
        <v>24.3</v>
      </c>
      <c r="L11">
        <v>26.7</v>
      </c>
      <c r="M11">
        <v>35.220584989233799</v>
      </c>
      <c r="N11">
        <v>37.56</v>
      </c>
      <c r="O11">
        <v>47.2</v>
      </c>
      <c r="P11">
        <v>57.3</v>
      </c>
      <c r="Q11">
        <v>68.7</v>
      </c>
    </row>
    <row r="12" spans="1:17" x14ac:dyDescent="0.3">
      <c r="A12" s="140" t="s">
        <v>116</v>
      </c>
      <c r="B12" cm="1">
        <f t="array" ref="B12:Q12">_xlfn._xlws.FILTER(Dashboard!$B12:$Y12,(Dashboard!$B$8:$Y$8&gt;=Date_Start)*(Dashboard!$B$8:$Y$8&lt;=Date_End),NA())</f>
        <v>0</v>
      </c>
      <c r="C12">
        <v>1</v>
      </c>
      <c r="D12">
        <v>18.649999999999999</v>
      </c>
      <c r="E12">
        <v>33.5</v>
      </c>
      <c r="F12">
        <v>67</v>
      </c>
      <c r="G12">
        <v>87</v>
      </c>
      <c r="H12">
        <v>88.8</v>
      </c>
      <c r="I12">
        <v>95.1</v>
      </c>
      <c r="J12">
        <v>105.885433742641</v>
      </c>
      <c r="K12">
        <v>107.5</v>
      </c>
      <c r="L12">
        <v>110.5</v>
      </c>
      <c r="M12">
        <v>113.96737106439124</v>
      </c>
      <c r="N12">
        <v>115.57</v>
      </c>
      <c r="O12">
        <v>110.1</v>
      </c>
      <c r="P12">
        <v>107.8</v>
      </c>
      <c r="Q12">
        <v>106.5</v>
      </c>
    </row>
    <row r="13" spans="1:17" x14ac:dyDescent="0.3">
      <c r="A13" s="140" t="s">
        <v>117</v>
      </c>
      <c r="B13" cm="1">
        <f t="array" ref="B13:Q13">_xlfn._xlws.FILTER(Dashboard!$B13:$Y13,(Dashboard!$B$8:$Y$8&gt;=Date_Start)*(Dashboard!$B$8:$Y$8&lt;=Date_End),NA())</f>
        <v>116</v>
      </c>
      <c r="C13">
        <v>133</v>
      </c>
      <c r="D13">
        <v>134.19999999999999</v>
      </c>
      <c r="E13">
        <v>117.5</v>
      </c>
      <c r="F13">
        <v>99</v>
      </c>
      <c r="G13">
        <v>88.5</v>
      </c>
      <c r="H13">
        <v>85.6</v>
      </c>
      <c r="I13">
        <v>82.7</v>
      </c>
      <c r="J13">
        <v>83.228265631937759</v>
      </c>
      <c r="K13">
        <v>88</v>
      </c>
      <c r="L13">
        <v>103.3</v>
      </c>
      <c r="M13">
        <v>113.05000987613971</v>
      </c>
      <c r="N13">
        <v>126.1</v>
      </c>
      <c r="O13">
        <v>130.4</v>
      </c>
      <c r="P13">
        <v>136.94999999999999</v>
      </c>
      <c r="Q13">
        <v>138.5</v>
      </c>
    </row>
    <row r="14" spans="1:17" x14ac:dyDescent="0.3">
      <c r="A14" s="140" t="s">
        <v>118</v>
      </c>
      <c r="B14" cm="1">
        <f t="array" ref="B14:Q14">_xlfn._xlws.FILTER(Dashboard!$B14:$Y14,(Dashboard!$B$8:$Y$8&gt;=Date_Start)*(Dashboard!$B$8:$Y$8&lt;=Date_End),NA())</f>
        <v>0</v>
      </c>
      <c r="C14">
        <v>0</v>
      </c>
      <c r="D14">
        <v>0</v>
      </c>
      <c r="E14">
        <v>1</v>
      </c>
      <c r="F14">
        <v>1.5</v>
      </c>
      <c r="G14">
        <v>1.5</v>
      </c>
      <c r="H14">
        <v>2.1</v>
      </c>
      <c r="I14">
        <v>3.2</v>
      </c>
      <c r="J14">
        <v>11.448654824888697</v>
      </c>
      <c r="K14">
        <v>14.4</v>
      </c>
      <c r="L14">
        <v>17.399999999999999</v>
      </c>
      <c r="M14">
        <v>26.8506288855971</v>
      </c>
      <c r="N14">
        <v>39.17</v>
      </c>
      <c r="O14">
        <v>57.2</v>
      </c>
      <c r="P14">
        <v>71.95</v>
      </c>
      <c r="Q14">
        <v>85.2</v>
      </c>
    </row>
    <row r="15" spans="1:17" x14ac:dyDescent="0.3">
      <c r="A15" s="140" t="s">
        <v>119</v>
      </c>
      <c r="B15" cm="1">
        <f t="array" ref="B15:Q15">_xlfn._xlws.FILTER(Dashboard!$B15:$Y15,(Dashboard!$B$8:$Y$8&gt;=Date_Start)*(Dashboard!$B$8:$Y$8&lt;=Date_End),NA())</f>
        <v>30</v>
      </c>
      <c r="C15">
        <v>39</v>
      </c>
      <c r="D15">
        <v>39.85</v>
      </c>
      <c r="E15">
        <v>40</v>
      </c>
      <c r="F15">
        <v>41.5</v>
      </c>
      <c r="G15">
        <v>45.7</v>
      </c>
      <c r="H15">
        <v>45.7</v>
      </c>
      <c r="I15">
        <v>45.4</v>
      </c>
      <c r="J15">
        <v>45.474801331811747</v>
      </c>
      <c r="K15">
        <v>44.4</v>
      </c>
      <c r="L15">
        <v>44.9</v>
      </c>
      <c r="M15">
        <v>52.026724711724498</v>
      </c>
      <c r="N15">
        <v>49.74</v>
      </c>
      <c r="O15">
        <v>48.3</v>
      </c>
      <c r="P15">
        <v>47.6</v>
      </c>
      <c r="Q15">
        <v>46.98</v>
      </c>
    </row>
    <row r="16" spans="1:17" x14ac:dyDescent="0.3">
      <c r="A16" s="141" t="s">
        <v>120</v>
      </c>
      <c r="B16" cm="1">
        <f t="array" ref="B16:Q16">_xlfn._xlws.FILTER(Dashboard!$B16:$Y16,(Dashboard!$B$8:$Y$8&gt;=Date_Start)*(Dashboard!$B$8:$Y$8&lt;=Date_End),NA())</f>
        <v>146</v>
      </c>
      <c r="C16">
        <v>175</v>
      </c>
      <c r="D16">
        <v>204.1</v>
      </c>
      <c r="E16">
        <v>207.5</v>
      </c>
      <c r="F16">
        <v>227.5</v>
      </c>
      <c r="G16">
        <v>244.05</v>
      </c>
      <c r="H16">
        <v>244.75</v>
      </c>
      <c r="I16">
        <v>248.9</v>
      </c>
      <c r="J16">
        <v>269.48783518364422</v>
      </c>
      <c r="K16">
        <v>278.60000000000002</v>
      </c>
      <c r="L16">
        <v>302.79999999999995</v>
      </c>
      <c r="M16">
        <v>341.11531952708634</v>
      </c>
      <c r="N16">
        <v>368.14000000000004</v>
      </c>
      <c r="O16">
        <v>393.20000000000005</v>
      </c>
      <c r="P16">
        <v>421.59999999999997</v>
      </c>
      <c r="Q16">
        <v>445.88</v>
      </c>
    </row>
    <row r="18" spans="1:17" x14ac:dyDescent="0.3">
      <c r="A18" s="140" t="s">
        <v>121</v>
      </c>
      <c r="B18" cm="1">
        <f t="array" ref="B18:Q18">_xlfn._xlws.FILTER(Dashboard!$B18:$Y18,(Dashboard!$B$8:$Y$8&gt;=Date_Start)*(Dashboard!$B$8:$Y$8&lt;=Date_End),NA())</f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5.8</v>
      </c>
      <c r="Q18">
        <v>5.8</v>
      </c>
    </row>
    <row r="19" spans="1:17" x14ac:dyDescent="0.3">
      <c r="A19" s="163" t="s">
        <v>122</v>
      </c>
      <c r="B19" cm="1">
        <f t="array" ref="B19:Q19">_xlfn._xlws.FILTER(Dashboard!$B19:$Y19,(Dashboard!$B$8:$Y$8&gt;=Date_Start)*(Dashboard!$B$8:$Y$8&lt;=Date_End),NA())</f>
        <v>47.2</v>
      </c>
      <c r="C19">
        <v>47.2</v>
      </c>
      <c r="D19">
        <v>47.76</v>
      </c>
      <c r="E19">
        <v>47.76</v>
      </c>
      <c r="F19">
        <v>47.76</v>
      </c>
      <c r="G19">
        <v>51.53</v>
      </c>
      <c r="H19">
        <v>51.81</v>
      </c>
      <c r="I19">
        <v>54.62</v>
      </c>
      <c r="J19">
        <v>54.92</v>
      </c>
      <c r="K19">
        <v>54.92</v>
      </c>
      <c r="L19">
        <v>55.27</v>
      </c>
      <c r="M19">
        <v>55.27</v>
      </c>
      <c r="N19">
        <v>55.27</v>
      </c>
      <c r="O19">
        <v>55.3</v>
      </c>
      <c r="P19">
        <v>49.5</v>
      </c>
      <c r="Q19">
        <v>49.5</v>
      </c>
    </row>
    <row r="20" spans="1:17" x14ac:dyDescent="0.3">
      <c r="A20" s="141" t="s">
        <v>123</v>
      </c>
      <c r="B20" cm="1">
        <f t="array" ref="B20:Q20">_xlfn._xlws.FILTER(Dashboard!$B20:$Y20,(Dashboard!$B$8:$Y$8&gt;=Date_Start)*(Dashboard!$B$8:$Y$8&lt;=Date_End),NA())</f>
        <v>47.2</v>
      </c>
      <c r="C20">
        <v>47.2</v>
      </c>
      <c r="D20">
        <v>47.76</v>
      </c>
      <c r="E20">
        <v>47.76</v>
      </c>
      <c r="F20">
        <v>47.76</v>
      </c>
      <c r="G20">
        <v>51.53</v>
      </c>
      <c r="H20">
        <v>51.81</v>
      </c>
      <c r="I20">
        <v>54.62</v>
      </c>
      <c r="J20">
        <v>54.92</v>
      </c>
      <c r="K20">
        <v>54.92</v>
      </c>
      <c r="L20">
        <v>55.27</v>
      </c>
      <c r="M20">
        <v>55.27</v>
      </c>
      <c r="N20">
        <v>55.27</v>
      </c>
      <c r="O20">
        <v>55.3</v>
      </c>
      <c r="P20">
        <v>55.3</v>
      </c>
      <c r="Q20">
        <v>55.3</v>
      </c>
    </row>
    <row r="22" spans="1:17" x14ac:dyDescent="0.3">
      <c r="A22" s="142" t="s">
        <v>124</v>
      </c>
      <c r="B22" cm="1">
        <f t="array" ref="B22:Q22">_xlfn._xlws.FILTER(Dashboard!$B22:$Y22,(Dashboard!$B$8:$Y$8&gt;=Date_Start)*(Dashboard!$B$8:$Y$8&lt;=Date_End),NA())</f>
        <v>193.2</v>
      </c>
      <c r="C22">
        <v>222.2</v>
      </c>
      <c r="D22">
        <v>251.85999999999999</v>
      </c>
      <c r="E22">
        <v>255.26</v>
      </c>
      <c r="F22">
        <v>275.26</v>
      </c>
      <c r="G22">
        <v>295.58000000000004</v>
      </c>
      <c r="H22">
        <v>296.56</v>
      </c>
      <c r="I22">
        <v>303.52</v>
      </c>
      <c r="J22">
        <v>324.40783518364424</v>
      </c>
      <c r="K22">
        <v>333.52000000000004</v>
      </c>
      <c r="L22">
        <v>358.06999999999994</v>
      </c>
      <c r="M22">
        <v>396.38531952708632</v>
      </c>
      <c r="N22">
        <v>423.41</v>
      </c>
      <c r="O22">
        <v>448.50000000000006</v>
      </c>
      <c r="P22">
        <v>476.9</v>
      </c>
      <c r="Q22">
        <v>501.18</v>
      </c>
    </row>
    <row r="24" spans="1:17" x14ac:dyDescent="0.3">
      <c r="A24" s="2" t="s">
        <v>125</v>
      </c>
      <c r="B24" cm="1">
        <f t="array" ref="B24:Q24">_xlfn._xlws.FILTER(Dashboard!$B24:$Y24,(Dashboard!$B$8:$Y$8&gt;=Date_Start)*(Dashboard!$B$8:$Y$8&lt;=Date_End),NA())</f>
        <v>0</v>
      </c>
      <c r="C24">
        <v>29</v>
      </c>
      <c r="D24">
        <v>29.659999999999997</v>
      </c>
      <c r="E24">
        <v>3.4000000000000057</v>
      </c>
      <c r="F24">
        <v>20</v>
      </c>
      <c r="G24">
        <v>20.32000000000005</v>
      </c>
      <c r="H24">
        <v>0.97999999999996135</v>
      </c>
      <c r="I24">
        <v>6.9599999999999795</v>
      </c>
      <c r="J24">
        <v>20.887835183644256</v>
      </c>
      <c r="K24">
        <v>9.1121648163558007</v>
      </c>
      <c r="L24">
        <v>24.549999999999898</v>
      </c>
      <c r="M24">
        <v>38.315319527086388</v>
      </c>
      <c r="N24">
        <v>27.024680472913701</v>
      </c>
      <c r="O24">
        <v>25.090000000000032</v>
      </c>
      <c r="P24">
        <v>28.39999999999992</v>
      </c>
      <c r="Q24">
        <v>24.28000000000003</v>
      </c>
    </row>
    <row r="26" spans="1:17" x14ac:dyDescent="0.3">
      <c r="A26" s="199" t="str">
        <f>A11</f>
        <v>R_Bike_Net_PBL</v>
      </c>
      <c r="B26" cm="1">
        <f t="array" ref="B26:Q26">_xlfn._xlws.FILTER(Dashboard!$B26:$Y26,(Dashboard!$B$8:$Y$8&gt;=Date_Start)*(Dashboard!$B$8:$Y$8&lt;=Date_End),NA())</f>
        <v>0</v>
      </c>
      <c r="C26">
        <v>2</v>
      </c>
      <c r="D26">
        <v>11.4</v>
      </c>
      <c r="E26">
        <v>15.5</v>
      </c>
      <c r="F26">
        <v>18.5</v>
      </c>
      <c r="G26">
        <v>21.35</v>
      </c>
      <c r="H26">
        <v>22.55</v>
      </c>
      <c r="I26">
        <v>22.5</v>
      </c>
      <c r="J26">
        <v>23.450679652365004</v>
      </c>
      <c r="K26">
        <v>24.3</v>
      </c>
      <c r="L26">
        <v>26.7</v>
      </c>
      <c r="M26">
        <v>35.220584989233799</v>
      </c>
      <c r="N26">
        <v>37.56</v>
      </c>
      <c r="O26">
        <v>47.2</v>
      </c>
      <c r="P26">
        <v>57.3</v>
      </c>
      <c r="Q26">
        <v>68.7</v>
      </c>
    </row>
    <row r="27" spans="1:17" x14ac:dyDescent="0.3">
      <c r="A27" s="199" t="str">
        <f>A14</f>
        <v>R_Bike_Net_NG</v>
      </c>
      <c r="B27" cm="1">
        <f t="array" ref="B27:Q27">_xlfn._xlws.FILTER(Dashboard!$B27:$Y27,(Dashboard!$B$8:$Y$8&gt;=Date_Start)*(Dashboard!$B$8:$Y$8&lt;=Date_End),NA())</f>
        <v>0</v>
      </c>
      <c r="C27">
        <v>0</v>
      </c>
      <c r="D27">
        <v>0</v>
      </c>
      <c r="E27">
        <v>1</v>
      </c>
      <c r="F27">
        <v>1.5</v>
      </c>
      <c r="G27">
        <v>1.5</v>
      </c>
      <c r="H27">
        <v>2.1</v>
      </c>
      <c r="I27">
        <v>3.2</v>
      </c>
      <c r="J27">
        <v>11.448654824888697</v>
      </c>
      <c r="K27">
        <v>14.4</v>
      </c>
      <c r="L27">
        <v>17.399999999999999</v>
      </c>
      <c r="M27">
        <v>26.8506288855971</v>
      </c>
      <c r="N27">
        <v>39.17</v>
      </c>
      <c r="O27">
        <v>57.2</v>
      </c>
      <c r="P27">
        <v>71.95</v>
      </c>
      <c r="Q27">
        <v>85.2</v>
      </c>
    </row>
    <row r="28" spans="1:17" x14ac:dyDescent="0.3">
      <c r="A28" s="199" t="str">
        <f>A20</f>
        <v>R_Bike_Net_Off_T</v>
      </c>
      <c r="B28" cm="1">
        <f t="array" ref="B28:Q28">_xlfn._xlws.FILTER(Dashboard!$B28:$Y28,(Dashboard!$B$8:$Y$8&gt;=Date_Start)*(Dashboard!$B$8:$Y$8&lt;=Date_End),NA())</f>
        <v>47.2</v>
      </c>
      <c r="C28">
        <v>47.2</v>
      </c>
      <c r="D28">
        <v>47.76</v>
      </c>
      <c r="E28">
        <v>47.76</v>
      </c>
      <c r="F28">
        <v>47.76</v>
      </c>
      <c r="G28">
        <v>51.53</v>
      </c>
      <c r="H28">
        <v>51.81</v>
      </c>
      <c r="I28">
        <v>54.62</v>
      </c>
      <c r="J28">
        <v>54.92</v>
      </c>
      <c r="K28">
        <v>54.92</v>
      </c>
      <c r="L28">
        <v>55.27</v>
      </c>
      <c r="M28">
        <v>55.27</v>
      </c>
      <c r="N28">
        <v>55.27</v>
      </c>
      <c r="O28">
        <v>55.3</v>
      </c>
      <c r="P28">
        <v>55.3</v>
      </c>
      <c r="Q28">
        <v>55.3</v>
      </c>
    </row>
    <row r="29" spans="1:17" x14ac:dyDescent="0.3">
      <c r="A29" s="140" t="s">
        <v>126</v>
      </c>
      <c r="B29" cm="1">
        <f t="array" ref="B29:Q29">_xlfn._xlws.FILTER(Dashboard!$B29:$Y29,(Dashboard!$B$8:$Y$8&gt;=Date_Start)*(Dashboard!$B$8:$Y$8&lt;=Date_End),NA())</f>
        <v>146</v>
      </c>
      <c r="C29">
        <v>173</v>
      </c>
      <c r="D29">
        <v>192.7</v>
      </c>
      <c r="E29">
        <v>191</v>
      </c>
      <c r="F29">
        <v>207.5</v>
      </c>
      <c r="G29">
        <v>221.20000000000005</v>
      </c>
      <c r="H29">
        <v>220.1</v>
      </c>
      <c r="I29">
        <v>223.2</v>
      </c>
      <c r="J29">
        <v>234.58850070639053</v>
      </c>
      <c r="K29">
        <v>239.90000000000003</v>
      </c>
      <c r="L29">
        <v>258.69999999999993</v>
      </c>
      <c r="M29">
        <v>279.04410565225544</v>
      </c>
      <c r="N29">
        <v>291.41000000000003</v>
      </c>
      <c r="O29">
        <v>288.80000000000007</v>
      </c>
      <c r="P29">
        <v>292.34999999999997</v>
      </c>
      <c r="Q29">
        <v>291.98</v>
      </c>
    </row>
    <row r="32" spans="1:17" x14ac:dyDescent="0.3">
      <c r="A32" s="140" t="s">
        <v>127</v>
      </c>
      <c r="B32" cm="1">
        <f t="array" ref="B32:Q32">_xlfn._xlws.FILTER(Dashboard!$B32:$Y32,(Dashboard!$B$8:$Y$8&gt;=Date_Start)*(Dashboard!$B$8:$Y$8&lt;=Date_End),NA())</f>
        <v>47.2</v>
      </c>
      <c r="C32">
        <v>49.2</v>
      </c>
      <c r="D32">
        <v>59.16</v>
      </c>
      <c r="E32">
        <v>64.259999999999991</v>
      </c>
      <c r="F32">
        <v>67.759999999999991</v>
      </c>
      <c r="G32">
        <v>74.38</v>
      </c>
      <c r="H32">
        <v>76.460000000000008</v>
      </c>
      <c r="I32">
        <v>80.319999999999993</v>
      </c>
      <c r="J32">
        <v>89.819334477253705</v>
      </c>
      <c r="K32">
        <v>93.62</v>
      </c>
      <c r="L32">
        <v>99.37</v>
      </c>
      <c r="M32">
        <v>117.34121387483091</v>
      </c>
      <c r="N32">
        <v>132</v>
      </c>
      <c r="O32">
        <v>159.69999999999999</v>
      </c>
      <c r="P32">
        <v>184.55</v>
      </c>
      <c r="Q32">
        <v>209.2</v>
      </c>
    </row>
    <row r="33" spans="1:17" x14ac:dyDescent="0.3">
      <c r="A33" s="199" t="str">
        <f>A29</f>
        <v>R_Bike_Net_Other</v>
      </c>
      <c r="B33" cm="1">
        <f t="array" ref="B33:Q33">_xlfn._xlws.FILTER(Dashboard!$B33:$Y33,(Dashboard!$B$8:$Y$8&gt;=Date_Start)*(Dashboard!$B$8:$Y$8&lt;=Date_End),NA())</f>
        <v>146</v>
      </c>
      <c r="C33">
        <v>173</v>
      </c>
      <c r="D33">
        <v>192.7</v>
      </c>
      <c r="E33">
        <v>191</v>
      </c>
      <c r="F33">
        <v>207.5</v>
      </c>
      <c r="G33">
        <v>221.20000000000005</v>
      </c>
      <c r="H33">
        <v>220.1</v>
      </c>
      <c r="I33">
        <v>223.2</v>
      </c>
      <c r="J33">
        <v>234.58850070639053</v>
      </c>
      <c r="K33">
        <v>239.90000000000003</v>
      </c>
      <c r="L33">
        <v>258.69999999999993</v>
      </c>
      <c r="M33">
        <v>279.04410565225544</v>
      </c>
      <c r="N33">
        <v>291.41000000000003</v>
      </c>
      <c r="O33">
        <v>288.80000000000007</v>
      </c>
      <c r="P33">
        <v>292.34999999999997</v>
      </c>
      <c r="Q33">
        <v>291.98</v>
      </c>
    </row>
    <row r="35" spans="1:17" x14ac:dyDescent="0.3">
      <c r="A35" s="142" t="s">
        <v>128</v>
      </c>
      <c r="B35" cm="1">
        <f t="array" ref="B35:Q35">_xlfn._xlws.FILTER(Dashboard!$B35:$Y35,(Dashboard!$B$8:$Y$8&gt;=Date_Start)*(Dashboard!$B$8:$Y$8&lt;=Date_End),NA())</f>
        <v>0.24430641821946172</v>
      </c>
      <c r="C35">
        <v>0.22142214221422143</v>
      </c>
      <c r="D35">
        <v>0.23489240053998253</v>
      </c>
      <c r="E35">
        <v>0.25174332053592413</v>
      </c>
      <c r="F35">
        <v>0.2461672600450483</v>
      </c>
      <c r="G35">
        <v>0.25164084173489404</v>
      </c>
      <c r="H35">
        <v>0.25782303749662805</v>
      </c>
      <c r="I35">
        <v>0.26462836056931999</v>
      </c>
      <c r="J35">
        <v>0.27687165578601952</v>
      </c>
      <c r="K35">
        <v>0.28070280642840006</v>
      </c>
      <c r="L35">
        <v>0.27751556958136686</v>
      </c>
      <c r="M35">
        <v>0.29602815264406529</v>
      </c>
      <c r="N35">
        <v>0.31175456413405445</v>
      </c>
      <c r="O35">
        <v>0.35607580824972124</v>
      </c>
      <c r="P35">
        <v>0.38697840218075075</v>
      </c>
      <c r="Q35">
        <v>0.41741490083403165</v>
      </c>
    </row>
    <row r="38" spans="1:17" x14ac:dyDescent="0.3">
      <c r="A38" s="145" t="s">
        <v>129</v>
      </c>
    </row>
    <row r="39" spans="1:17" x14ac:dyDescent="0.3">
      <c r="A39" s="140" t="s">
        <v>130</v>
      </c>
      <c r="B39" cm="1">
        <f t="array" ref="B39:Q39">_xlfn._xlws.FILTER(Dashboard!$B48:$Y48,(Dashboard!$B$8:$Y$8&gt;=Date_Start)*(Dashboard!$B$8:$Y$8&lt;=Date_End),NA())</f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2.36</v>
      </c>
      <c r="K39">
        <v>1.69</v>
      </c>
      <c r="L39">
        <v>0</v>
      </c>
      <c r="M39">
        <v>0</v>
      </c>
      <c r="N39">
        <v>2.64</v>
      </c>
      <c r="O39">
        <v>17.559999999999999</v>
      </c>
      <c r="P39">
        <v>3.5</v>
      </c>
      <c r="Q39">
        <v>0.98</v>
      </c>
    </row>
    <row r="40" spans="1:17" x14ac:dyDescent="0.3">
      <c r="A40" s="140" t="s">
        <v>131</v>
      </c>
      <c r="B40" cm="1">
        <f t="array" ref="B40:Q40">_xlfn._xlws.FILTER(Dashboard!$B49:$Y49,(Dashboard!$B$8:$Y$8&gt;=Date_Start)*(Dashboard!$B$8:$Y$8&lt;=Date_End),NA())</f>
        <v>0</v>
      </c>
      <c r="C40">
        <v>2</v>
      </c>
      <c r="D40">
        <v>9.25</v>
      </c>
      <c r="E40">
        <v>4</v>
      </c>
      <c r="F40">
        <v>3.25</v>
      </c>
      <c r="G40">
        <v>3.35</v>
      </c>
      <c r="H40">
        <v>1.2</v>
      </c>
      <c r="I40">
        <v>1.2</v>
      </c>
      <c r="J40">
        <v>1</v>
      </c>
      <c r="K40">
        <v>0.76</v>
      </c>
      <c r="L40">
        <v>2.4</v>
      </c>
      <c r="M40">
        <v>8.5</v>
      </c>
      <c r="N40">
        <v>2.36</v>
      </c>
      <c r="O40">
        <v>9.49</v>
      </c>
      <c r="P40">
        <v>11.7</v>
      </c>
      <c r="Q40">
        <v>11.41</v>
      </c>
    </row>
    <row r="41" spans="1:17" x14ac:dyDescent="0.3">
      <c r="A41" s="140" t="s">
        <v>132</v>
      </c>
      <c r="B41" cm="1">
        <f t="array" ref="B41:Q41">_xlfn._xlws.FILTER(Dashboard!$B50:$Y50,(Dashboard!$B$8:$Y$8&gt;=Date_Start)*(Dashboard!$B$8:$Y$8&lt;=Date_End),NA())</f>
        <v>0</v>
      </c>
      <c r="C41">
        <v>1</v>
      </c>
      <c r="D41">
        <v>17.649999999999999</v>
      </c>
      <c r="E41">
        <v>15</v>
      </c>
      <c r="F41">
        <v>33.25</v>
      </c>
      <c r="G41">
        <v>20</v>
      </c>
      <c r="H41">
        <v>1.8</v>
      </c>
      <c r="I41">
        <v>8.9</v>
      </c>
      <c r="J41">
        <v>10.82</v>
      </c>
      <c r="K41">
        <v>2.2999999999999998</v>
      </c>
      <c r="L41">
        <v>3</v>
      </c>
      <c r="M41">
        <v>3.9099999999999997</v>
      </c>
      <c r="N41">
        <v>3.08</v>
      </c>
      <c r="O41">
        <v>0.15</v>
      </c>
      <c r="P41">
        <v>2.4</v>
      </c>
      <c r="Q41">
        <v>0.76</v>
      </c>
    </row>
    <row r="42" spans="1:17" x14ac:dyDescent="0.3">
      <c r="A42" s="140" t="s">
        <v>133</v>
      </c>
      <c r="B42" cm="1">
        <f t="array" ref="B42:Q42">_xlfn._xlws.FILTER(Dashboard!$B51:$Y51,(Dashboard!$B$8:$Y$8&gt;=Date_Start)*(Dashboard!$B$8:$Y$8&lt;=Date_End),NA())</f>
        <v>0</v>
      </c>
      <c r="C42">
        <v>17</v>
      </c>
      <c r="D42">
        <v>1.2</v>
      </c>
      <c r="E42">
        <v>2.25</v>
      </c>
      <c r="F42">
        <v>2.5</v>
      </c>
      <c r="G42">
        <v>0.5</v>
      </c>
      <c r="H42">
        <v>1.3</v>
      </c>
      <c r="I42">
        <v>3.3</v>
      </c>
      <c r="J42">
        <v>5.63</v>
      </c>
      <c r="K42">
        <v>4.8</v>
      </c>
      <c r="L42">
        <v>15.3</v>
      </c>
      <c r="M42">
        <v>16.34</v>
      </c>
      <c r="N42">
        <v>13.7</v>
      </c>
      <c r="O42">
        <v>5.53</v>
      </c>
      <c r="P42">
        <v>12.15</v>
      </c>
      <c r="Q42">
        <v>2.5</v>
      </c>
    </row>
    <row r="43" spans="1:17" x14ac:dyDescent="0.3">
      <c r="A43" s="140" t="s">
        <v>134</v>
      </c>
      <c r="B43" cm="1">
        <f t="array" ref="B43:Q43">_xlfn._xlws.FILTER(Dashboard!$B52:$Y52,(Dashboard!$B$8:$Y$8&gt;=Date_Start)*(Dashboard!$B$8:$Y$8&lt;=Date_End),NA())</f>
        <v>0</v>
      </c>
      <c r="C43">
        <v>0</v>
      </c>
      <c r="D43">
        <v>0</v>
      </c>
      <c r="E43">
        <v>1</v>
      </c>
      <c r="F43">
        <v>0.5</v>
      </c>
      <c r="G43">
        <v>0</v>
      </c>
      <c r="H43">
        <v>0.75</v>
      </c>
      <c r="I43">
        <v>1.1000000000000001</v>
      </c>
      <c r="J43">
        <v>7.92</v>
      </c>
      <c r="K43">
        <v>3</v>
      </c>
      <c r="L43">
        <v>3</v>
      </c>
      <c r="M43">
        <v>9.18</v>
      </c>
      <c r="N43">
        <v>12.3</v>
      </c>
      <c r="O43">
        <v>17.54</v>
      </c>
      <c r="P43">
        <v>15.25</v>
      </c>
      <c r="Q43">
        <v>13.67</v>
      </c>
    </row>
    <row r="44" spans="1:17" x14ac:dyDescent="0.3">
      <c r="A44" s="140" t="s">
        <v>135</v>
      </c>
      <c r="B44" cm="1">
        <f t="array" ref="B44:Q44">_xlfn._xlws.FILTER(Dashboard!$B53:$Y53,(Dashboard!$B$8:$Y$8&gt;=Date_Start)*(Dashboard!$B$8:$Y$8&lt;=Date_End),NA())</f>
        <v>0</v>
      </c>
      <c r="C44">
        <v>9</v>
      </c>
      <c r="D44">
        <v>0.85</v>
      </c>
      <c r="E44">
        <v>0</v>
      </c>
      <c r="F44">
        <v>0</v>
      </c>
      <c r="G44">
        <v>1.6</v>
      </c>
      <c r="H44">
        <v>0</v>
      </c>
      <c r="I44">
        <v>3.7</v>
      </c>
      <c r="J44">
        <v>2.06</v>
      </c>
      <c r="K44">
        <v>0.5</v>
      </c>
      <c r="L44">
        <v>5.3</v>
      </c>
      <c r="M44">
        <v>6.3</v>
      </c>
      <c r="N44">
        <v>1</v>
      </c>
      <c r="O44">
        <v>0.12</v>
      </c>
      <c r="P44">
        <v>0.6</v>
      </c>
      <c r="Q44">
        <v>0.57999999999999996</v>
      </c>
    </row>
    <row r="45" spans="1:17" x14ac:dyDescent="0.3">
      <c r="A45" s="141" t="s">
        <v>136</v>
      </c>
      <c r="B45" cm="1">
        <f t="array" ref="B45:Q45">_xlfn._xlws.FILTER(Dashboard!$B54:$Y54,(Dashboard!$B$8:$Y$8&gt;=Date_Start)*(Dashboard!$B$8:$Y$8&lt;=Date_End),NA())</f>
        <v>0</v>
      </c>
      <c r="C45">
        <v>29</v>
      </c>
      <c r="D45">
        <v>28.95</v>
      </c>
      <c r="E45">
        <v>22.25</v>
      </c>
      <c r="F45">
        <v>39.5</v>
      </c>
      <c r="G45">
        <v>25.450000000000003</v>
      </c>
      <c r="H45">
        <v>5.05</v>
      </c>
      <c r="I45">
        <v>18.2</v>
      </c>
      <c r="J45">
        <v>29.789999999999996</v>
      </c>
      <c r="K45">
        <v>13.05</v>
      </c>
      <c r="L45">
        <v>29.000000000000004</v>
      </c>
      <c r="M45">
        <v>44.23</v>
      </c>
      <c r="N45">
        <v>35.08</v>
      </c>
      <c r="O45">
        <v>50.389999999999993</v>
      </c>
      <c r="P45">
        <v>45.6</v>
      </c>
      <c r="Q45">
        <v>29.9</v>
      </c>
    </row>
    <row r="47" spans="1:17" x14ac:dyDescent="0.3">
      <c r="A47" s="140" t="s">
        <v>137</v>
      </c>
      <c r="B47" cm="1">
        <f t="array" ref="B47:Q47">_xlfn._xlws.FILTER(Dashboard!$B56:$Y56,(Dashboard!$B$8:$Y$8&gt;=Date_Start)*(Dashboard!$B$8:$Y$8&lt;=Date_End),NA())</f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s="163" t="s">
        <v>138</v>
      </c>
      <c r="B48" cm="1">
        <f t="array" ref="B48:Q48">_xlfn._xlws.FILTER(Dashboard!$B57:$Y57,(Dashboard!$B$8:$Y$8&gt;=Date_Start)*(Dashboard!$B$8:$Y$8&lt;=Date_End),NA())</f>
        <v>0</v>
      </c>
      <c r="C48">
        <v>0</v>
      </c>
      <c r="D48">
        <v>0.56000000000000005</v>
      </c>
      <c r="E48">
        <v>0</v>
      </c>
      <c r="F48">
        <v>0</v>
      </c>
      <c r="G48">
        <v>3.7700000000000031</v>
      </c>
      <c r="H48">
        <v>0.28000000000000003</v>
      </c>
      <c r="I48">
        <v>2.8099999999999952</v>
      </c>
      <c r="J48">
        <v>0.3</v>
      </c>
      <c r="K48">
        <v>0</v>
      </c>
      <c r="L48">
        <v>0.35</v>
      </c>
      <c r="M48">
        <v>0</v>
      </c>
      <c r="N48">
        <v>0</v>
      </c>
      <c r="O48">
        <v>0.03</v>
      </c>
      <c r="P48">
        <v>0</v>
      </c>
      <c r="Q48">
        <v>0</v>
      </c>
    </row>
    <row r="49" spans="1:17" x14ac:dyDescent="0.3">
      <c r="A49" s="141" t="s">
        <v>139</v>
      </c>
      <c r="B49" cm="1">
        <f t="array" ref="B49:Q49">_xlfn._xlws.FILTER(Dashboard!$B58:$Y58,(Dashboard!$B$8:$Y$8&gt;=Date_Start)*(Dashboard!$B$8:$Y$8&lt;=Date_End),NA())</f>
        <v>0</v>
      </c>
      <c r="C49">
        <v>0</v>
      </c>
      <c r="D49">
        <v>0.56000000000000005</v>
      </c>
      <c r="E49">
        <v>0</v>
      </c>
      <c r="F49">
        <v>0</v>
      </c>
      <c r="G49">
        <v>3.7700000000000031</v>
      </c>
      <c r="H49">
        <v>0.28000000000000003</v>
      </c>
      <c r="I49">
        <v>2.8099999999999952</v>
      </c>
      <c r="J49">
        <v>0.3</v>
      </c>
      <c r="K49">
        <v>0</v>
      </c>
      <c r="L49">
        <v>0.35</v>
      </c>
      <c r="M49">
        <v>0</v>
      </c>
      <c r="N49">
        <v>0</v>
      </c>
      <c r="O49">
        <v>0.03</v>
      </c>
      <c r="P49">
        <v>0</v>
      </c>
      <c r="Q49">
        <v>0</v>
      </c>
    </row>
    <row r="51" spans="1:17" x14ac:dyDescent="0.3">
      <c r="A51" s="142" t="s">
        <v>140</v>
      </c>
      <c r="B51" cm="1">
        <f t="array" ref="B51:Q51">_xlfn._xlws.FILTER(Dashboard!$B60:$Y60,(Dashboard!$B$8:$Y$8&gt;=Date_Start)*(Dashboard!$B$8:$Y$8&lt;=Date_End),NA())</f>
        <v>0</v>
      </c>
      <c r="C51">
        <v>29</v>
      </c>
      <c r="D51">
        <v>29.509999999999998</v>
      </c>
      <c r="E51">
        <v>22.25</v>
      </c>
      <c r="F51">
        <v>39.5</v>
      </c>
      <c r="G51">
        <v>29.220000000000006</v>
      </c>
      <c r="H51">
        <v>5.33</v>
      </c>
      <c r="I51">
        <v>21.009999999999994</v>
      </c>
      <c r="J51">
        <v>30.089999999999996</v>
      </c>
      <c r="K51">
        <v>13.05</v>
      </c>
      <c r="L51">
        <v>29.350000000000005</v>
      </c>
      <c r="M51">
        <v>44.23</v>
      </c>
      <c r="N51">
        <v>35.08</v>
      </c>
      <c r="O51">
        <v>50.419999999999995</v>
      </c>
      <c r="P51">
        <v>45.6</v>
      </c>
      <c r="Q51">
        <v>29.9</v>
      </c>
    </row>
    <row r="54" spans="1:17" x14ac:dyDescent="0.3">
      <c r="A54" s="140" t="s">
        <v>141</v>
      </c>
      <c r="B54" cm="1">
        <f t="array" ref="B54:Q54">_xlfn._xlws.FILTER(Dashboard!$B63:$Y63,(Dashboard!$B$8:$Y$8&gt;=Date_Start)*(Dashboard!$B$8:$Y$8&lt;=Date_End),NA())</f>
        <v>0</v>
      </c>
      <c r="C54">
        <v>2</v>
      </c>
      <c r="D54">
        <v>9.25</v>
      </c>
      <c r="E54">
        <v>4</v>
      </c>
      <c r="F54">
        <v>3.25</v>
      </c>
      <c r="G54">
        <v>3.35</v>
      </c>
      <c r="H54">
        <v>1.2</v>
      </c>
      <c r="I54">
        <v>1.2</v>
      </c>
      <c r="J54">
        <v>3.36</v>
      </c>
      <c r="K54">
        <v>2.4500000000000002</v>
      </c>
      <c r="L54">
        <v>2.4</v>
      </c>
      <c r="M54">
        <v>8.5</v>
      </c>
      <c r="N54">
        <v>5</v>
      </c>
      <c r="O54">
        <v>27.049999999999997</v>
      </c>
      <c r="P54">
        <v>15.2</v>
      </c>
      <c r="Q54">
        <v>12.39</v>
      </c>
    </row>
    <row r="55" spans="1:17" x14ac:dyDescent="0.3">
      <c r="A55" s="199" t="str">
        <f>A43</f>
        <v>R_Bike_Install_NG</v>
      </c>
      <c r="B55" cm="1">
        <f t="array" ref="B55:Q55">_xlfn._xlws.FILTER(Dashboard!$B64:$Y64,(Dashboard!$B$8:$Y$8&gt;=Date_Start)*(Dashboard!$B$8:$Y$8&lt;=Date_End),NA())</f>
        <v>0</v>
      </c>
      <c r="C55">
        <v>0</v>
      </c>
      <c r="D55">
        <v>0</v>
      </c>
      <c r="E55">
        <v>1</v>
      </c>
      <c r="F55">
        <v>0.5</v>
      </c>
      <c r="G55">
        <v>0</v>
      </c>
      <c r="H55">
        <v>0.75</v>
      </c>
      <c r="I55">
        <v>1.1000000000000001</v>
      </c>
      <c r="J55">
        <v>7.92</v>
      </c>
      <c r="K55">
        <v>3</v>
      </c>
      <c r="L55">
        <v>3</v>
      </c>
      <c r="M55">
        <v>9.18</v>
      </c>
      <c r="N55">
        <v>12.3</v>
      </c>
      <c r="O55">
        <v>17.54</v>
      </c>
      <c r="P55">
        <v>15.25</v>
      </c>
      <c r="Q55">
        <v>13.67</v>
      </c>
    </row>
    <row r="56" spans="1:17" x14ac:dyDescent="0.3">
      <c r="A56" s="199" t="str">
        <f>A49</f>
        <v>R_Bike_Install_Off_T</v>
      </c>
      <c r="B56" cm="1">
        <f t="array" ref="B56:Q56">_xlfn._xlws.FILTER(Dashboard!$B65:$Y65,(Dashboard!$B$8:$Y$8&gt;=Date_Start)*(Dashboard!$B$8:$Y$8&lt;=Date_End),NA())</f>
        <v>0</v>
      </c>
      <c r="C56">
        <v>0</v>
      </c>
      <c r="D56">
        <v>0.56000000000000005</v>
      </c>
      <c r="E56">
        <v>0</v>
      </c>
      <c r="F56">
        <v>0</v>
      </c>
      <c r="G56">
        <v>3.7700000000000031</v>
      </c>
      <c r="H56">
        <v>0.28000000000000003</v>
      </c>
      <c r="I56">
        <v>2.8099999999999952</v>
      </c>
      <c r="J56">
        <v>0.3</v>
      </c>
      <c r="K56">
        <v>0</v>
      </c>
      <c r="L56">
        <v>0.35</v>
      </c>
      <c r="M56">
        <v>0</v>
      </c>
      <c r="N56">
        <v>0</v>
      </c>
      <c r="O56">
        <v>0.03</v>
      </c>
      <c r="P56">
        <v>0</v>
      </c>
      <c r="Q56">
        <v>0</v>
      </c>
    </row>
    <row r="57" spans="1:17" x14ac:dyDescent="0.3">
      <c r="A57" s="140" t="s">
        <v>142</v>
      </c>
      <c r="B57" cm="1">
        <f t="array" ref="B57:Q57">_xlfn._xlws.FILTER(Dashboard!$B66:$Y66,(Dashboard!$B$8:$Y$8&gt;=Date_Start)*(Dashboard!$B$8:$Y$8&lt;=Date_End),NA())</f>
        <v>0</v>
      </c>
      <c r="C57">
        <v>27</v>
      </c>
      <c r="D57">
        <v>19.699999999999996</v>
      </c>
      <c r="E57">
        <v>17.25</v>
      </c>
      <c r="F57">
        <v>35.75</v>
      </c>
      <c r="G57">
        <v>22.1</v>
      </c>
      <c r="H57">
        <v>3.1</v>
      </c>
      <c r="I57">
        <v>15.899999999999999</v>
      </c>
      <c r="J57">
        <v>18.509999999999998</v>
      </c>
      <c r="K57">
        <v>7.6000000000000005</v>
      </c>
      <c r="L57">
        <v>23.600000000000005</v>
      </c>
      <c r="M57">
        <v>26.549999999999997</v>
      </c>
      <c r="N57">
        <v>17.779999999999998</v>
      </c>
      <c r="O57">
        <v>5.7999999999999972</v>
      </c>
      <c r="P57">
        <v>15.150000000000002</v>
      </c>
      <c r="Q57">
        <v>3.8399999999999963</v>
      </c>
    </row>
    <row r="60" spans="1:17" x14ac:dyDescent="0.3">
      <c r="A60" s="140" t="s">
        <v>143</v>
      </c>
      <c r="B60" cm="1">
        <f t="array" ref="B60:Q60">_xlfn._xlws.FILTER(Dashboard!$B69:$Y69,(Dashboard!$B$8:$Y$8&gt;=Date_Start)*(Dashboard!$B$8:$Y$8&lt;=Date_End),NA())</f>
        <v>0</v>
      </c>
      <c r="C60">
        <v>2</v>
      </c>
      <c r="D60">
        <v>9.81</v>
      </c>
      <c r="E60">
        <v>5</v>
      </c>
      <c r="F60">
        <v>3.75</v>
      </c>
      <c r="G60">
        <v>7.1200000000000028</v>
      </c>
      <c r="H60">
        <v>2.23</v>
      </c>
      <c r="I60">
        <v>5.109999999999995</v>
      </c>
      <c r="J60">
        <v>11.58</v>
      </c>
      <c r="K60">
        <v>5.45</v>
      </c>
      <c r="L60">
        <v>5.75</v>
      </c>
      <c r="M60">
        <v>17.68</v>
      </c>
      <c r="N60">
        <v>17.3</v>
      </c>
      <c r="O60">
        <v>44.62</v>
      </c>
      <c r="P60">
        <v>30.45</v>
      </c>
      <c r="Q60">
        <v>26.060000000000002</v>
      </c>
    </row>
    <row r="61" spans="1:17" x14ac:dyDescent="0.3">
      <c r="A61" s="199" t="str">
        <f>A57</f>
        <v>R_Bike_Install_Other</v>
      </c>
      <c r="B61" cm="1">
        <f t="array" ref="B61:Q61">_xlfn._xlws.FILTER(Dashboard!$B70:$Y70,(Dashboard!$B$8:$Y$8&gt;=Date_Start)*(Dashboard!$B$8:$Y$8&lt;=Date_End),NA())</f>
        <v>0</v>
      </c>
      <c r="C61">
        <v>27</v>
      </c>
      <c r="D61">
        <v>19.699999999999996</v>
      </c>
      <c r="E61">
        <v>17.25</v>
      </c>
      <c r="F61">
        <v>35.75</v>
      </c>
      <c r="G61">
        <v>22.1</v>
      </c>
      <c r="H61">
        <v>3.1</v>
      </c>
      <c r="I61">
        <v>15.899999999999999</v>
      </c>
      <c r="J61">
        <v>18.509999999999998</v>
      </c>
      <c r="K61">
        <v>7.6000000000000005</v>
      </c>
      <c r="L61">
        <v>23.600000000000005</v>
      </c>
      <c r="M61">
        <v>26.549999999999997</v>
      </c>
      <c r="N61">
        <v>17.779999999999998</v>
      </c>
      <c r="O61">
        <v>5.7999999999999972</v>
      </c>
      <c r="P61">
        <v>15.150000000000002</v>
      </c>
      <c r="Q61">
        <v>3.8399999999999963</v>
      </c>
    </row>
    <row r="63" spans="1:17" x14ac:dyDescent="0.3">
      <c r="A63" s="142" t="s">
        <v>144</v>
      </c>
      <c r="B63" cm="1">
        <f t="array" ref="B63:Q63">_xlfn._xlws.FILTER(Dashboard!$B72:$Y72,(Dashboard!$B$8:$Y$8&gt;=Date_Start)*(Dashboard!$B$8:$Y$8&lt;=Date_End),NA())</f>
        <v>0</v>
      </c>
      <c r="C63">
        <v>6.8965517241379309E-2</v>
      </c>
      <c r="D63">
        <v>0.33242968485259239</v>
      </c>
      <c r="E63">
        <v>0.2247191011235955</v>
      </c>
      <c r="F63">
        <v>9.49367088607595E-2</v>
      </c>
      <c r="G63">
        <v>0.24366872005475707</v>
      </c>
      <c r="H63">
        <v>0.41838649155722324</v>
      </c>
      <c r="I63">
        <v>0.2432175154688242</v>
      </c>
      <c r="J63">
        <v>0.38484546360917254</v>
      </c>
      <c r="K63">
        <v>0.41762452107279691</v>
      </c>
      <c r="L63">
        <v>0.19591141396933556</v>
      </c>
      <c r="M63">
        <v>0.3997286909337554</v>
      </c>
      <c r="N63">
        <v>0.4931584948688712</v>
      </c>
      <c r="O63">
        <v>0.88496628322094406</v>
      </c>
      <c r="P63">
        <v>0.66776315789473684</v>
      </c>
      <c r="Q63">
        <v>0.8715719063545152</v>
      </c>
    </row>
    <row r="68" spans="1:17" x14ac:dyDescent="0.3">
      <c r="A68" s="143" t="s">
        <v>36</v>
      </c>
    </row>
    <row r="69" spans="1:17" x14ac:dyDescent="0.3">
      <c r="A69" s="145" t="s">
        <v>37</v>
      </c>
    </row>
    <row r="70" spans="1:17" x14ac:dyDescent="0.3">
      <c r="A70" s="140" t="s">
        <v>38</v>
      </c>
      <c r="B70" cm="1">
        <f t="array" ref="B70:Q70">_xlfn._xlws.FILTER(Dashboard!$B109:$Y109,(Dashboard!$B$8:$Y$8&gt;=Date_Start)*(Dashboard!$B$8:$Y$8&lt;=Date_End),NA())</f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0.99</v>
      </c>
    </row>
    <row r="71" spans="1:17" x14ac:dyDescent="0.3">
      <c r="A71" s="140" t="s">
        <v>39</v>
      </c>
      <c r="B71" cm="1">
        <f t="array" ref="B71:Q71">_xlfn._xlws.FILTER(Dashboard!$B110:$Y110,(Dashboard!$B$8:$Y$8&gt;=Date_Start)*(Dashboard!$B$8:$Y$8&lt;=Date_End),NA())</f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1.5799999999999998</v>
      </c>
    </row>
    <row r="72" spans="1:17" x14ac:dyDescent="0.3">
      <c r="A72" s="141"/>
      <c r="B72" cm="1">
        <f t="array" ref="B72:Q72">_xlfn._xlws.FILTER(Dashboard!$B111:$Y111,(Dashboard!$B$8:$Y$8&gt;=Date_Start)*(Dashboard!$B$8:$Y$8&lt;=Date_End),NA())</f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B73" cm="1">
        <f t="array" ref="B73:Q73">_xlfn._xlws.FILTER(Dashboard!$B112:$Y112,(Dashboard!$B$8:$Y$8&gt;=Date_Start)*(Dashboard!$B$8:$Y$8&lt;=Date_End),NA())</f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s="145" t="s">
        <v>40</v>
      </c>
      <c r="B74" cm="1">
        <f t="array" ref="B74:Q74">_xlfn._xlws.FILTER(Dashboard!$B113:$Y113,(Dashboard!$B$8:$Y$8&gt;=Date_Start)*(Dashboard!$B$8:$Y$8&lt;=Date_End),NA())</f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s="140" t="s">
        <v>41</v>
      </c>
      <c r="B75" cm="1">
        <f t="array" ref="B75:Q75">_xlfn._xlws.FILTER(Dashboard!$B114:$Y114,(Dashboard!$B$8:$Y$8&gt;=Date_Start)*(Dashboard!$B$8:$Y$8&lt;=Date_End),NA())</f>
        <v>0</v>
      </c>
      <c r="C75">
        <v>0</v>
      </c>
      <c r="D75">
        <v>0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2</v>
      </c>
      <c r="M75">
        <v>2</v>
      </c>
      <c r="N75">
        <v>17</v>
      </c>
      <c r="O75">
        <v>28</v>
      </c>
      <c r="P75">
        <v>57</v>
      </c>
      <c r="Q75">
        <v>54</v>
      </c>
    </row>
    <row r="76" spans="1:17" x14ac:dyDescent="0.3">
      <c r="A76" s="141"/>
      <c r="B76" cm="1">
        <f t="array" ref="B76:Q76">_xlfn._xlws.FILTER(Dashboard!$B115:$Y115,(Dashboard!$B$8:$Y$8&gt;=Date_Start)*(Dashboard!$B$8:$Y$8&lt;=Date_End),NA())</f>
        <v>0</v>
      </c>
      <c r="C76">
        <v>0</v>
      </c>
      <c r="D76">
        <v>0</v>
      </c>
      <c r="E76">
        <v>0</v>
      </c>
      <c r="F76">
        <v>0</v>
      </c>
      <c r="G76">
        <v>9</v>
      </c>
      <c r="H76">
        <v>9</v>
      </c>
      <c r="I76">
        <v>9</v>
      </c>
      <c r="J76">
        <v>9</v>
      </c>
      <c r="K76">
        <v>9</v>
      </c>
      <c r="L76">
        <v>11</v>
      </c>
      <c r="M76">
        <v>13</v>
      </c>
      <c r="N76">
        <v>30</v>
      </c>
      <c r="O76">
        <v>58</v>
      </c>
      <c r="P76">
        <v>115</v>
      </c>
      <c r="Q76">
        <v>169</v>
      </c>
    </row>
    <row r="77" spans="1:17" x14ac:dyDescent="0.3">
      <c r="B77" cm="1">
        <f t="array" ref="B77:Q77">_xlfn._xlws.FILTER(Dashboard!$B116:$Y116,(Dashboard!$B$8:$Y$8&gt;=Date_Start)*(Dashboard!$B$8:$Y$8&lt;=Date_End),NA())</f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B78" cm="1">
        <f t="array" ref="B78:Q78">_xlfn._xlws.FILTER(Dashboard!$B117:$Y117,(Dashboard!$B$8:$Y$8&gt;=Date_Start)*(Dashboard!$B$8:$Y$8&lt;=Date_End),NA())</f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B79" cm="1">
        <f t="array" ref="B79:Q79">_xlfn._xlws.FILTER(Dashboard!$B118:$Y118,(Dashboard!$B$8:$Y$8&gt;=Date_Start)*(Dashboard!$B$8:$Y$8&lt;=Date_End),NA())</f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s="143" t="s">
        <v>80</v>
      </c>
      <c r="B80" cm="1">
        <f t="array" ref="B80:Q80">_xlfn._xlws.FILTER(Dashboard!$B212:$Y212,(Dashboard!$B$8:$Y$8&gt;=Date_Start)*(Dashboard!$B$8:$Y$8&lt;=Date_End),NA())</f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s="145" t="s">
        <v>81</v>
      </c>
      <c r="B81" cm="1">
        <f t="array" ref="B81:Q81">_xlfn._xlws.FILTER(Dashboard!$B213:$Y213,(Dashboard!$B$8:$Y$8&gt;=Date_Start)*(Dashboard!$B$8:$Y$8&lt;=Date_End),NA())</f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s="140" t="s">
        <v>82</v>
      </c>
      <c r="B82" cm="1">
        <f t="array" ref="B82:Q82">_xlfn._xlws.FILTER(Dashboard!$B214:$Y214,(Dashboard!$B$8:$Y$8&gt;=Date_Start)*(Dashboard!$B$8:$Y$8&lt;=Date_End),NA())</f>
        <v>1162550</v>
      </c>
      <c r="C82">
        <v>1209122</v>
      </c>
      <c r="D82">
        <v>1230933</v>
      </c>
      <c r="E82">
        <v>1260741</v>
      </c>
      <c r="F82">
        <v>1271744</v>
      </c>
      <c r="G82">
        <v>1168318</v>
      </c>
      <c r="H82">
        <v>1199278</v>
      </c>
      <c r="I82">
        <v>1218908</v>
      </c>
      <c r="J82">
        <v>1245739</v>
      </c>
      <c r="K82">
        <v>1255632</v>
      </c>
      <c r="L82">
        <v>0</v>
      </c>
      <c r="M82">
        <v>0</v>
      </c>
      <c r="N82">
        <v>0</v>
      </c>
      <c r="O82">
        <v>0</v>
      </c>
      <c r="P82">
        <v>1430663</v>
      </c>
      <c r="Q82">
        <v>0</v>
      </c>
    </row>
    <row r="83" spans="1:17" x14ac:dyDescent="0.3">
      <c r="B83" cm="1">
        <f t="array" ref="B83:Q83">_xlfn._xlws.FILTER(Dashboard!$B215:$Y215,(Dashboard!$B$8:$Y$8&gt;=Date_Start)*(Dashboard!$B$8:$Y$8&lt;=Date_End),NA())</f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s="44" t="s">
        <v>83</v>
      </c>
      <c r="B84" cm="1">
        <f t="array" ref="B84:Q84">_xlfn._xlws.FILTER(Dashboard!$B216:$Y216,(Dashboard!$B$8:$Y$8&gt;=Date_Start)*(Dashboard!$B$8:$Y$8&lt;=Date_End),NA())</f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84</v>
      </c>
      <c r="B85" cm="1">
        <f t="array" ref="B85:Q85">_xlfn._xlws.FILTER(Dashboard!$B219:$Y219,(Dashboard!$B$8:$Y$8&gt;=Date_Start)*(Dashboard!$B$8:$Y$8&lt;=Date_End),NA())</f>
        <v>6.5000000000000002E-2</v>
      </c>
      <c r="C85">
        <v>6.3E-2</v>
      </c>
      <c r="D85">
        <v>6.9000000000000006E-2</v>
      </c>
      <c r="E85">
        <v>6.7000000000000004E-2</v>
      </c>
      <c r="F85">
        <v>6.6000000000000003E-2</v>
      </c>
      <c r="G85">
        <v>6.7000000000000004E-2</v>
      </c>
      <c r="H85">
        <v>6.6000000000000003E-2</v>
      </c>
      <c r="I85">
        <v>6.6467950198503309E-2</v>
      </c>
      <c r="J85">
        <v>5.6000000000000001E-2</v>
      </c>
      <c r="K85">
        <v>6.6000000000000003E-2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70</v>
      </c>
      <c r="B86" cm="1">
        <f t="array" ref="B86:Q86">_xlfn._xlws.FILTER(Dashboard!$B220:$Y220,(Dashboard!$B$8:$Y$8&gt;=Date_Start)*(Dashboard!$B$8:$Y$8&lt;=Date_End),NA())</f>
        <v>1.2999999999999999E-2</v>
      </c>
      <c r="C86">
        <v>1.4E-2</v>
      </c>
      <c r="D86">
        <v>1.6E-2</v>
      </c>
      <c r="E86">
        <v>1.4E-2</v>
      </c>
      <c r="F86">
        <v>1.7000000000000001E-2</v>
      </c>
      <c r="G86">
        <v>1.7999999999999999E-2</v>
      </c>
      <c r="H86">
        <v>1.7000000000000001E-2</v>
      </c>
      <c r="I86">
        <v>1.7000000000000001E-2</v>
      </c>
      <c r="J86">
        <v>1.7999999999999999E-2</v>
      </c>
      <c r="K86">
        <v>1.4999999999999999E-2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85</v>
      </c>
      <c r="B87" cm="1">
        <f t="array" ref="B87:Q87">_xlfn._xlws.FILTER(Dashboard!$B218:$Y218,(Dashboard!$B$8:$Y$8&gt;=Date_Start)*(Dashboard!$B$8:$Y$8&lt;=Date_End),NA())</f>
        <v>0.26500000000000001</v>
      </c>
      <c r="C87">
        <v>0.27600000000000002</v>
      </c>
      <c r="D87">
        <v>0.26300000000000001</v>
      </c>
      <c r="E87">
        <v>0.27800000000000002</v>
      </c>
      <c r="F87">
        <v>0.28199999999999997</v>
      </c>
      <c r="G87">
        <v>0.28299999999999997</v>
      </c>
      <c r="H87">
        <v>0.28199999999999997</v>
      </c>
      <c r="I87">
        <v>0.28338011596475166</v>
      </c>
      <c r="J87">
        <v>0.28299999999999997</v>
      </c>
      <c r="K87">
        <v>0.28399999999999997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86</v>
      </c>
      <c r="B88" cm="1">
        <f t="array" ref="B88:Q88">_xlfn._xlws.FILTER(Dashboard!$B217:$Y217,(Dashboard!$B$8:$Y$8&gt;=Date_Start)*(Dashboard!$B$8:$Y$8&lt;=Date_End),NA())</f>
        <v>0.59599999999999997</v>
      </c>
      <c r="C88">
        <v>0.58899999999999997</v>
      </c>
      <c r="D88">
        <v>0.59499999999999997</v>
      </c>
      <c r="E88">
        <v>0.58199999999999996</v>
      </c>
      <c r="F88">
        <v>0.57299999999999995</v>
      </c>
      <c r="G88">
        <v>0.57099999999999995</v>
      </c>
      <c r="H88">
        <v>0.56999999999999995</v>
      </c>
      <c r="I88">
        <v>0.56200000000000006</v>
      </c>
      <c r="J88">
        <v>0.57199999999999995</v>
      </c>
      <c r="K88">
        <v>0.55400000000000005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87</v>
      </c>
      <c r="B89" t="e" cm="1">
        <f t="array" ref="B89">_xlfn._xlws.FILTER(Dashboard!#REF!,(Dashboard!$B$8:$Y$8&gt;=Date_Start)*(Dashboard!$B$8:$Y$8&lt;=Date_End),NA())</f>
        <v>#REF!</v>
      </c>
    </row>
    <row r="90" spans="1:17" x14ac:dyDescent="0.3">
      <c r="A90" t="s">
        <v>88</v>
      </c>
      <c r="B90" cm="1">
        <f t="array" ref="B90:Q90">_xlfn._xlws.FILTER(Dashboard!$B222:$Y222,(Dashboard!$B$8:$Y$8&gt;=Date_Start)*(Dashboard!$B$8:$Y$8&lt;=Date_End),NA())</f>
        <v>4.7E-2</v>
      </c>
      <c r="C90">
        <v>4.2999999999999997E-2</v>
      </c>
      <c r="D90">
        <v>4.2999999999999997E-2</v>
      </c>
      <c r="E90">
        <v>4.3999999999999997E-2</v>
      </c>
      <c r="F90">
        <v>4.3999999999999997E-2</v>
      </c>
      <c r="G90">
        <v>4.4999999999999998E-2</v>
      </c>
      <c r="H90">
        <v>4.7E-2</v>
      </c>
      <c r="I90">
        <v>5.0386812489044135E-2</v>
      </c>
      <c r="J90">
        <v>5.1999999999999998E-2</v>
      </c>
      <c r="K90">
        <v>6.2E-2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B91" cm="1">
        <f t="array" ref="B91:Q91">_xlfn._xlws.FILTER(Dashboard!$B223:$Y223,(Dashboard!$B$8:$Y$8&gt;=Date_Start)*(Dashboard!$B$8:$Y$8&lt;=Date_End),NA())</f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 t="s">
        <v>89</v>
      </c>
      <c r="B92" cm="1">
        <f t="array" ref="B92:Q92">_xlfn._xlws.FILTER(Dashboard!$B224:$Y224,(Dashboard!$B$8:$Y$8&gt;=Date_Start)*(Dashboard!$B$8:$Y$8&lt;=Date_End),NA())</f>
        <v>0.39</v>
      </c>
      <c r="C92">
        <v>0.39600000000000002</v>
      </c>
      <c r="D92">
        <v>0.39100000000000001</v>
      </c>
      <c r="E92">
        <v>0.40300000000000002</v>
      </c>
      <c r="F92">
        <v>0.40899999999999997</v>
      </c>
      <c r="G92">
        <v>0.41299999999999998</v>
      </c>
      <c r="H92">
        <v>0.41199999999999998</v>
      </c>
      <c r="I92">
        <v>0.41723487865229908</v>
      </c>
      <c r="J92">
        <v>0.40899999999999997</v>
      </c>
      <c r="K92">
        <v>0.42699999999999999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B93" cm="1">
        <f t="array" ref="B93:Q93">_xlfn._xlws.FILTER(Dashboard!$B225:$Y225,(Dashboard!$B$8:$Y$8&gt;=Date_Start)*(Dashboard!$B$8:$Y$8&lt;=Date_End),NA())</f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s="44" t="s">
        <v>90</v>
      </c>
      <c r="B94" cm="1">
        <f t="array" ref="B94:Q94">_xlfn._xlws.FILTER(Dashboard!$B227:$Y227,(Dashboard!$B$8:$Y$8&gt;=Date_Start)*(Dashboard!$B$8:$Y$8&lt;=Date_End),NA())</f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84</v>
      </c>
      <c r="B95" cm="1">
        <f t="array" ref="B95:Q95">_xlfn._xlws.FILTER(Dashboard!$B230:$Y230,(Dashboard!$B$8:$Y$8&gt;=Date_Start)*(Dashboard!$B$8:$Y$8&lt;=Date_End),NA())</f>
        <v>75565.75</v>
      </c>
      <c r="C95">
        <v>76174.686000000002</v>
      </c>
      <c r="D95">
        <v>84934.377000000008</v>
      </c>
      <c r="E95">
        <v>84469.647000000012</v>
      </c>
      <c r="F95">
        <v>83935.104000000007</v>
      </c>
      <c r="G95">
        <v>78277.306000000011</v>
      </c>
      <c r="H95">
        <v>79152.347999999998</v>
      </c>
      <c r="I95">
        <v>81018.316240557266</v>
      </c>
      <c r="J95">
        <v>69761.384000000005</v>
      </c>
      <c r="K95">
        <v>82871.712</v>
      </c>
      <c r="L95">
        <v>0</v>
      </c>
      <c r="M95">
        <v>0</v>
      </c>
      <c r="N95">
        <v>0</v>
      </c>
      <c r="O95">
        <v>0</v>
      </c>
      <c r="P95">
        <v>102022</v>
      </c>
      <c r="Q95">
        <v>0</v>
      </c>
    </row>
    <row r="96" spans="1:17" x14ac:dyDescent="0.3">
      <c r="A96" t="s">
        <v>70</v>
      </c>
      <c r="B96" cm="1">
        <f t="array" ref="B96:Q96">_xlfn._xlws.FILTER(Dashboard!$B231:$Y231,(Dashboard!$B$8:$Y$8&gt;=Date_Start)*(Dashboard!$B$8:$Y$8&lt;=Date_End),NA())</f>
        <v>15113.15</v>
      </c>
      <c r="C96">
        <v>16927.707999999999</v>
      </c>
      <c r="D96">
        <v>19694.928</v>
      </c>
      <c r="E96">
        <v>17650.374</v>
      </c>
      <c r="F96">
        <v>21619.648000000001</v>
      </c>
      <c r="G96">
        <v>21029.723999999998</v>
      </c>
      <c r="H96">
        <v>20387.726000000002</v>
      </c>
      <c r="I96">
        <v>20721.436000000002</v>
      </c>
      <c r="J96">
        <v>22423.302</v>
      </c>
      <c r="K96">
        <v>18834.48</v>
      </c>
      <c r="L96">
        <v>0</v>
      </c>
      <c r="M96">
        <v>0</v>
      </c>
      <c r="N96">
        <v>0</v>
      </c>
      <c r="O96">
        <v>0</v>
      </c>
      <c r="P96">
        <v>25352</v>
      </c>
      <c r="Q96">
        <v>0</v>
      </c>
    </row>
    <row r="97" spans="1:17" x14ac:dyDescent="0.3">
      <c r="A97" t="s">
        <v>85</v>
      </c>
      <c r="B97" cm="1">
        <f t="array" ref="B97:Q97">_xlfn._xlws.FILTER(Dashboard!$B229:$Y229,(Dashboard!$B$8:$Y$8&gt;=Date_Start)*(Dashboard!$B$8:$Y$8&lt;=Date_End),NA())</f>
        <v>308075.75</v>
      </c>
      <c r="C97">
        <v>333717.67200000002</v>
      </c>
      <c r="D97">
        <v>323735.37900000002</v>
      </c>
      <c r="E97">
        <v>350485.99800000002</v>
      </c>
      <c r="F97">
        <v>358631.80799999996</v>
      </c>
      <c r="G97">
        <v>330633.99399999995</v>
      </c>
      <c r="H97">
        <v>338196.39599999995</v>
      </c>
      <c r="I97">
        <v>345414.29039036349</v>
      </c>
      <c r="J97">
        <v>352544.13699999999</v>
      </c>
      <c r="K97">
        <v>356599.48799999995</v>
      </c>
      <c r="L97">
        <v>0</v>
      </c>
      <c r="M97">
        <v>0</v>
      </c>
      <c r="N97">
        <v>0</v>
      </c>
      <c r="O97">
        <v>0</v>
      </c>
      <c r="P97">
        <v>293874</v>
      </c>
      <c r="Q97">
        <v>0</v>
      </c>
    </row>
    <row r="98" spans="1:17" x14ac:dyDescent="0.3">
      <c r="A98" t="s">
        <v>86</v>
      </c>
      <c r="B98" cm="1">
        <f t="array" ref="B98:Q98">_xlfn._xlws.FILTER(Dashboard!$B228:$Y228,(Dashboard!$B$8:$Y$8&gt;=Date_Start)*(Dashboard!$B$8:$Y$8&lt;=Date_End),NA())</f>
        <v>692879.79999999993</v>
      </c>
      <c r="C98">
        <v>712172.85800000001</v>
      </c>
      <c r="D98">
        <v>732405.13500000001</v>
      </c>
      <c r="E98">
        <v>733751.26199999999</v>
      </c>
      <c r="F98">
        <v>728709.31199999992</v>
      </c>
      <c r="G98">
        <v>667109.57799999998</v>
      </c>
      <c r="H98">
        <v>683588.46</v>
      </c>
      <c r="I98">
        <v>685026.29600000009</v>
      </c>
      <c r="J98">
        <v>712562.70799999998</v>
      </c>
      <c r="K98">
        <v>695620.12800000003</v>
      </c>
      <c r="L98">
        <v>0</v>
      </c>
      <c r="M98">
        <v>0</v>
      </c>
      <c r="N98">
        <v>0</v>
      </c>
      <c r="O98">
        <v>0</v>
      </c>
      <c r="P98">
        <v>729169</v>
      </c>
      <c r="Q98">
        <v>0</v>
      </c>
    </row>
    <row r="99" spans="1:17" x14ac:dyDescent="0.3">
      <c r="A99" t="s">
        <v>87</v>
      </c>
      <c r="B99" t="e" cm="1">
        <f t="array" ref="B99">_xlfn._xlws.FILTER(Dashboard!#REF!,(Dashboard!$B$8:$Y$8&gt;=Date_Start)*(Dashboard!$B$8:$Y$8&lt;=Date_End),NA())</f>
        <v>#REF!</v>
      </c>
    </row>
    <row r="100" spans="1:17" x14ac:dyDescent="0.3">
      <c r="A100" t="s">
        <v>88</v>
      </c>
      <c r="B100" cm="1">
        <f t="array" ref="B100:Q100">_xlfn._xlws.FILTER(Dashboard!$B233:$Y233,(Dashboard!$B$8:$Y$8&gt;=Date_Start)*(Dashboard!$B$8:$Y$8&lt;=Date_End),NA())</f>
        <v>54639.85</v>
      </c>
      <c r="C100">
        <v>51992.245999999999</v>
      </c>
      <c r="D100">
        <v>52930.118999999999</v>
      </c>
      <c r="E100">
        <v>55472.603999999999</v>
      </c>
      <c r="F100">
        <v>55956.735999999997</v>
      </c>
      <c r="G100">
        <v>52574.31</v>
      </c>
      <c r="H100">
        <v>56366.065999999999</v>
      </c>
      <c r="I100">
        <v>61416.888837395811</v>
      </c>
      <c r="J100">
        <v>64778.428</v>
      </c>
      <c r="K100">
        <v>77849.183999999994</v>
      </c>
      <c r="L100">
        <v>0</v>
      </c>
      <c r="M100">
        <v>0</v>
      </c>
      <c r="N100">
        <v>0</v>
      </c>
      <c r="O100">
        <v>0</v>
      </c>
      <c r="P100">
        <v>251656</v>
      </c>
      <c r="Q100">
        <v>0</v>
      </c>
    </row>
    <row r="101" spans="1:17" x14ac:dyDescent="0.3">
      <c r="B101" cm="1">
        <f t="array" ref="B101:Q101">_xlfn._xlws.FILTER(Dashboard!$B234:$Y234,(Dashboard!$B$8:$Y$8&gt;=Date_Start)*(Dashboard!$B$8:$Y$8&lt;=Date_End),NA())</f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t="s">
        <v>89</v>
      </c>
      <c r="B102" cm="1">
        <f t="array" ref="B102:Q102">_xlfn._xlws.FILTER(Dashboard!$B235:$Y235,(Dashboard!$B$8:$Y$8&gt;=Date_Start)*(Dashboard!$B$8:$Y$8&lt;=Date_End),NA())</f>
        <v>453394.5</v>
      </c>
      <c r="C102">
        <v>478812.31199999998</v>
      </c>
      <c r="D102">
        <v>481294.80300000001</v>
      </c>
      <c r="E102">
        <v>508078.62300000002</v>
      </c>
      <c r="F102">
        <v>520143.29599999991</v>
      </c>
      <c r="G102">
        <v>482515.33399999997</v>
      </c>
      <c r="H102">
        <v>494102.53599999996</v>
      </c>
      <c r="I102">
        <v>508570.93146831659</v>
      </c>
      <c r="J102">
        <v>509507.25099999999</v>
      </c>
      <c r="K102">
        <v>536154.86399999994</v>
      </c>
      <c r="L102">
        <v>0</v>
      </c>
      <c r="M102">
        <v>0</v>
      </c>
      <c r="N102">
        <v>0</v>
      </c>
      <c r="O102">
        <v>0</v>
      </c>
      <c r="P102">
        <v>421248</v>
      </c>
      <c r="Q102">
        <v>0</v>
      </c>
    </row>
    <row r="103" spans="1:17" x14ac:dyDescent="0.3">
      <c r="B103" cm="1">
        <f t="array" ref="B103:Q103">_xlfn._xlws.FILTER(Dashboard!$B236:$Y236,(Dashboard!$B$8:$Y$8&gt;=Date_Start)*(Dashboard!$B$8:$Y$8&lt;=Date_End),NA())</f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B104" cm="1">
        <f t="array" ref="B104:Q104">_xlfn._xlws.FILTER(Dashboard!$B237:$Y237,(Dashboard!$B$8:$Y$8&gt;=Date_Start)*(Dashboard!$B$8:$Y$8&lt;=Date_End),NA())</f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B105" cm="1">
        <f t="array" ref="B105:Q105">_xlfn._xlws.FILTER(Dashboard!$B238:$Y238,(Dashboard!$B$8:$Y$8&gt;=Date_Start)*(Dashboard!$B$8:$Y$8&lt;=Date_End),NA())</f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 s="143" t="s">
        <v>67</v>
      </c>
      <c r="B106" cm="1">
        <f t="array" ref="B106:Q106">_xlfn._xlws.FILTER(Dashboard!$B173:$Y173,(Dashboard!$B$8:$Y$8&gt;=Date_Start)*(Dashboard!$B$8:$Y$8&lt;=Date_End),NA())</f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 s="153" t="s">
        <v>68</v>
      </c>
      <c r="B107" cm="1">
        <f t="array" ref="B107:Q107">_xlfn._xlws.FILTER(Dashboard!$B174:$Y174,(Dashboard!$B$8:$Y$8&gt;=Date_Start)*(Dashboard!$B$8:$Y$8&lt;=Date_End),NA())</f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 s="140" t="s">
        <v>69</v>
      </c>
      <c r="B108" cm="1">
        <f t="array" ref="B108:Q108">_xlfn._xlws.FILTER(Dashboard!$B175:$Y175,(Dashboard!$B$8:$Y$8&gt;=Date_Start)*(Dashboard!$B$8:$Y$8&lt;=Date_End),NA())</f>
        <v>31</v>
      </c>
      <c r="C108">
        <v>33</v>
      </c>
      <c r="D108">
        <v>43</v>
      </c>
      <c r="E108">
        <v>25</v>
      </c>
      <c r="F108">
        <v>35</v>
      </c>
      <c r="G108">
        <v>46</v>
      </c>
      <c r="H108">
        <v>37</v>
      </c>
      <c r="I108">
        <v>40</v>
      </c>
      <c r="J108">
        <v>44</v>
      </c>
      <c r="K108">
        <v>50</v>
      </c>
      <c r="L108">
        <v>45</v>
      </c>
      <c r="M108">
        <v>60</v>
      </c>
      <c r="N108">
        <v>52</v>
      </c>
      <c r="O108">
        <v>46</v>
      </c>
      <c r="P108">
        <v>45</v>
      </c>
      <c r="Q108">
        <v>0</v>
      </c>
    </row>
    <row r="109" spans="1:17" x14ac:dyDescent="0.3">
      <c r="A109" s="140" t="s">
        <v>70</v>
      </c>
      <c r="B109" cm="1">
        <f t="array" ref="B109:Q109">_xlfn._xlws.FILTER(Dashboard!$B176:$Y176,(Dashboard!$B$8:$Y$8&gt;=Date_Start)*(Dashboard!$B$8:$Y$8&lt;=Date_End),NA())</f>
        <v>4</v>
      </c>
      <c r="C109">
        <v>7</v>
      </c>
      <c r="D109">
        <v>8</v>
      </c>
      <c r="E109">
        <v>3</v>
      </c>
      <c r="F109">
        <v>6</v>
      </c>
      <c r="G109">
        <v>7</v>
      </c>
      <c r="H109">
        <v>5</v>
      </c>
      <c r="I109">
        <v>6</v>
      </c>
      <c r="J109">
        <v>6</v>
      </c>
      <c r="K109">
        <v>5</v>
      </c>
      <c r="L109">
        <v>8</v>
      </c>
      <c r="M109">
        <v>11</v>
      </c>
      <c r="N109">
        <v>10</v>
      </c>
      <c r="O109">
        <v>10</v>
      </c>
      <c r="P109">
        <v>4</v>
      </c>
      <c r="Q109">
        <v>0</v>
      </c>
    </row>
    <row r="110" spans="1:17" x14ac:dyDescent="0.3">
      <c r="A110" s="140" t="s">
        <v>71</v>
      </c>
      <c r="B110" cm="1">
        <f t="array" ref="B110:Q110">_xlfn._xlws.FILTER(Dashboard!$B177:$Y177,(Dashboard!$B$8:$Y$8&gt;=Date_Start)*(Dashboard!$B$8:$Y$8&lt;=Date_End),NA())</f>
        <v>85</v>
      </c>
      <c r="C110">
        <v>61</v>
      </c>
      <c r="D110">
        <v>71</v>
      </c>
      <c r="E110">
        <v>85</v>
      </c>
      <c r="F110">
        <v>62</v>
      </c>
      <c r="G110">
        <v>52</v>
      </c>
      <c r="H110">
        <v>55</v>
      </c>
      <c r="I110">
        <v>81</v>
      </c>
      <c r="J110">
        <v>72</v>
      </c>
      <c r="K110">
        <v>65</v>
      </c>
      <c r="L110">
        <v>100</v>
      </c>
      <c r="M110">
        <v>115</v>
      </c>
      <c r="N110">
        <v>98</v>
      </c>
      <c r="O110">
        <v>80</v>
      </c>
      <c r="P110">
        <v>81</v>
      </c>
      <c r="Q110">
        <v>0</v>
      </c>
    </row>
    <row r="111" spans="1:17" x14ac:dyDescent="0.3">
      <c r="A111" s="141" t="s">
        <v>72</v>
      </c>
      <c r="B111" cm="1">
        <f t="array" ref="B111:Q111">_xlfn._xlws.FILTER(Dashboard!$B178:$Y178,(Dashboard!$B$8:$Y$8&gt;=Date_Start)*(Dashboard!$B$8:$Y$8&lt;=Date_End),NA())</f>
        <v>120</v>
      </c>
      <c r="C111">
        <v>101</v>
      </c>
      <c r="D111">
        <v>122</v>
      </c>
      <c r="E111">
        <v>113</v>
      </c>
      <c r="F111">
        <v>103</v>
      </c>
      <c r="G111">
        <v>105</v>
      </c>
      <c r="H111">
        <v>97</v>
      </c>
      <c r="I111">
        <v>127</v>
      </c>
      <c r="J111">
        <v>122</v>
      </c>
      <c r="K111">
        <v>120</v>
      </c>
      <c r="L111">
        <v>153</v>
      </c>
      <c r="M111">
        <v>186</v>
      </c>
      <c r="N111">
        <v>160</v>
      </c>
      <c r="O111">
        <v>136</v>
      </c>
      <c r="P111">
        <v>130</v>
      </c>
      <c r="Q111">
        <v>0</v>
      </c>
    </row>
    <row r="112" spans="1:17" x14ac:dyDescent="0.3">
      <c r="B112" cm="1">
        <f t="array" ref="B112:Q112">_xlfn._xlws.FILTER(Dashboard!$B179:$Y179,(Dashboard!$B$8:$Y$8&gt;=Date_Start)*(Dashboard!$B$8:$Y$8&lt;=Date_End),NA())</f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 s="153" t="s">
        <v>75</v>
      </c>
      <c r="B113" cm="1">
        <f t="array" ref="B113:Q113">_xlfn._xlws.FILTER(Dashboard!$B184:$Y184,(Dashboard!$B$8:$Y$8&gt;=Date_Start)*(Dashboard!$B$8:$Y$8&lt;=Date_End),NA())</f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 s="140" t="s">
        <v>69</v>
      </c>
      <c r="B114" cm="1">
        <f t="array" ref="B114:Q114">_xlfn._xlws.FILTER(Dashboard!$B185:$Y185,(Dashboard!$B$8:$Y$8&gt;=Date_Start)*(Dashboard!$B$8:$Y$8&lt;=Date_End),NA())</f>
        <v>408</v>
      </c>
      <c r="C114">
        <v>419</v>
      </c>
      <c r="D114">
        <v>392</v>
      </c>
      <c r="E114">
        <v>393</v>
      </c>
      <c r="F114">
        <v>375</v>
      </c>
      <c r="G114">
        <v>571</v>
      </c>
      <c r="H114">
        <v>364</v>
      </c>
      <c r="I114">
        <v>545</v>
      </c>
      <c r="J114">
        <v>553</v>
      </c>
      <c r="K114">
        <v>520</v>
      </c>
      <c r="L114">
        <v>394</v>
      </c>
      <c r="M114">
        <v>471</v>
      </c>
      <c r="N114">
        <v>462</v>
      </c>
      <c r="O114">
        <v>454</v>
      </c>
      <c r="P114">
        <v>444</v>
      </c>
      <c r="Q114">
        <v>0</v>
      </c>
    </row>
    <row r="115" spans="1:17" x14ac:dyDescent="0.3">
      <c r="A115" s="140" t="s">
        <v>70</v>
      </c>
      <c r="B115" cm="1">
        <f t="array" ref="B115:Q115">_xlfn._xlws.FILTER(Dashboard!$B186:$Y186,(Dashboard!$B$8:$Y$8&gt;=Date_Start)*(Dashboard!$B$8:$Y$8&lt;=Date_End),NA())</f>
        <v>147</v>
      </c>
      <c r="C115">
        <v>129</v>
      </c>
      <c r="D115">
        <v>144</v>
      </c>
      <c r="E115">
        <v>146</v>
      </c>
      <c r="F115">
        <v>165</v>
      </c>
      <c r="G115">
        <v>233</v>
      </c>
      <c r="H115">
        <v>158</v>
      </c>
      <c r="I115">
        <v>182</v>
      </c>
      <c r="J115">
        <v>169</v>
      </c>
      <c r="K115">
        <v>171</v>
      </c>
      <c r="L115">
        <v>134</v>
      </c>
      <c r="M115">
        <v>138</v>
      </c>
      <c r="N115">
        <v>171</v>
      </c>
      <c r="O115">
        <v>164</v>
      </c>
      <c r="P115">
        <v>172</v>
      </c>
      <c r="Q115">
        <v>0</v>
      </c>
    </row>
    <row r="116" spans="1:17" x14ac:dyDescent="0.3">
      <c r="A116" s="140" t="s">
        <v>71</v>
      </c>
      <c r="B116" cm="1">
        <f t="array" ref="B116:Q116">_xlfn._xlws.FILTER(Dashboard!$B187:$Y187,(Dashboard!$B$8:$Y$8&gt;=Date_Start)*(Dashboard!$B$8:$Y$8&lt;=Date_End),NA())</f>
        <v>1289</v>
      </c>
      <c r="C116">
        <v>1252</v>
      </c>
      <c r="D116">
        <v>1290</v>
      </c>
      <c r="E116">
        <v>1443</v>
      </c>
      <c r="F116">
        <v>1476</v>
      </c>
      <c r="G116">
        <v>1766</v>
      </c>
      <c r="H116">
        <v>1472</v>
      </c>
      <c r="I116">
        <v>1656</v>
      </c>
      <c r="J116">
        <v>1748</v>
      </c>
      <c r="K116">
        <v>1617</v>
      </c>
      <c r="L116">
        <v>1665</v>
      </c>
      <c r="M116">
        <v>1690</v>
      </c>
      <c r="N116">
        <v>1582</v>
      </c>
      <c r="O116">
        <v>1583</v>
      </c>
      <c r="P116">
        <v>1280</v>
      </c>
      <c r="Q116">
        <v>0</v>
      </c>
    </row>
    <row r="117" spans="1:17" x14ac:dyDescent="0.3">
      <c r="A117" s="141" t="s">
        <v>76</v>
      </c>
      <c r="B117" cm="1">
        <f t="array" ref="B117:Q117">_xlfn._xlws.FILTER(Dashboard!$B188:$Y188,(Dashboard!$B$8:$Y$8&gt;=Date_Start)*(Dashboard!$B$8:$Y$8&lt;=Date_End),NA())</f>
        <v>1844</v>
      </c>
      <c r="C117">
        <v>1800</v>
      </c>
      <c r="D117">
        <v>1826</v>
      </c>
      <c r="E117">
        <v>1982</v>
      </c>
      <c r="F117">
        <v>2016</v>
      </c>
      <c r="G117">
        <v>2570</v>
      </c>
      <c r="H117">
        <v>1994</v>
      </c>
      <c r="I117">
        <v>2383</v>
      </c>
      <c r="J117">
        <v>2470</v>
      </c>
      <c r="K117">
        <v>2308</v>
      </c>
      <c r="L117">
        <v>2193</v>
      </c>
      <c r="M117">
        <v>2299</v>
      </c>
      <c r="N117">
        <v>2215</v>
      </c>
      <c r="O117">
        <v>2201</v>
      </c>
      <c r="P117">
        <v>1896</v>
      </c>
      <c r="Q117">
        <v>0</v>
      </c>
    </row>
    <row r="118" spans="1:17" x14ac:dyDescent="0.3">
      <c r="B118" cm="1">
        <f t="array" ref="B118:Q118">_xlfn._xlws.FILTER(Dashboard!$B189:$Y189,(Dashboard!$B$8:$Y$8&gt;=Date_Start)*(Dashboard!$B$8:$Y$8&lt;=Date_End),NA())</f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 s="153" t="s">
        <v>77</v>
      </c>
      <c r="B119" cm="1">
        <f t="array" ref="B119:Q119">_xlfn._xlws.FILTER(Dashboard!$B194:$Y194,(Dashboard!$B$8:$Y$8&gt;=Date_Start)*(Dashboard!$B$8:$Y$8&lt;=Date_End),NA())</f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 s="140" t="s">
        <v>69</v>
      </c>
      <c r="B120" cm="1">
        <f t="array" ref="B120:Q120">_xlfn._xlws.FILTER(Dashboard!$B195:$Y195,(Dashboard!$B$8:$Y$8&gt;=Date_Start)*(Dashboard!$B$8:$Y$8&lt;=Date_End),NA())</f>
        <v>3069</v>
      </c>
      <c r="C120">
        <v>2961</v>
      </c>
      <c r="D120">
        <v>2838</v>
      </c>
      <c r="E120">
        <v>2712</v>
      </c>
      <c r="F120">
        <v>2489</v>
      </c>
      <c r="G120">
        <v>2843</v>
      </c>
      <c r="H120">
        <v>2739</v>
      </c>
      <c r="I120">
        <v>2937</v>
      </c>
      <c r="J120">
        <v>2996</v>
      </c>
      <c r="K120">
        <v>2937</v>
      </c>
      <c r="L120">
        <v>1985</v>
      </c>
      <c r="M120">
        <v>2170</v>
      </c>
      <c r="N120">
        <v>2360</v>
      </c>
      <c r="O120">
        <v>2640</v>
      </c>
      <c r="P120">
        <v>2987</v>
      </c>
      <c r="Q120">
        <v>0</v>
      </c>
    </row>
    <row r="121" spans="1:17" x14ac:dyDescent="0.3">
      <c r="A121" s="140" t="s">
        <v>70</v>
      </c>
      <c r="B121" cm="1">
        <f t="array" ref="B121:Q121">_xlfn._xlws.FILTER(Dashboard!$B196:$Y196,(Dashboard!$B$8:$Y$8&gt;=Date_Start)*(Dashboard!$B$8:$Y$8&lt;=Date_End),NA())</f>
        <v>1576</v>
      </c>
      <c r="C121">
        <v>1292</v>
      </c>
      <c r="D121">
        <v>1506</v>
      </c>
      <c r="E121">
        <v>1570</v>
      </c>
      <c r="F121">
        <v>1679</v>
      </c>
      <c r="G121">
        <v>1915</v>
      </c>
      <c r="H121">
        <v>1653</v>
      </c>
      <c r="I121">
        <v>1486</v>
      </c>
      <c r="J121">
        <v>1318</v>
      </c>
      <c r="K121">
        <v>1326</v>
      </c>
      <c r="L121">
        <v>975</v>
      </c>
      <c r="M121">
        <v>1139</v>
      </c>
      <c r="N121">
        <v>1246</v>
      </c>
      <c r="O121">
        <v>1435</v>
      </c>
      <c r="P121">
        <v>1666</v>
      </c>
      <c r="Q121">
        <v>0</v>
      </c>
    </row>
    <row r="122" spans="1:17" x14ac:dyDescent="0.3">
      <c r="A122" s="140" t="s">
        <v>71</v>
      </c>
      <c r="B122" cm="1">
        <f t="array" ref="B122:Q122">_xlfn._xlws.FILTER(Dashboard!$B197:$Y197,(Dashboard!$B$8:$Y$8&gt;=Date_Start)*(Dashboard!$B$8:$Y$8&lt;=Date_End),NA())</f>
        <v>15171</v>
      </c>
      <c r="C122">
        <v>14218</v>
      </c>
      <c r="D122">
        <v>14234</v>
      </c>
      <c r="E122">
        <v>14065</v>
      </c>
      <c r="F122">
        <v>13721</v>
      </c>
      <c r="G122">
        <v>15138</v>
      </c>
      <c r="H122">
        <v>14950</v>
      </c>
      <c r="I122">
        <v>17275</v>
      </c>
      <c r="J122">
        <v>18569</v>
      </c>
      <c r="K122">
        <v>18068</v>
      </c>
      <c r="L122">
        <v>16900</v>
      </c>
      <c r="M122">
        <v>18854</v>
      </c>
      <c r="N122">
        <v>18141</v>
      </c>
      <c r="O122">
        <v>19404</v>
      </c>
      <c r="P122">
        <v>20933</v>
      </c>
      <c r="Q122">
        <v>0</v>
      </c>
    </row>
    <row r="123" spans="1:17" x14ac:dyDescent="0.3">
      <c r="A123" s="141" t="s">
        <v>78</v>
      </c>
      <c r="B123" cm="1">
        <f t="array" ref="B123:Q123">_xlfn._xlws.FILTER(Dashboard!$B198:$Y198,(Dashboard!$B$8:$Y$8&gt;=Date_Start)*(Dashboard!$B$8:$Y$8&lt;=Date_End),NA())</f>
        <v>19816</v>
      </c>
      <c r="C123">
        <v>18471</v>
      </c>
      <c r="D123">
        <v>18578</v>
      </c>
      <c r="E123">
        <v>18347</v>
      </c>
      <c r="F123">
        <v>17889</v>
      </c>
      <c r="G123">
        <v>19896</v>
      </c>
      <c r="H123">
        <v>19342</v>
      </c>
      <c r="I123">
        <v>21698</v>
      </c>
      <c r="J123">
        <v>22883</v>
      </c>
      <c r="K123">
        <v>22331</v>
      </c>
      <c r="L123">
        <v>19860</v>
      </c>
      <c r="M123">
        <v>22163</v>
      </c>
      <c r="N123">
        <v>21747</v>
      </c>
      <c r="O123">
        <v>23479</v>
      </c>
      <c r="P123">
        <v>25586</v>
      </c>
      <c r="Q123">
        <v>0</v>
      </c>
    </row>
    <row r="124" spans="1:17" x14ac:dyDescent="0.3">
      <c r="B124" cm="1">
        <f t="array" ref="B124:Q124">_xlfn._xlws.FILTER(Dashboard!$B199:$Y199,(Dashboard!$B$8:$Y$8&gt;=Date_Start)*(Dashboard!$B$8:$Y$8&lt;=Date_End),NA())</f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">
      <c r="A125" s="153" t="s">
        <v>79</v>
      </c>
      <c r="B125" cm="1">
        <f t="array" ref="B125:Q125">_xlfn._xlws.FILTER(Dashboard!$B204:$Y204,(Dashboard!$B$8:$Y$8&gt;=Date_Start)*(Dashboard!$B$8:$Y$8&lt;=Date_End),NA())</f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 s="140" t="s">
        <v>69</v>
      </c>
      <c r="B126" cm="1">
        <f t="array" ref="B126:Q126">_xlfn._xlws.FILTER(Dashboard!$B205:$Y205,(Dashboard!$B$8:$Y$8&gt;=Date_Start)*(Dashboard!$B$8:$Y$8&lt;=Date_End),NA())</f>
        <v>0</v>
      </c>
      <c r="C126">
        <v>0</v>
      </c>
      <c r="D126">
        <v>0</v>
      </c>
      <c r="E126">
        <v>0</v>
      </c>
      <c r="F126">
        <v>2476</v>
      </c>
      <c r="G126">
        <v>2838</v>
      </c>
      <c r="H126">
        <v>2692</v>
      </c>
      <c r="I126">
        <v>2841</v>
      </c>
      <c r="J126">
        <v>2842</v>
      </c>
      <c r="K126">
        <v>2782</v>
      </c>
      <c r="L126">
        <v>1846</v>
      </c>
      <c r="M126">
        <v>2026</v>
      </c>
      <c r="N126">
        <v>2208</v>
      </c>
      <c r="O126">
        <v>2476</v>
      </c>
      <c r="P126">
        <v>2787</v>
      </c>
      <c r="Q126">
        <v>0</v>
      </c>
    </row>
    <row r="127" spans="1:17" x14ac:dyDescent="0.3">
      <c r="A127" s="140" t="s">
        <v>70</v>
      </c>
      <c r="B127" cm="1">
        <f t="array" ref="B127:Q127">_xlfn._xlws.FILTER(Dashboard!$B206:$Y206,(Dashboard!$B$8:$Y$8&gt;=Date_Start)*(Dashboard!$B$8:$Y$8&lt;=Date_End),NA())</f>
        <v>0</v>
      </c>
      <c r="C127">
        <v>0</v>
      </c>
      <c r="D127">
        <v>0</v>
      </c>
      <c r="E127">
        <v>0</v>
      </c>
      <c r="F127">
        <v>1717</v>
      </c>
      <c r="G127">
        <v>1978</v>
      </c>
      <c r="H127">
        <v>1773</v>
      </c>
      <c r="I127">
        <v>1544</v>
      </c>
      <c r="J127">
        <v>1400</v>
      </c>
      <c r="K127">
        <v>1439</v>
      </c>
      <c r="L127">
        <v>1038</v>
      </c>
      <c r="M127">
        <v>1228</v>
      </c>
      <c r="N127">
        <v>1386</v>
      </c>
      <c r="O127">
        <v>1585</v>
      </c>
      <c r="P127">
        <v>1905</v>
      </c>
      <c r="Q127">
        <v>0</v>
      </c>
    </row>
    <row r="128" spans="1:17" x14ac:dyDescent="0.3">
      <c r="A128" s="140" t="s">
        <v>71</v>
      </c>
      <c r="B128" cm="1">
        <f t="array" ref="B128:Q128">_xlfn._xlws.FILTER(Dashboard!$B207:$Y207,(Dashboard!$B$8:$Y$8&gt;=Date_Start)*(Dashboard!$B$8:$Y$8&lt;=Date_End),NA())</f>
        <v>0</v>
      </c>
      <c r="C128">
        <v>0</v>
      </c>
      <c r="D128">
        <v>0</v>
      </c>
      <c r="E128">
        <v>0</v>
      </c>
      <c r="F128">
        <v>67625</v>
      </c>
      <c r="G128">
        <v>74898</v>
      </c>
      <c r="H128">
        <v>82072</v>
      </c>
      <c r="I128">
        <v>81103</v>
      </c>
      <c r="J128">
        <v>83450</v>
      </c>
      <c r="K128">
        <v>80641</v>
      </c>
      <c r="L128">
        <v>69526</v>
      </c>
      <c r="M128">
        <v>82608</v>
      </c>
      <c r="N128">
        <v>82323</v>
      </c>
      <c r="O128">
        <v>85982</v>
      </c>
      <c r="P128">
        <v>87314</v>
      </c>
      <c r="Q128">
        <v>0</v>
      </c>
    </row>
    <row r="129" spans="1:17" x14ac:dyDescent="0.3">
      <c r="A129" s="141" t="s">
        <v>79</v>
      </c>
      <c r="B129" cm="1">
        <f t="array" ref="B129:Q129">_xlfn._xlws.FILTER(Dashboard!$B208:$Y208,(Dashboard!$B$8:$Y$8&gt;=Date_Start)*(Dashboard!$B$8:$Y$8&lt;=Date_End),NA())</f>
        <v>0</v>
      </c>
      <c r="C129">
        <v>0</v>
      </c>
      <c r="D129">
        <v>0</v>
      </c>
      <c r="E129">
        <v>0</v>
      </c>
      <c r="F129">
        <v>71818</v>
      </c>
      <c r="G129">
        <v>79714</v>
      </c>
      <c r="H129">
        <v>86537</v>
      </c>
      <c r="I129">
        <v>85488</v>
      </c>
      <c r="J129">
        <v>87692</v>
      </c>
      <c r="K129">
        <v>84862</v>
      </c>
      <c r="L129">
        <v>72410</v>
      </c>
      <c r="M129">
        <v>85862</v>
      </c>
      <c r="N129">
        <v>85917</v>
      </c>
      <c r="O129">
        <v>90043</v>
      </c>
      <c r="P129">
        <v>92006</v>
      </c>
      <c r="Q129">
        <v>0</v>
      </c>
    </row>
    <row r="130" spans="1:17" x14ac:dyDescent="0.3">
      <c r="B130" cm="1">
        <f t="array" ref="B130:Q130">_xlfn._xlws.FILTER(Dashboard!$B209:$Y209,(Dashboard!$B$8:$Y$8&gt;=Date_Start)*(Dashboard!$B$8:$Y$8&lt;=Date_End),NA())</f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B131" cm="1">
        <f t="array" ref="B131:Q131">_xlfn._xlws.FILTER(Dashboard!$B211:$Y211,(Dashboard!$B$8:$Y$8&gt;=Date_Start)*(Dashboard!$B$8:$Y$8&lt;=Date_End),NA())</f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 s="12" t="s">
        <v>42</v>
      </c>
      <c r="B132" cm="1">
        <f t="array" ref="B132:Q132">_xlfn._xlws.FILTER(Dashboard!$B119:$Y119,(Dashboard!$B$8:$Y$8&gt;=Date_Start)*(Dashboard!$B$8:$Y$8&lt;=Date_End),NA())</f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">
      <c r="A133" s="44" t="s">
        <v>43</v>
      </c>
      <c r="B133" cm="1">
        <f t="array" ref="B133:Q133">_xlfn._xlws.FILTER(Dashboard!$B120:$Y120,(Dashboard!$B$8:$Y$8&gt;=Date_Start)*(Dashboard!$B$8:$Y$8&lt;=Date_End),NA())</f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">
      <c r="A134" t="s">
        <v>44</v>
      </c>
      <c r="B134" cm="1">
        <f t="array" ref="B134:Q134">_xlfn._xlws.FILTER(Dashboard!$B121:$Y121,(Dashboard!$B$8:$Y$8&gt;=Date_Start)*(Dashboard!$B$8:$Y$8&lt;=Date_End),NA())</f>
        <v>0</v>
      </c>
      <c r="C134">
        <v>0</v>
      </c>
      <c r="D134">
        <v>0</v>
      </c>
      <c r="E134">
        <v>2339120.4724999997</v>
      </c>
      <c r="F134">
        <v>4357045.5249999994</v>
      </c>
      <c r="G134">
        <v>4708250.0000000009</v>
      </c>
      <c r="H134">
        <v>934250</v>
      </c>
      <c r="I134">
        <v>3367000</v>
      </c>
      <c r="J134">
        <v>5423354.4157404974</v>
      </c>
      <c r="K134">
        <v>2523663.5419860734</v>
      </c>
      <c r="L134">
        <v>2322593.1890000002</v>
      </c>
      <c r="M134">
        <v>6667275</v>
      </c>
      <c r="N134">
        <v>16821660.141659163</v>
      </c>
      <c r="O134">
        <v>0</v>
      </c>
      <c r="P134">
        <v>0</v>
      </c>
      <c r="Q134">
        <v>0</v>
      </c>
    </row>
    <row r="135" spans="1:17" x14ac:dyDescent="0.3">
      <c r="A135" t="s">
        <v>45</v>
      </c>
      <c r="B135" cm="1">
        <f t="array" ref="B135:Q135">_xlfn._xlws.FILTER(Dashboard!$B122:$Y122,(Dashboard!$B$8:$Y$8&gt;=Date_Start)*(Dashboard!$B$8:$Y$8&lt;=Date_End),NA())</f>
        <v>0</v>
      </c>
      <c r="C135">
        <v>0</v>
      </c>
      <c r="D135">
        <v>0</v>
      </c>
      <c r="E135">
        <v>525000</v>
      </c>
      <c r="F135">
        <v>859000</v>
      </c>
      <c r="G135">
        <v>1152000</v>
      </c>
      <c r="H135">
        <v>1275000</v>
      </c>
      <c r="I135">
        <v>1646000</v>
      </c>
      <c r="J135">
        <v>3609935.6982583264</v>
      </c>
      <c r="K135">
        <v>873715.162340721</v>
      </c>
      <c r="L135">
        <v>3333351.5785765918</v>
      </c>
      <c r="M135">
        <v>2198420</v>
      </c>
      <c r="N135">
        <v>1833667.2727272727</v>
      </c>
      <c r="O135">
        <v>0</v>
      </c>
      <c r="P135">
        <v>0</v>
      </c>
      <c r="Q135">
        <v>0</v>
      </c>
    </row>
    <row r="136" spans="1:17" x14ac:dyDescent="0.3">
      <c r="A136" s="52" t="s">
        <v>46</v>
      </c>
      <c r="B136" cm="1">
        <f t="array" ref="B136:Q136">_xlfn._xlws.FILTER(Dashboard!$B123:$Y123,(Dashboard!$B$8:$Y$8&gt;=Date_Start)*(Dashboard!$B$8:$Y$8&lt;=Date_End),NA())</f>
        <v>0</v>
      </c>
      <c r="C136">
        <v>0</v>
      </c>
      <c r="D136">
        <v>0</v>
      </c>
      <c r="E136">
        <v>2864120.4724999997</v>
      </c>
      <c r="F136">
        <v>5216045.5249999994</v>
      </c>
      <c r="G136">
        <v>5860250.0000000009</v>
      </c>
      <c r="H136">
        <v>2209250</v>
      </c>
      <c r="I136">
        <v>5013000</v>
      </c>
      <c r="J136">
        <v>9033290.1139988229</v>
      </c>
      <c r="K136">
        <v>3397378.7043267945</v>
      </c>
      <c r="L136">
        <v>5655944.767576592</v>
      </c>
      <c r="M136">
        <v>8865695</v>
      </c>
      <c r="N136">
        <v>18655327.414386436</v>
      </c>
      <c r="O136">
        <v>0</v>
      </c>
      <c r="P136">
        <v>0</v>
      </c>
      <c r="Q136">
        <v>0</v>
      </c>
    </row>
    <row r="137" spans="1:17" x14ac:dyDescent="0.3">
      <c r="B137" cm="1">
        <f t="array" ref="B137:Q137">_xlfn._xlws.FILTER(Dashboard!$B124:$Y124,(Dashboard!$B$8:$Y$8&gt;=Date_Start)*(Dashboard!$B$8:$Y$8&lt;=Date_End),NA())</f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B138" cm="1">
        <f t="array" ref="B138:Q138">_xlfn._xlws.FILTER(Dashboard!$B125:$Y125,(Dashboard!$B$8:$Y$8&gt;=Date_Start)*(Dashboard!$B$8:$Y$8&lt;=Date_End),NA())</f>
        <v>0</v>
      </c>
      <c r="C138" t="str">
        <v>E1 Average</v>
      </c>
      <c r="D138">
        <v>0</v>
      </c>
      <c r="E138">
        <v>0</v>
      </c>
      <c r="F138">
        <v>4040082.9987499993</v>
      </c>
      <c r="G138" t="str">
        <v>E2 Average</v>
      </c>
      <c r="H138">
        <v>0</v>
      </c>
      <c r="I138">
        <v>0</v>
      </c>
      <c r="J138">
        <v>5528947.5284997057</v>
      </c>
      <c r="K138" t="str">
        <v>L1 Average</v>
      </c>
      <c r="L138">
        <v>0</v>
      </c>
      <c r="M138">
        <v>0</v>
      </c>
      <c r="N138">
        <v>9143586.471572455</v>
      </c>
      <c r="O138">
        <v>0</v>
      </c>
      <c r="P138">
        <v>0</v>
      </c>
      <c r="Q138">
        <v>0</v>
      </c>
    </row>
    <row r="139" spans="1:17" x14ac:dyDescent="0.3">
      <c r="B139" cm="1">
        <f t="array" ref="B139:Q139">_xlfn._xlws.FILTER(Dashboard!$B126:$Y126,(Dashboard!$B$8:$Y$8&gt;=Date_Start)*(Dashboard!$B$8:$Y$8&lt;=Date_End),NA())</f>
        <v>0</v>
      </c>
      <c r="C139">
        <v>0</v>
      </c>
      <c r="D139">
        <v>0</v>
      </c>
      <c r="E139">
        <v>0</v>
      </c>
      <c r="F139">
        <v>0</v>
      </c>
      <c r="G139" t="str">
        <v>E1+2 Average</v>
      </c>
      <c r="H139">
        <v>0</v>
      </c>
      <c r="I139">
        <v>0</v>
      </c>
      <c r="J139">
        <v>5032659.3519164706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B140" cm="1">
        <f t="array" ref="B140:Q140">_xlfn._xlws.FILTER(Dashboard!$B262:$Y262,(Dashboard!$B$8:$Y$8&gt;=Date_Start)*(Dashboard!$B$8:$Y$8&lt;=Date_End),NA())</f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B141" cm="1">
        <f t="array" ref="B141:Q141">_xlfn._xlws.FILTER(Dashboard!$B263:$Y263,(Dashboard!$B$8:$Y$8&gt;=Date_Start)*(Dashboard!$B$8:$Y$8&lt;=Date_End),NA())</f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 s="12" t="s">
        <v>34</v>
      </c>
      <c r="B142" cm="1">
        <f t="array" ref="B142:Q142">_xlfn._xlws.FILTER(Dashboard!$B103:$Y103,(Dashboard!$B$8:$Y$8&gt;=Date_Start)*(Dashboard!$B$8:$Y$8&lt;=Date_End),NA())</f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 t="s">
        <v>35</v>
      </c>
      <c r="B143" cm="1">
        <f t="array" ref="B143:Q143">_xlfn._xlws.FILTER(Dashboard!$B104:$Y104,(Dashboard!$B$8:$Y$8&gt;=Date_Start)*(Dashboard!$B$8:$Y$8&lt;=Date_End),NA())</f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0.78847825240057556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 t="s">
        <v>29</v>
      </c>
      <c r="B144" cm="1">
        <f t="array" ref="B144:Q144">_xlfn._xlws.FILTER(Dashboard!$B105:$Y105,(Dashboard!$B$8:$Y$8&gt;=Date_Start)*(Dashboard!$B$8:$Y$8&lt;=Date_End),NA())</f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0.74090820344177732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theme="8"/>
    <pageSetUpPr fitToPage="1"/>
  </sheetPr>
  <dimension ref="A1:R105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defaultColWidth="8.88671875" defaultRowHeight="14.4" x14ac:dyDescent="0.3"/>
  <cols>
    <col min="1" max="1" width="28.44140625" customWidth="1"/>
    <col min="2" max="9" width="11.44140625" customWidth="1"/>
    <col min="10" max="10" width="11.33203125" customWidth="1"/>
    <col min="11" max="11" width="28.44140625" customWidth="1"/>
    <col min="12" max="16" width="11.44140625" customWidth="1"/>
  </cols>
  <sheetData>
    <row r="1" spans="1:18" ht="18" x14ac:dyDescent="0.35">
      <c r="A1" s="6" t="s">
        <v>145</v>
      </c>
      <c r="K1" s="6"/>
    </row>
    <row r="2" spans="1:18" x14ac:dyDescent="0.3">
      <c r="A2" t="s">
        <v>146</v>
      </c>
    </row>
    <row r="3" spans="1:18" x14ac:dyDescent="0.3">
      <c r="A3" s="54"/>
    </row>
    <row r="4" spans="1:18" ht="16.2" x14ac:dyDescent="0.45">
      <c r="B4" s="246" t="s">
        <v>147</v>
      </c>
      <c r="C4" s="246"/>
      <c r="D4" s="231" t="s">
        <v>148</v>
      </c>
      <c r="E4" s="246" t="s">
        <v>149</v>
      </c>
      <c r="F4" s="246"/>
      <c r="G4" s="246"/>
      <c r="H4" s="231" t="s">
        <v>150</v>
      </c>
      <c r="L4" s="231"/>
      <c r="M4" s="231"/>
      <c r="N4" s="231"/>
      <c r="O4" s="231"/>
    </row>
    <row r="5" spans="1:18" x14ac:dyDescent="0.3">
      <c r="B5" s="17">
        <v>1</v>
      </c>
      <c r="C5" s="17">
        <v>2</v>
      </c>
      <c r="D5" s="17">
        <v>3</v>
      </c>
      <c r="E5" s="17">
        <v>6</v>
      </c>
      <c r="F5" s="17">
        <v>4</v>
      </c>
      <c r="G5" s="17">
        <v>5</v>
      </c>
      <c r="H5" s="17">
        <v>7</v>
      </c>
      <c r="L5" s="17"/>
      <c r="M5" s="17"/>
      <c r="N5" s="17"/>
      <c r="O5" s="17"/>
      <c r="R5" s="37" t="s">
        <v>151</v>
      </c>
    </row>
    <row r="6" spans="1:18" ht="16.2" x14ac:dyDescent="0.45">
      <c r="B6" s="231" t="s">
        <v>152</v>
      </c>
      <c r="C6" s="231" t="s">
        <v>153</v>
      </c>
      <c r="D6" s="231" t="s">
        <v>154</v>
      </c>
      <c r="E6" s="231" t="s">
        <v>155</v>
      </c>
      <c r="F6" s="231" t="s">
        <v>156</v>
      </c>
      <c r="G6" s="231" t="s">
        <v>157</v>
      </c>
      <c r="H6" s="231" t="s">
        <v>158</v>
      </c>
      <c r="I6" s="231" t="s">
        <v>46</v>
      </c>
      <c r="L6" s="231" t="s">
        <v>159</v>
      </c>
      <c r="M6" s="231" t="s">
        <v>160</v>
      </c>
      <c r="N6" s="231" t="s">
        <v>161</v>
      </c>
      <c r="O6" s="231" t="s">
        <v>150</v>
      </c>
      <c r="P6" s="231" t="s">
        <v>46</v>
      </c>
    </row>
    <row r="7" spans="1:18" x14ac:dyDescent="0.3">
      <c r="A7" s="12" t="s">
        <v>162</v>
      </c>
      <c r="B7" s="12"/>
      <c r="C7" s="12"/>
      <c r="D7" s="12"/>
      <c r="E7" s="12"/>
      <c r="F7" s="12"/>
      <c r="G7" s="12"/>
      <c r="H7" s="12"/>
      <c r="I7" s="22" t="s">
        <v>13</v>
      </c>
      <c r="K7" s="12" t="s">
        <v>162</v>
      </c>
      <c r="L7" s="12"/>
      <c r="M7" s="12"/>
      <c r="N7" s="12"/>
      <c r="O7" s="12"/>
      <c r="P7" s="22" t="s">
        <v>13</v>
      </c>
    </row>
    <row r="8" spans="1:18" x14ac:dyDescent="0.3">
      <c r="A8" t="s">
        <v>25</v>
      </c>
      <c r="B8" s="32" cm="1">
        <f t="array" ref="B8">SUMPRODUCT(--(Network_Bikeways!$N$11:$N$1010=$R8),Network_Bikeways!$AB$11:$AB$1010,Network_Bikeways!AM$11:AM$1010)</f>
        <v>2.2278946838538998</v>
      </c>
      <c r="C8" s="32" cm="1">
        <f t="array" ref="C8">SUMPRODUCT(--(Network_Bikeways!$N$11:$N$1010=$R8),Network_Bikeways!$AB$11:$AB$1010,Network_Bikeways!AN$11:AN$1010)</f>
        <v>2.9493141982464</v>
      </c>
      <c r="D8" s="32" cm="1">
        <f t="array" ref="D8">SUMPRODUCT(--(Network_Bikeways!$N$11:$N$1010=$R8),Network_Bikeways!$AB$11:$AB$1010,Network_Bikeways!AO$11:AO$1010)</f>
        <v>8.9760820618755002</v>
      </c>
      <c r="E8" s="32" cm="1">
        <f t="array" ref="E8">SUMPRODUCT(--(Network_Bikeways!$N$11:$N$1010=$R8),Network_Bikeways!$AB$11:$AB$1010,Network_Bikeways!AP$11:AP$1010)</f>
        <v>2.8572781366049007</v>
      </c>
      <c r="F8" s="32" cm="1">
        <f t="array" ref="F8">SUMPRODUCT(--(Network_Bikeways!$N$11:$N$1010=$R8),Network_Bikeways!$AB$11:$AB$1010,Network_Bikeways!AQ$11:AQ$1010)</f>
        <v>0.85219916750774005</v>
      </c>
      <c r="G8" s="32" cm="1">
        <f t="array" ref="G8">SUMPRODUCT(--(Network_Bikeways!$N$11:$N$1010=$R8),Network_Bikeways!$AB$11:$AB$1010,Network_Bikeways!AR$11:AR$1010)</f>
        <v>4.8739500982974997</v>
      </c>
      <c r="H8" s="32" cm="1">
        <f t="array" ref="H8">SUMPRODUCT(--(Network_Bikeways!$N$11:$N$1010=$R8),Network_Bikeways!$AB$11:$AB$1010,Network_Bikeways!AS$11:AS$1010)</f>
        <v>15.771942892104462</v>
      </c>
      <c r="I8" s="114">
        <f>SUM(B8:H8)</f>
        <v>38.508661238490404</v>
      </c>
      <c r="K8" t="s">
        <v>25</v>
      </c>
      <c r="L8" s="32">
        <f>SUM(B8:C8)</f>
        <v>5.1772088821002997</v>
      </c>
      <c r="M8" s="32">
        <f>D8</f>
        <v>8.9760820618755002</v>
      </c>
      <c r="N8" s="32">
        <f>SUM(E8:G8)</f>
        <v>8.5834274024101411</v>
      </c>
      <c r="O8" s="32">
        <f>H8</f>
        <v>15.771942892104462</v>
      </c>
      <c r="P8" s="114">
        <f>SUM(L8:O8)</f>
        <v>38.508661238490404</v>
      </c>
      <c r="R8" s="4" t="s">
        <v>163</v>
      </c>
    </row>
    <row r="9" spans="1:18" x14ac:dyDescent="0.3">
      <c r="A9" t="s">
        <v>164</v>
      </c>
      <c r="B9" s="32" cm="1">
        <f t="array" ref="B9">SUMPRODUCT(--(Network_Bikeways!$N$11:$N$1010=$R9),Network_Bikeways!$AB$11:$AB$1010,Network_Bikeways!AM$11:AM$1010)</f>
        <v>8.0785891496407025</v>
      </c>
      <c r="C9" s="32" cm="1">
        <f t="array" ref="C9">SUMPRODUCT(--(Network_Bikeways!$N$11:$N$1010=$R9),Network_Bikeways!$AB$11:$AB$1010,Network_Bikeways!AN$11:AN$1010)</f>
        <v>18.263911301176847</v>
      </c>
      <c r="D9" s="32" cm="1">
        <f t="array" ref="D9">SUMPRODUCT(--(Network_Bikeways!$N$11:$N$1010=$R9),Network_Bikeways!$AB$11:$AB$1010,Network_Bikeways!AO$11:AO$1010)</f>
        <v>13.229944744859653</v>
      </c>
      <c r="E9" s="32" cm="1">
        <f t="array" ref="E9">SUMPRODUCT(--(Network_Bikeways!$N$11:$N$1010=$R9),Network_Bikeways!$AB$11:$AB$1010,Network_Bikeways!AP$11:AP$1010)</f>
        <v>23.441441424826699</v>
      </c>
      <c r="F9" s="32" cm="1">
        <f t="array" ref="F9">SUMPRODUCT(--(Network_Bikeways!$N$11:$N$1010=$R9),Network_Bikeways!$AB$11:$AB$1010,Network_Bikeways!AQ$11:AQ$1010)</f>
        <v>11.645923388751751</v>
      </c>
      <c r="G9" s="32" cm="1">
        <f t="array" ref="G9">SUMPRODUCT(--(Network_Bikeways!$N$11:$N$1010=$R9),Network_Bikeways!$AB$11:$AB$1010,Network_Bikeways!AR$11:AR$1010)</f>
        <v>15.303756556349549</v>
      </c>
      <c r="H9" s="32" cm="1">
        <f t="array" ref="H9">SUMPRODUCT(--(Network_Bikeways!$N$11:$N$1010=$R9),Network_Bikeways!$AB$11:$AB$1010,Network_Bikeways!AS$11:AS$1010)</f>
        <v>25.611028807692303</v>
      </c>
      <c r="I9" s="114">
        <f>SUM(B9:H9)</f>
        <v>115.57459537329751</v>
      </c>
      <c r="K9" t="s">
        <v>164</v>
      </c>
      <c r="L9" s="32">
        <f>SUM(B9:C9)</f>
        <v>26.34250045081755</v>
      </c>
      <c r="M9" s="32">
        <f>D9</f>
        <v>13.229944744859653</v>
      </c>
      <c r="N9" s="32">
        <f>SUM(E9:G9)</f>
        <v>50.391121369927994</v>
      </c>
      <c r="O9" s="32">
        <f>H9</f>
        <v>25.611028807692303</v>
      </c>
      <c r="P9" s="114">
        <f>SUM(L9:O9)</f>
        <v>115.5745953732975</v>
      </c>
      <c r="R9" s="4" t="s">
        <v>165</v>
      </c>
    </row>
    <row r="10" spans="1:18" x14ac:dyDescent="0.3">
      <c r="A10" t="s">
        <v>166</v>
      </c>
      <c r="B10" s="32" cm="1">
        <f t="array" ref="B10">SUMPRODUCT(--(Network_Bikeways!$N$11:$N$1010=$R10),Network_Bikeways!$AB$11:$AB$1010,Network_Bikeways!AM$11:AM$1010)</f>
        <v>29.101527063829195</v>
      </c>
      <c r="C10" s="32" cm="1">
        <f t="array" ref="C10">SUMPRODUCT(--(Network_Bikeways!$N$11:$N$1010=$R10),Network_Bikeways!$AB$11:$AB$1010,Network_Bikeways!AN$11:AN$1010)</f>
        <v>25.438934231438406</v>
      </c>
      <c r="D10" s="32" cm="1">
        <f t="array" ref="D10">SUMPRODUCT(--(Network_Bikeways!$N$11:$N$1010=$R10),Network_Bikeways!$AB$11:$AB$1010,Network_Bikeways!AO$11:AO$1010)</f>
        <v>14.215056870733131</v>
      </c>
      <c r="E10" s="32" cm="1">
        <f t="array" ref="E10">SUMPRODUCT(--(Network_Bikeways!$N$11:$N$1010=$R10),Network_Bikeways!$AB$11:$AB$1010,Network_Bikeways!AP$11:AP$1010)</f>
        <v>13.269980279488601</v>
      </c>
      <c r="F10" s="32" cm="1">
        <f t="array" ref="F10">SUMPRODUCT(--(Network_Bikeways!$N$11:$N$1010=$R10),Network_Bikeways!$AB$11:$AB$1010,Network_Bikeways!AQ$11:AQ$1010)</f>
        <v>7.2915512945548713</v>
      </c>
      <c r="G10" s="32" cm="1">
        <f t="array" ref="G10">SUMPRODUCT(--(Network_Bikeways!$N$11:$N$1010=$R10),Network_Bikeways!$AB$11:$AB$1010,Network_Bikeways!AR$11:AR$1010)</f>
        <v>13.993171936057699</v>
      </c>
      <c r="H10" s="32" cm="1">
        <f t="array" ref="H10">SUMPRODUCT(--(Network_Bikeways!$N$11:$N$1010=$R10),Network_Bikeways!$AB$11:$AB$1010,Network_Bikeways!AS$11:AS$1010)</f>
        <v>21.782755626095103</v>
      </c>
      <c r="I10" s="114">
        <f>SUM(B10:H10)</f>
        <v>125.09297730219703</v>
      </c>
      <c r="K10" t="s">
        <v>166</v>
      </c>
      <c r="L10" s="32">
        <f>SUM(B10:C10)</f>
        <v>54.540461295267605</v>
      </c>
      <c r="M10" s="32">
        <f>D10</f>
        <v>14.215056870733131</v>
      </c>
      <c r="N10" s="32">
        <f>SUM(E10:G10)</f>
        <v>34.55470351010117</v>
      </c>
      <c r="O10" s="32">
        <f>H10</f>
        <v>21.782755626095103</v>
      </c>
      <c r="P10" s="114">
        <f>SUM(L10:O10)</f>
        <v>125.09297730219703</v>
      </c>
      <c r="R10" s="4" t="s">
        <v>167</v>
      </c>
    </row>
    <row r="11" spans="1:18" x14ac:dyDescent="0.3">
      <c r="A11" t="s">
        <v>26</v>
      </c>
      <c r="B11" s="32" cm="1">
        <f t="array" ref="B11">SUMPRODUCT(--(Network_Bikeways!$N$11:$N$1010=$R11),Network_Bikeways!$AB$11:$AB$1010,Network_Bikeways!AM$11:AM$1010)</f>
        <v>13.897039990716802</v>
      </c>
      <c r="C11" s="32" cm="1">
        <f t="array" ref="C11">SUMPRODUCT(--(Network_Bikeways!$N$11:$N$1010=$R11),Network_Bikeways!$AB$11:$AB$1010,Network_Bikeways!AN$11:AN$1010)</f>
        <v>8.4924730915384998</v>
      </c>
      <c r="D11" s="32" cm="1">
        <f t="array" ref="D11">SUMPRODUCT(--(Network_Bikeways!$N$11:$N$1010=$R11),Network_Bikeways!$AB$11:$AB$1010,Network_Bikeways!AO$11:AO$1010)</f>
        <v>8.6537416360558996</v>
      </c>
      <c r="E11" s="32" cm="1">
        <f t="array" ref="E11">SUMPRODUCT(--(Network_Bikeways!$N$11:$N$1010=$R11),Network_Bikeways!$AB$11:$AB$1010,Network_Bikeways!AP$11:AP$1010)</f>
        <v>0</v>
      </c>
      <c r="F11" s="32" cm="1">
        <f t="array" ref="F11">SUMPRODUCT(--(Network_Bikeways!$N$11:$N$1010=$R11),Network_Bikeways!$AB$11:$AB$1010,Network_Bikeways!AQ$11:AQ$1010)</f>
        <v>0</v>
      </c>
      <c r="G11" s="32" cm="1">
        <f t="array" ref="G11">SUMPRODUCT(--(Network_Bikeways!$N$11:$N$1010=$R11),Network_Bikeways!$AB$11:$AB$1010,Network_Bikeways!AR$11:AR$1010)</f>
        <v>3.5877710947327</v>
      </c>
      <c r="H11" s="32" cm="1">
        <f t="array" ref="H11">SUMPRODUCT(--(Network_Bikeways!$N$11:$N$1010=$R11),Network_Bikeways!$AB$11:$AB$1010,Network_Bikeways!AS$11:AS$1010)</f>
        <v>3.2810997683439003</v>
      </c>
      <c r="I11" s="114">
        <f>SUM(B11:H11)</f>
        <v>37.912125581387805</v>
      </c>
      <c r="K11" t="s">
        <v>26</v>
      </c>
      <c r="L11" s="32">
        <f>SUM(B11:C11)</f>
        <v>22.389513082255302</v>
      </c>
      <c r="M11" s="32">
        <f>D11</f>
        <v>8.6537416360558996</v>
      </c>
      <c r="N11" s="32">
        <f>SUM(E11:G11)</f>
        <v>3.5877710947327</v>
      </c>
      <c r="O11" s="32">
        <f>H11</f>
        <v>3.2810997683439003</v>
      </c>
      <c r="P11" s="114">
        <f>SUM(L11:O11)</f>
        <v>37.912125581387805</v>
      </c>
      <c r="R11" s="4" t="s">
        <v>168</v>
      </c>
    </row>
    <row r="12" spans="1:18" x14ac:dyDescent="0.3">
      <c r="A12" t="s">
        <v>169</v>
      </c>
      <c r="B12" s="32" cm="1">
        <f t="array" ref="B12">SUMPRODUCT(--(Network_Bikeways!$N$11:$N$1010=$R12),Network_Bikeways!$AB$11:$AB$1010,Network_Bikeways!AM$11:AM$1010)</f>
        <v>12.1367635949802</v>
      </c>
      <c r="C12" s="32" cm="1">
        <f t="array" ref="C12">SUMPRODUCT(--(Network_Bikeways!$N$11:$N$1010=$R12),Network_Bikeways!$AB$11:$AB$1010,Network_Bikeways!AN$11:AN$1010)</f>
        <v>8.8243775863816492</v>
      </c>
      <c r="D12" s="32" cm="1">
        <f t="array" ref="D12">SUMPRODUCT(--(Network_Bikeways!$N$11:$N$1010=$R12),Network_Bikeways!$AB$11:$AB$1010,Network_Bikeways!AO$11:AO$1010)</f>
        <v>3.4280643648011502</v>
      </c>
      <c r="E12" s="32" cm="1">
        <f t="array" ref="E12">SUMPRODUCT(--(Network_Bikeways!$N$11:$N$1010=$R12),Network_Bikeways!$AB$11:$AB$1010,Network_Bikeways!AP$11:AP$1010)</f>
        <v>5.7598033212442008</v>
      </c>
      <c r="F12" s="32" cm="1">
        <f t="array" ref="F12">SUMPRODUCT(--(Network_Bikeways!$N$11:$N$1010=$R12),Network_Bikeways!$AB$11:$AB$1010,Network_Bikeways!AQ$11:AQ$1010)</f>
        <v>6.5614027187254003</v>
      </c>
      <c r="G12" s="32" cm="1">
        <f t="array" ref="G12">SUMPRODUCT(--(Network_Bikeways!$N$11:$N$1010=$R12),Network_Bikeways!$AB$11:$AB$1010,Network_Bikeways!AR$11:AR$1010)</f>
        <v>7.9987099833912998</v>
      </c>
      <c r="H12" s="32" cm="1">
        <f t="array" ref="H12">SUMPRODUCT(--(Network_Bikeways!$N$11:$N$1010=$R12),Network_Bikeways!$AB$11:$AB$1010,Network_Bikeways!AS$11:AS$1010)</f>
        <v>5.2765018098815002</v>
      </c>
      <c r="I12" s="118">
        <f>SUM(B12:H12)</f>
        <v>49.985623379405396</v>
      </c>
      <c r="K12" s="10" t="s">
        <v>169</v>
      </c>
      <c r="L12" s="115">
        <f>SUM(B12:C12)</f>
        <v>20.96114118136185</v>
      </c>
      <c r="M12" s="115">
        <f>D12</f>
        <v>3.4280643648011502</v>
      </c>
      <c r="N12" s="115">
        <f>SUM(E12:G12)</f>
        <v>20.3199160233609</v>
      </c>
      <c r="O12" s="115">
        <f>H12</f>
        <v>5.2765018098815002</v>
      </c>
      <c r="P12" s="116">
        <f>SUM(L12:O12)</f>
        <v>49.985623379405403</v>
      </c>
      <c r="R12" s="4" t="s">
        <v>170</v>
      </c>
    </row>
    <row r="13" spans="1:18" x14ac:dyDescent="0.3">
      <c r="A13" s="52" t="s">
        <v>46</v>
      </c>
      <c r="B13" s="119">
        <f>SUM(B8:B12)</f>
        <v>65.441814483020792</v>
      </c>
      <c r="C13" s="119">
        <f t="shared" ref="C13:H13" si="0">SUM(C8:C12)</f>
        <v>63.969010408781806</v>
      </c>
      <c r="D13" s="119">
        <f t="shared" si="0"/>
        <v>48.502889678325332</v>
      </c>
      <c r="E13" s="119">
        <f t="shared" si="0"/>
        <v>45.328503162164402</v>
      </c>
      <c r="F13" s="119">
        <f t="shared" si="0"/>
        <v>26.35107656953976</v>
      </c>
      <c r="G13" s="119">
        <f t="shared" si="0"/>
        <v>45.757359668828748</v>
      </c>
      <c r="H13" s="119">
        <f t="shared" si="0"/>
        <v>71.723328904117267</v>
      </c>
      <c r="I13" s="119">
        <f>SUM(I8:I12)</f>
        <v>367.07398287477815</v>
      </c>
      <c r="K13" s="2" t="s">
        <v>46</v>
      </c>
      <c r="L13" s="114">
        <f>SUM(L8:L12)</f>
        <v>129.4108248918026</v>
      </c>
      <c r="M13" s="114">
        <f>SUM(M8:M12)</f>
        <v>48.502889678325332</v>
      </c>
      <c r="N13" s="114">
        <f>SUM(N8:N12)</f>
        <v>117.43693940053291</v>
      </c>
      <c r="O13" s="114">
        <f>SUM(O8:O12)</f>
        <v>71.723328904117267</v>
      </c>
      <c r="P13" s="114">
        <f>SUM(P8:P12)</f>
        <v>367.0739828747781</v>
      </c>
    </row>
    <row r="14" spans="1:18" x14ac:dyDescent="0.3">
      <c r="A14" s="2"/>
      <c r="B14" s="114"/>
      <c r="C14" s="114"/>
      <c r="D14" s="114"/>
      <c r="E14" s="114"/>
      <c r="F14" s="114"/>
      <c r="G14" s="114"/>
      <c r="H14" s="114"/>
      <c r="I14" s="114"/>
      <c r="K14" s="2"/>
      <c r="L14" s="114"/>
      <c r="M14" s="114"/>
      <c r="N14" s="114"/>
      <c r="O14" s="114"/>
      <c r="P14" s="114"/>
    </row>
    <row r="15" spans="1:18" x14ac:dyDescent="0.3">
      <c r="A15" t="s">
        <v>171</v>
      </c>
      <c r="B15" s="117">
        <f>SUM(B8:B11)</f>
        <v>53.305050888040597</v>
      </c>
      <c r="C15" s="117">
        <f t="shared" ref="C15:H15" si="1">SUM(C8:C11)</f>
        <v>55.144632822400155</v>
      </c>
      <c r="D15" s="117">
        <f t="shared" si="1"/>
        <v>45.07482531352418</v>
      </c>
      <c r="E15" s="117">
        <f t="shared" si="1"/>
        <v>39.568699840920203</v>
      </c>
      <c r="F15" s="117">
        <f t="shared" si="1"/>
        <v>19.78967385081436</v>
      </c>
      <c r="G15" s="117">
        <f t="shared" si="1"/>
        <v>37.758649685437447</v>
      </c>
      <c r="H15" s="117">
        <f t="shared" si="1"/>
        <v>66.446827094235772</v>
      </c>
      <c r="I15" s="49">
        <f>SUM(I8:I11)</f>
        <v>317.08835949537274</v>
      </c>
      <c r="K15" t="s">
        <v>171</v>
      </c>
      <c r="L15" s="117">
        <f>SUM(L8:L11)</f>
        <v>108.44968371044077</v>
      </c>
      <c r="M15" s="117">
        <f>SUM(M8:M11)</f>
        <v>45.07482531352418</v>
      </c>
      <c r="N15" s="117">
        <f>SUM(N8:N11)</f>
        <v>97.117023377172004</v>
      </c>
      <c r="O15" s="117">
        <f>SUM(O8:O11)</f>
        <v>66.446827094235772</v>
      </c>
      <c r="P15" s="49">
        <f>SUM(P8:P11)</f>
        <v>317.08835949537269</v>
      </c>
    </row>
    <row r="18" spans="1:18" x14ac:dyDescent="0.3">
      <c r="A18" s="12" t="s">
        <v>172</v>
      </c>
      <c r="B18" s="12"/>
      <c r="C18" s="12"/>
      <c r="D18" s="12"/>
      <c r="E18" s="12"/>
      <c r="F18" s="12"/>
      <c r="G18" s="12"/>
      <c r="H18" s="12"/>
      <c r="I18" s="22"/>
      <c r="K18" s="12" t="s">
        <v>172</v>
      </c>
      <c r="L18" s="12"/>
      <c r="M18" s="12"/>
      <c r="N18" s="12"/>
      <c r="O18" s="12"/>
      <c r="P18" s="22"/>
    </row>
    <row r="19" spans="1:18" x14ac:dyDescent="0.3">
      <c r="A19" t="s">
        <v>25</v>
      </c>
      <c r="B19" s="69">
        <f t="shared" ref="B19:I24" si="2">B8/$I8</f>
        <v>5.785437904621471E-2</v>
      </c>
      <c r="C19" s="69">
        <f t="shared" si="2"/>
        <v>7.6588333725257737E-2</v>
      </c>
      <c r="D19" s="69">
        <f t="shared" si="2"/>
        <v>0.23309255043391833</v>
      </c>
      <c r="E19" s="69">
        <f t="shared" si="2"/>
        <v>7.4198324343433084E-2</v>
      </c>
      <c r="F19" s="69">
        <f t="shared" si="2"/>
        <v>2.2130064772439943E-2</v>
      </c>
      <c r="G19" s="69">
        <f t="shared" si="2"/>
        <v>0.12656763287906411</v>
      </c>
      <c r="H19" s="69">
        <f t="shared" si="2"/>
        <v>0.40956871479967205</v>
      </c>
      <c r="I19" s="70">
        <f t="shared" si="2"/>
        <v>1</v>
      </c>
      <c r="K19" t="s">
        <v>25</v>
      </c>
      <c r="L19" s="69">
        <f t="shared" ref="L19:P24" si="3">L8/$P8</f>
        <v>0.13444271277147243</v>
      </c>
      <c r="M19" s="69">
        <f t="shared" si="3"/>
        <v>0.23309255043391833</v>
      </c>
      <c r="N19" s="69">
        <f t="shared" si="3"/>
        <v>0.22289602199493716</v>
      </c>
      <c r="O19" s="69">
        <f t="shared" si="3"/>
        <v>0.40956871479967205</v>
      </c>
      <c r="P19" s="70">
        <f t="shared" si="3"/>
        <v>1</v>
      </c>
      <c r="R19" s="4" t="s">
        <v>163</v>
      </c>
    </row>
    <row r="20" spans="1:18" x14ac:dyDescent="0.3">
      <c r="A20" t="s">
        <v>164</v>
      </c>
      <c r="B20" s="69">
        <f t="shared" si="2"/>
        <v>6.9899350489157658E-2</v>
      </c>
      <c r="C20" s="69">
        <f t="shared" si="2"/>
        <v>0.15802704082316488</v>
      </c>
      <c r="D20" s="69">
        <f t="shared" si="2"/>
        <v>0.11447104532036557</v>
      </c>
      <c r="E20" s="69">
        <f t="shared" si="2"/>
        <v>0.20282520868113407</v>
      </c>
      <c r="F20" s="69">
        <f t="shared" si="2"/>
        <v>0.10076542644286374</v>
      </c>
      <c r="G20" s="69">
        <f t="shared" si="2"/>
        <v>0.13241453718197785</v>
      </c>
      <c r="H20" s="69">
        <f t="shared" si="2"/>
        <v>0.22159739106133616</v>
      </c>
      <c r="I20" s="70">
        <f t="shared" si="2"/>
        <v>1</v>
      </c>
      <c r="K20" t="s">
        <v>164</v>
      </c>
      <c r="L20" s="69">
        <f t="shared" si="3"/>
        <v>0.22792639131232256</v>
      </c>
      <c r="M20" s="69">
        <f t="shared" si="3"/>
        <v>0.11447104532036559</v>
      </c>
      <c r="N20" s="69">
        <f t="shared" si="3"/>
        <v>0.43600517230597569</v>
      </c>
      <c r="O20" s="69">
        <f t="shared" si="3"/>
        <v>0.22159739106133619</v>
      </c>
      <c r="P20" s="70">
        <f t="shared" si="3"/>
        <v>1</v>
      </c>
      <c r="R20" s="4" t="s">
        <v>165</v>
      </c>
    </row>
    <row r="21" spans="1:18" x14ac:dyDescent="0.3">
      <c r="A21" t="s">
        <v>166</v>
      </c>
      <c r="B21" s="69">
        <f t="shared" si="2"/>
        <v>0.23263917520746452</v>
      </c>
      <c r="C21" s="69">
        <f t="shared" si="2"/>
        <v>0.20336021078132591</v>
      </c>
      <c r="D21" s="69">
        <f t="shared" si="2"/>
        <v>0.11363593046788462</v>
      </c>
      <c r="E21" s="69">
        <f t="shared" si="2"/>
        <v>0.10608093728100546</v>
      </c>
      <c r="F21" s="69">
        <f t="shared" si="2"/>
        <v>5.8289053884616499E-2</v>
      </c>
      <c r="G21" s="69">
        <f t="shared" si="2"/>
        <v>0.11186217034592824</v>
      </c>
      <c r="H21" s="69">
        <f t="shared" si="2"/>
        <v>0.17413252203177459</v>
      </c>
      <c r="I21" s="70">
        <f t="shared" si="2"/>
        <v>1</v>
      </c>
      <c r="K21" t="s">
        <v>166</v>
      </c>
      <c r="L21" s="69">
        <f t="shared" si="3"/>
        <v>0.43599938598879046</v>
      </c>
      <c r="M21" s="69">
        <f t="shared" si="3"/>
        <v>0.11363593046788462</v>
      </c>
      <c r="N21" s="69">
        <f t="shared" si="3"/>
        <v>0.27623216151155017</v>
      </c>
      <c r="O21" s="69">
        <f t="shared" si="3"/>
        <v>0.17413252203177459</v>
      </c>
      <c r="P21" s="70">
        <f t="shared" si="3"/>
        <v>1</v>
      </c>
      <c r="R21" s="4" t="s">
        <v>167</v>
      </c>
    </row>
    <row r="22" spans="1:18" x14ac:dyDescent="0.3">
      <c r="A22" t="s">
        <v>26</v>
      </c>
      <c r="B22" s="69">
        <f t="shared" si="2"/>
        <v>0.36655924134043472</v>
      </c>
      <c r="C22" s="69">
        <f t="shared" si="2"/>
        <v>0.22400414013472536</v>
      </c>
      <c r="D22" s="69">
        <f t="shared" si="2"/>
        <v>0.22825788592302723</v>
      </c>
      <c r="E22" s="69">
        <f t="shared" si="2"/>
        <v>0</v>
      </c>
      <c r="F22" s="69">
        <f t="shared" si="2"/>
        <v>0</v>
      </c>
      <c r="G22" s="69">
        <f t="shared" si="2"/>
        <v>9.4633868181056138E-2</v>
      </c>
      <c r="H22" s="69">
        <f t="shared" si="2"/>
        <v>8.6544864420756457E-2</v>
      </c>
      <c r="I22" s="70">
        <f t="shared" si="2"/>
        <v>1</v>
      </c>
      <c r="K22" t="s">
        <v>26</v>
      </c>
      <c r="L22" s="69">
        <f t="shared" si="3"/>
        <v>0.59056338147516008</v>
      </c>
      <c r="M22" s="69">
        <f t="shared" si="3"/>
        <v>0.22825788592302723</v>
      </c>
      <c r="N22" s="69">
        <f t="shared" si="3"/>
        <v>9.4633868181056138E-2</v>
      </c>
      <c r="O22" s="69">
        <f t="shared" si="3"/>
        <v>8.6544864420756457E-2</v>
      </c>
      <c r="P22" s="70">
        <f t="shared" si="3"/>
        <v>1</v>
      </c>
      <c r="R22" s="4" t="s">
        <v>168</v>
      </c>
    </row>
    <row r="23" spans="1:18" x14ac:dyDescent="0.3">
      <c r="A23" s="10" t="s">
        <v>169</v>
      </c>
      <c r="B23" s="71">
        <f t="shared" si="2"/>
        <v>0.24280508623166785</v>
      </c>
      <c r="C23" s="71">
        <f t="shared" si="2"/>
        <v>0.17653831221433533</v>
      </c>
      <c r="D23" s="71">
        <f t="shared" si="2"/>
        <v>6.8581006558248683E-2</v>
      </c>
      <c r="E23" s="71">
        <f t="shared" si="2"/>
        <v>0.11522919855426471</v>
      </c>
      <c r="F23" s="71">
        <f t="shared" si="2"/>
        <v>0.13126579754587531</v>
      </c>
      <c r="G23" s="71">
        <f t="shared" si="2"/>
        <v>0.16002021066494998</v>
      </c>
      <c r="H23" s="71">
        <f t="shared" si="2"/>
        <v>0.10556038823065823</v>
      </c>
      <c r="I23" s="72">
        <f t="shared" si="2"/>
        <v>1</v>
      </c>
      <c r="K23" s="10" t="s">
        <v>169</v>
      </c>
      <c r="L23" s="71">
        <f t="shared" si="3"/>
        <v>0.41934339844600316</v>
      </c>
      <c r="M23" s="71">
        <f t="shared" si="3"/>
        <v>6.8581006558248669E-2</v>
      </c>
      <c r="N23" s="71">
        <f t="shared" si="3"/>
        <v>0.4065152067650899</v>
      </c>
      <c r="O23" s="71">
        <f t="shared" si="3"/>
        <v>0.10556038823065822</v>
      </c>
      <c r="P23" s="72">
        <f t="shared" si="3"/>
        <v>1</v>
      </c>
      <c r="R23" s="4" t="s">
        <v>170</v>
      </c>
    </row>
    <row r="24" spans="1:18" x14ac:dyDescent="0.3">
      <c r="A24" s="2" t="s">
        <v>46</v>
      </c>
      <c r="B24" s="70">
        <f t="shared" si="2"/>
        <v>0.17827963172575295</v>
      </c>
      <c r="C24" s="70">
        <f t="shared" si="2"/>
        <v>0.17426735043383307</v>
      </c>
      <c r="D24" s="70">
        <f t="shared" si="2"/>
        <v>0.13213382571673943</v>
      </c>
      <c r="E24" s="70">
        <f t="shared" si="2"/>
        <v>0.12348601447362056</v>
      </c>
      <c r="F24" s="70">
        <f t="shared" si="2"/>
        <v>7.1786827176278087E-2</v>
      </c>
      <c r="G24" s="70">
        <f t="shared" si="2"/>
        <v>0.12465432529561267</v>
      </c>
      <c r="H24" s="70">
        <f t="shared" si="2"/>
        <v>0.19539202517816312</v>
      </c>
      <c r="I24" s="70">
        <f t="shared" si="2"/>
        <v>1</v>
      </c>
      <c r="K24" s="2" t="s">
        <v>46</v>
      </c>
      <c r="L24" s="70">
        <f t="shared" si="3"/>
        <v>0.35254698215958608</v>
      </c>
      <c r="M24" s="70">
        <f t="shared" si="3"/>
        <v>0.13213382571673946</v>
      </c>
      <c r="N24" s="70">
        <f t="shared" si="3"/>
        <v>0.31992716694551138</v>
      </c>
      <c r="O24" s="70">
        <f t="shared" si="3"/>
        <v>0.19539202517816315</v>
      </c>
      <c r="P24" s="70">
        <f t="shared" si="3"/>
        <v>1</v>
      </c>
    </row>
    <row r="25" spans="1:18" x14ac:dyDescent="0.3">
      <c r="A25" s="2"/>
      <c r="B25" s="70"/>
      <c r="C25" s="70"/>
      <c r="D25" s="70"/>
      <c r="E25" s="70"/>
      <c r="F25" s="70"/>
      <c r="G25" s="70"/>
      <c r="H25" s="70"/>
      <c r="I25" s="70"/>
      <c r="K25" s="2"/>
      <c r="L25" s="70"/>
      <c r="M25" s="70"/>
      <c r="N25" s="70"/>
      <c r="O25" s="70"/>
      <c r="P25" s="70"/>
    </row>
    <row r="26" spans="1:18" x14ac:dyDescent="0.3">
      <c r="A26" t="s">
        <v>171</v>
      </c>
      <c r="B26" s="69">
        <f t="shared" ref="B26:I26" si="4">B15/$I15</f>
        <v>0.16810787684818332</v>
      </c>
      <c r="C26" s="69">
        <f t="shared" si="4"/>
        <v>0.17390935734808921</v>
      </c>
      <c r="D26" s="69">
        <f t="shared" si="4"/>
        <v>0.14215225492748482</v>
      </c>
      <c r="E26" s="69">
        <f t="shared" si="4"/>
        <v>0.12478761410192236</v>
      </c>
      <c r="F26" s="69">
        <f t="shared" si="4"/>
        <v>6.2410597103937995E-2</v>
      </c>
      <c r="G26" s="69">
        <f t="shared" si="4"/>
        <v>0.11907926782783225</v>
      </c>
      <c r="H26" s="69">
        <f t="shared" si="4"/>
        <v>0.20955303184254995</v>
      </c>
      <c r="I26" s="70">
        <f t="shared" si="4"/>
        <v>1</v>
      </c>
      <c r="K26" t="s">
        <v>171</v>
      </c>
      <c r="L26" s="69">
        <f>L15/$P15</f>
        <v>0.34201723419627261</v>
      </c>
      <c r="M26" s="69">
        <f>M15/$P15</f>
        <v>0.14215225492748484</v>
      </c>
      <c r="N26" s="69">
        <f>N15/$P15</f>
        <v>0.30627747903369262</v>
      </c>
      <c r="O26" s="69">
        <f>O15/$P15</f>
        <v>0.20955303184255</v>
      </c>
      <c r="P26" s="70">
        <f>P15/$P15</f>
        <v>1</v>
      </c>
    </row>
    <row r="29" spans="1:18" x14ac:dyDescent="0.3">
      <c r="A29" s="12" t="s">
        <v>173</v>
      </c>
      <c r="B29" s="12"/>
      <c r="C29" s="12"/>
      <c r="D29" s="12"/>
      <c r="E29" s="12"/>
      <c r="F29" s="12"/>
      <c r="G29" s="12"/>
      <c r="H29" s="12"/>
      <c r="I29" s="22" t="s">
        <v>174</v>
      </c>
      <c r="K29" s="12" t="s">
        <v>173</v>
      </c>
      <c r="L29" s="12"/>
      <c r="M29" s="12"/>
      <c r="N29" s="12"/>
      <c r="O29" s="12"/>
      <c r="P29" s="22" t="s">
        <v>174</v>
      </c>
    </row>
    <row r="30" spans="1:18" x14ac:dyDescent="0.3">
      <c r="A30" t="s">
        <v>175</v>
      </c>
      <c r="B30" s="32">
        <f>SUMIFS(Geographies!$G$6:$G$809,Geographies!$J$6:$J$809,B$5)</f>
        <v>20.344507847799481</v>
      </c>
      <c r="C30" s="32">
        <f>SUMIFS(Geographies!$G$6:$G$809,Geographies!$J$6:$J$809,C$5)</f>
        <v>51.254445448020917</v>
      </c>
      <c r="D30" s="32">
        <f>SUMIFS(Geographies!$G$6:$G$809,Geographies!$J$6:$J$809,D$5)</f>
        <v>21.787325353532292</v>
      </c>
      <c r="E30" s="32">
        <f>SUMIFS(Geographies!$G$6:$G$809,Geographies!$J$6:$J$809,E$5)</f>
        <v>28.346795665191163</v>
      </c>
      <c r="F30" s="32">
        <f>SUMIFS(Geographies!$G$6:$G$809,Geographies!$J$6:$J$809,F$5)</f>
        <v>40.776885332397853</v>
      </c>
      <c r="G30" s="32">
        <f>SUMIFS(Geographies!$G$6:$G$809,Geographies!$J$6:$J$809,G$5)</f>
        <v>49.084346934362749</v>
      </c>
      <c r="H30" s="32">
        <f>SUMIFS(Geographies!$G$6:$G$809,Geographies!$J$6:$J$809,H$5)</f>
        <v>19.337013788407834</v>
      </c>
      <c r="I30" s="49">
        <f>SUM(B30:H30)</f>
        <v>230.93132036971227</v>
      </c>
      <c r="K30" t="s">
        <v>175</v>
      </c>
      <c r="L30" s="46">
        <f>SUM(B30:C30)</f>
        <v>71.598953295820394</v>
      </c>
      <c r="M30" s="46">
        <f>D30</f>
        <v>21.787325353532292</v>
      </c>
      <c r="N30" s="46">
        <f>SUM(E30:G30)</f>
        <v>118.20802793195176</v>
      </c>
      <c r="O30" s="46">
        <f>H30</f>
        <v>19.337013788407834</v>
      </c>
      <c r="P30" s="47">
        <f>SUM(L30:O30)</f>
        <v>230.9313203697123</v>
      </c>
    </row>
    <row r="31" spans="1:18" x14ac:dyDescent="0.3">
      <c r="A31" s="11" t="s">
        <v>176</v>
      </c>
      <c r="B31" s="69">
        <f>B30/$I$30</f>
        <v>8.8097655247580522E-2</v>
      </c>
      <c r="C31" s="69">
        <f t="shared" ref="C31:I31" si="5">C30/$I$30</f>
        <v>0.22194670418011944</v>
      </c>
      <c r="D31" s="69">
        <f t="shared" si="5"/>
        <v>9.4345476043057361E-2</v>
      </c>
      <c r="E31" s="69">
        <f t="shared" si="5"/>
        <v>0.1227498964618962</v>
      </c>
      <c r="F31" s="69">
        <f t="shared" si="5"/>
        <v>0.17657581166173392</v>
      </c>
      <c r="G31" s="69">
        <f t="shared" si="5"/>
        <v>0.21254954440905016</v>
      </c>
      <c r="H31" s="69">
        <f t="shared" si="5"/>
        <v>8.3734911996562481E-2</v>
      </c>
      <c r="I31" s="70">
        <f t="shared" si="5"/>
        <v>1</v>
      </c>
      <c r="K31" s="11" t="s">
        <v>176</v>
      </c>
      <c r="L31" s="23">
        <f>L30/$P$30</f>
        <v>0.31004435942769992</v>
      </c>
      <c r="M31" s="23">
        <f>M30/$P$30</f>
        <v>9.4345476043057347E-2</v>
      </c>
      <c r="N31" s="23">
        <f>N30/$P$30</f>
        <v>0.51187525253268018</v>
      </c>
      <c r="O31" s="23">
        <f>O30/$P$30</f>
        <v>8.3734911996562467E-2</v>
      </c>
      <c r="P31" s="24">
        <f>P30/$P$30</f>
        <v>1</v>
      </c>
    </row>
    <row r="32" spans="1:18" x14ac:dyDescent="0.3">
      <c r="A32" t="s">
        <v>106</v>
      </c>
      <c r="B32" s="18" t="e">
        <f>SUMIFS(Geographies!$L$6:$L$809,Geographies!$J$6:$J$809,B$5)</f>
        <v>#VALUE!</v>
      </c>
      <c r="C32" s="18" t="e">
        <f>SUMIFS(Geographies!$L$6:$L$809,Geographies!$J$6:$J$809,C$5)</f>
        <v>#VALUE!</v>
      </c>
      <c r="D32" s="18" t="e">
        <f>SUMIFS(Geographies!$L$6:$L$809,Geographies!$J$6:$J$809,D$5)</f>
        <v>#VALUE!</v>
      </c>
      <c r="E32" s="18" t="e">
        <f>SUMIFS(Geographies!$L$6:$L$809,Geographies!$J$6:$J$809,E$5)</f>
        <v>#VALUE!</v>
      </c>
      <c r="F32" s="18" t="e">
        <f>SUMIFS(Geographies!$L$6:$L$809,Geographies!$J$6:$J$809,F$5)</f>
        <v>#VALUE!</v>
      </c>
      <c r="G32" s="18" t="e">
        <f>SUMIFS(Geographies!$L$6:$L$809,Geographies!$J$6:$J$809,G$5)</f>
        <v>#VALUE!</v>
      </c>
      <c r="H32" s="18" t="e">
        <f>SUMIFS(Geographies!$L$6:$L$809,Geographies!$J$6:$J$809,H$5)</f>
        <v>#VALUE!</v>
      </c>
      <c r="I32" s="19" t="e">
        <f>SUM(B32:H32)</f>
        <v>#VALUE!</v>
      </c>
      <c r="K32" t="s">
        <v>106</v>
      </c>
      <c r="L32" s="15" t="e">
        <f>SUM(B32:C32)</f>
        <v>#VALUE!</v>
      </c>
      <c r="M32" s="15" t="e">
        <f>D32</f>
        <v>#VALUE!</v>
      </c>
      <c r="N32" s="15" t="e">
        <f>SUM(E32:G32)</f>
        <v>#VALUE!</v>
      </c>
      <c r="O32" s="15" t="e">
        <f>H32</f>
        <v>#VALUE!</v>
      </c>
      <c r="P32" s="48" t="e">
        <f>SUM(L32:O32)</f>
        <v>#VALUE!</v>
      </c>
    </row>
    <row r="33" spans="1:16" x14ac:dyDescent="0.3">
      <c r="A33" s="11" t="s">
        <v>176</v>
      </c>
      <c r="B33" s="69" t="e">
        <f>B32/$I$32</f>
        <v>#VALUE!</v>
      </c>
      <c r="C33" s="69" t="e">
        <f t="shared" ref="C33:I33" si="6">C32/$I$32</f>
        <v>#VALUE!</v>
      </c>
      <c r="D33" s="69" t="e">
        <f t="shared" si="6"/>
        <v>#VALUE!</v>
      </c>
      <c r="E33" s="69" t="e">
        <f t="shared" si="6"/>
        <v>#VALUE!</v>
      </c>
      <c r="F33" s="69" t="e">
        <f t="shared" si="6"/>
        <v>#VALUE!</v>
      </c>
      <c r="G33" s="69" t="e">
        <f t="shared" si="6"/>
        <v>#VALUE!</v>
      </c>
      <c r="H33" s="69" t="e">
        <f t="shared" si="6"/>
        <v>#VALUE!</v>
      </c>
      <c r="I33" s="70" t="e">
        <f t="shared" si="6"/>
        <v>#VALUE!</v>
      </c>
      <c r="K33" s="11" t="s">
        <v>176</v>
      </c>
      <c r="L33" s="69" t="e">
        <f>L32/$P$32</f>
        <v>#VALUE!</v>
      </c>
      <c r="M33" s="69" t="e">
        <f>M32/$P$32</f>
        <v>#VALUE!</v>
      </c>
      <c r="N33" s="69" t="e">
        <f>N32/$P$32</f>
        <v>#VALUE!</v>
      </c>
      <c r="O33" s="69" t="e">
        <f>O32/$P$32</f>
        <v>#VALUE!</v>
      </c>
      <c r="P33" s="70" t="e">
        <f>P32/$P$32</f>
        <v>#VALUE!</v>
      </c>
    </row>
    <row r="34" spans="1:16" x14ac:dyDescent="0.3">
      <c r="A34" t="s">
        <v>177</v>
      </c>
      <c r="B34" s="46" t="e">
        <f>B32/B30</f>
        <v>#VALUE!</v>
      </c>
      <c r="C34" s="46" t="e">
        <f t="shared" ref="C34:I34" si="7">C32/C30</f>
        <v>#VALUE!</v>
      </c>
      <c r="D34" s="46" t="e">
        <f t="shared" si="7"/>
        <v>#VALUE!</v>
      </c>
      <c r="E34" s="46" t="e">
        <f t="shared" si="7"/>
        <v>#VALUE!</v>
      </c>
      <c r="F34" s="46" t="e">
        <f t="shared" si="7"/>
        <v>#VALUE!</v>
      </c>
      <c r="G34" s="46" t="e">
        <f t="shared" si="7"/>
        <v>#VALUE!</v>
      </c>
      <c r="H34" s="46" t="e">
        <f t="shared" si="7"/>
        <v>#VALUE!</v>
      </c>
      <c r="I34" s="47" t="e">
        <f t="shared" si="7"/>
        <v>#VALUE!</v>
      </c>
      <c r="K34" t="s">
        <v>177</v>
      </c>
      <c r="L34" s="46" t="e">
        <f>L32/L30</f>
        <v>#VALUE!</v>
      </c>
      <c r="M34" s="46" t="e">
        <f>M32/M30</f>
        <v>#VALUE!</v>
      </c>
      <c r="N34" s="46" t="e">
        <f>N32/N30</f>
        <v>#VALUE!</v>
      </c>
      <c r="O34" s="46" t="e">
        <f>O32/O30</f>
        <v>#VALUE!</v>
      </c>
      <c r="P34" s="47" t="e">
        <f>P32/P30</f>
        <v>#VALUE!</v>
      </c>
    </row>
    <row r="35" spans="1:16" x14ac:dyDescent="0.3">
      <c r="B35" s="33"/>
      <c r="C35" s="33"/>
      <c r="D35" s="33"/>
      <c r="E35" s="33"/>
      <c r="F35" s="33"/>
      <c r="G35" s="33"/>
      <c r="H35" s="33"/>
      <c r="I35" s="34"/>
      <c r="L35" s="33"/>
      <c r="M35" s="33"/>
      <c r="N35" s="33"/>
      <c r="O35" s="33"/>
      <c r="P35" s="34"/>
    </row>
    <row r="36" spans="1:16" x14ac:dyDescent="0.3">
      <c r="A36" t="s">
        <v>178</v>
      </c>
      <c r="B36" s="18" t="e">
        <f>SUMIFS(Geographies!$N$6:$N$809,Geographies!$J$6:$J$809,B$5)</f>
        <v>#VALUE!</v>
      </c>
      <c r="C36" s="18" t="e">
        <f>SUMIFS(Geographies!$N$6:$N$809,Geographies!$J$6:$J$809,C$5)</f>
        <v>#VALUE!</v>
      </c>
      <c r="D36" s="18" t="e">
        <f>SUMIFS(Geographies!$N$6:$N$809,Geographies!$J$6:$J$809,D$5)</f>
        <v>#VALUE!</v>
      </c>
      <c r="E36" s="18" t="e">
        <f>SUMIFS(Geographies!$N$6:$N$809,Geographies!$J$6:$J$809,E$5)</f>
        <v>#VALUE!</v>
      </c>
      <c r="F36" s="18" t="e">
        <f>SUMIFS(Geographies!$N$6:$N$809,Geographies!$J$6:$J$809,F$5)</f>
        <v>#VALUE!</v>
      </c>
      <c r="G36" s="18" t="e">
        <f>SUMIFS(Geographies!$N$6:$N$809,Geographies!$J$6:$J$809,G$5)</f>
        <v>#VALUE!</v>
      </c>
      <c r="H36" s="18" t="e">
        <f>SUMIFS(Geographies!$N$6:$N$809,Geographies!$J$6:$J$809,H$5)</f>
        <v>#VALUE!</v>
      </c>
      <c r="I36" s="19" t="e">
        <f t="shared" ref="I36:I41" si="8">SUM(B36:H36)</f>
        <v>#VALUE!</v>
      </c>
      <c r="K36" t="s">
        <v>178</v>
      </c>
      <c r="L36" s="15" t="e">
        <f t="shared" ref="L36:L41" si="9">SUM(B36:C36)</f>
        <v>#VALUE!</v>
      </c>
      <c r="M36" s="15" t="e">
        <f t="shared" ref="M36:M41" si="10">D36</f>
        <v>#VALUE!</v>
      </c>
      <c r="N36" s="15" t="e">
        <f t="shared" ref="N36:N41" si="11">SUM(E36:G36)</f>
        <v>#VALUE!</v>
      </c>
      <c r="O36" s="15" t="e">
        <f t="shared" ref="O36:O41" si="12">H36</f>
        <v>#VALUE!</v>
      </c>
      <c r="P36" s="48" t="e">
        <f t="shared" ref="P36:P41" si="13">SUM(L36:O36)</f>
        <v>#VALUE!</v>
      </c>
    </row>
    <row r="37" spans="1:16" x14ac:dyDescent="0.3">
      <c r="A37" t="s">
        <v>36</v>
      </c>
      <c r="B37" s="18" t="e">
        <f>SUMIFS(Geographies!$O$6:$O$809,Geographies!$J$6:$J$809,B$5)</f>
        <v>#VALUE!</v>
      </c>
      <c r="C37" s="18" t="e">
        <f>SUMIFS(Geographies!$O$6:$O$809,Geographies!$J$6:$J$809,C$5)</f>
        <v>#VALUE!</v>
      </c>
      <c r="D37" s="18" t="e">
        <f>SUMIFS(Geographies!$O$6:$O$809,Geographies!$J$6:$J$809,D$5)</f>
        <v>#VALUE!</v>
      </c>
      <c r="E37" s="18" t="e">
        <f>SUMIFS(Geographies!$O$6:$O$809,Geographies!$J$6:$J$809,E$5)</f>
        <v>#VALUE!</v>
      </c>
      <c r="F37" s="18" t="e">
        <f>SUMIFS(Geographies!$O$6:$O$809,Geographies!$J$6:$J$809,F$5)</f>
        <v>#VALUE!</v>
      </c>
      <c r="G37" s="18" t="e">
        <f>SUMIFS(Geographies!$O$6:$O$809,Geographies!$J$6:$J$809,G$5)</f>
        <v>#VALUE!</v>
      </c>
      <c r="H37" s="18" t="e">
        <f>SUMIFS(Geographies!$O$6:$O$809,Geographies!$J$6:$J$809,H$5)</f>
        <v>#VALUE!</v>
      </c>
      <c r="I37" s="19" t="e">
        <f t="shared" si="8"/>
        <v>#VALUE!</v>
      </c>
      <c r="K37" t="s">
        <v>36</v>
      </c>
      <c r="L37" s="15" t="e">
        <f t="shared" si="9"/>
        <v>#VALUE!</v>
      </c>
      <c r="M37" s="15" t="e">
        <f t="shared" si="10"/>
        <v>#VALUE!</v>
      </c>
      <c r="N37" s="15" t="e">
        <f t="shared" si="11"/>
        <v>#VALUE!</v>
      </c>
      <c r="O37" s="15" t="e">
        <f t="shared" si="12"/>
        <v>#VALUE!</v>
      </c>
      <c r="P37" s="48" t="e">
        <f t="shared" si="13"/>
        <v>#VALUE!</v>
      </c>
    </row>
    <row r="38" spans="1:16" x14ac:dyDescent="0.3">
      <c r="A38" t="s">
        <v>179</v>
      </c>
      <c r="B38" s="18" t="e">
        <f>SUMIFS(Geographies!$P$6:$P$809,Geographies!$J$6:$J$809,B$5)</f>
        <v>#VALUE!</v>
      </c>
      <c r="C38" s="18" t="e">
        <f>SUMIFS(Geographies!$P$6:$P$809,Geographies!$J$6:$J$809,C$5)</f>
        <v>#VALUE!</v>
      </c>
      <c r="D38" s="18" t="e">
        <f>SUMIFS(Geographies!$P$6:$P$809,Geographies!$J$6:$J$809,D$5)</f>
        <v>#VALUE!</v>
      </c>
      <c r="E38" s="18" t="e">
        <f>SUMIFS(Geographies!$P$6:$P$809,Geographies!$J$6:$J$809,E$5)</f>
        <v>#VALUE!</v>
      </c>
      <c r="F38" s="18" t="e">
        <f>SUMIFS(Geographies!$P$6:$P$809,Geographies!$J$6:$J$809,F$5)</f>
        <v>#VALUE!</v>
      </c>
      <c r="G38" s="18" t="e">
        <f>SUMIFS(Geographies!$P$6:$P$809,Geographies!$J$6:$J$809,G$5)</f>
        <v>#VALUE!</v>
      </c>
      <c r="H38" s="18" t="e">
        <f>SUMIFS(Geographies!$P$6:$P$809,Geographies!$J$6:$J$809,H$5)</f>
        <v>#VALUE!</v>
      </c>
      <c r="I38" s="19" t="e">
        <f t="shared" si="8"/>
        <v>#VALUE!</v>
      </c>
      <c r="K38" t="s">
        <v>179</v>
      </c>
      <c r="L38" s="15" t="e">
        <f t="shared" si="9"/>
        <v>#VALUE!</v>
      </c>
      <c r="M38" s="15" t="e">
        <f t="shared" si="10"/>
        <v>#VALUE!</v>
      </c>
      <c r="N38" s="15" t="e">
        <f t="shared" si="11"/>
        <v>#VALUE!</v>
      </c>
      <c r="O38" s="15" t="e">
        <f t="shared" si="12"/>
        <v>#VALUE!</v>
      </c>
      <c r="P38" s="48" t="e">
        <f t="shared" si="13"/>
        <v>#VALUE!</v>
      </c>
    </row>
    <row r="39" spans="1:16" x14ac:dyDescent="0.3">
      <c r="A39" t="s">
        <v>70</v>
      </c>
      <c r="B39" s="18" t="e">
        <f>SUMIFS(Geographies!$Q$6:$Q$809,Geographies!$J$6:$J$809,B$5)</f>
        <v>#VALUE!</v>
      </c>
      <c r="C39" s="18" t="e">
        <f>SUMIFS(Geographies!$Q$6:$Q$809,Geographies!$J$6:$J$809,C$5)</f>
        <v>#VALUE!</v>
      </c>
      <c r="D39" s="18" t="e">
        <f>SUMIFS(Geographies!$Q$6:$Q$809,Geographies!$J$6:$J$809,D$5)</f>
        <v>#VALUE!</v>
      </c>
      <c r="E39" s="18" t="e">
        <f>SUMIFS(Geographies!$Q$6:$Q$809,Geographies!$J$6:$J$809,E$5)</f>
        <v>#VALUE!</v>
      </c>
      <c r="F39" s="18" t="e">
        <f>SUMIFS(Geographies!$Q$6:$Q$809,Geographies!$J$6:$J$809,F$5)</f>
        <v>#VALUE!</v>
      </c>
      <c r="G39" s="18" t="e">
        <f>SUMIFS(Geographies!$Q$6:$Q$809,Geographies!$J$6:$J$809,G$5)</f>
        <v>#VALUE!</v>
      </c>
      <c r="H39" s="18" t="e">
        <f>SUMIFS(Geographies!$Q$6:$Q$809,Geographies!$J$6:$J$809,H$5)</f>
        <v>#VALUE!</v>
      </c>
      <c r="I39" s="19" t="e">
        <f t="shared" si="8"/>
        <v>#VALUE!</v>
      </c>
      <c r="K39" t="s">
        <v>70</v>
      </c>
      <c r="L39" s="15" t="e">
        <f t="shared" si="9"/>
        <v>#VALUE!</v>
      </c>
      <c r="M39" s="15" t="e">
        <f t="shared" si="10"/>
        <v>#VALUE!</v>
      </c>
      <c r="N39" s="15" t="e">
        <f t="shared" si="11"/>
        <v>#VALUE!</v>
      </c>
      <c r="O39" s="15" t="e">
        <f t="shared" si="12"/>
        <v>#VALUE!</v>
      </c>
      <c r="P39" s="48" t="e">
        <f t="shared" si="13"/>
        <v>#VALUE!</v>
      </c>
    </row>
    <row r="40" spans="1:16" x14ac:dyDescent="0.3">
      <c r="A40" t="s">
        <v>84</v>
      </c>
      <c r="B40" s="18" t="e">
        <f>SUMIFS(Geographies!$R$6:$R$809,Geographies!$J$6:$J$809,B$5)</f>
        <v>#VALUE!</v>
      </c>
      <c r="C40" s="18" t="e">
        <f>SUMIFS(Geographies!$R$6:$R$809,Geographies!$J$6:$J$809,C$5)</f>
        <v>#VALUE!</v>
      </c>
      <c r="D40" s="18" t="e">
        <f>SUMIFS(Geographies!$R$6:$R$809,Geographies!$J$6:$J$809,D$5)</f>
        <v>#VALUE!</v>
      </c>
      <c r="E40" s="18" t="e">
        <f>SUMIFS(Geographies!$R$6:$R$809,Geographies!$J$6:$J$809,E$5)</f>
        <v>#VALUE!</v>
      </c>
      <c r="F40" s="18" t="e">
        <f>SUMIFS(Geographies!$R$6:$R$809,Geographies!$J$6:$J$809,F$5)</f>
        <v>#VALUE!</v>
      </c>
      <c r="G40" s="18" t="e">
        <f>SUMIFS(Geographies!$R$6:$R$809,Geographies!$J$6:$J$809,G$5)</f>
        <v>#VALUE!</v>
      </c>
      <c r="H40" s="18" t="e">
        <f>SUMIFS(Geographies!$R$6:$R$809,Geographies!$J$6:$J$809,H$5)</f>
        <v>#VALUE!</v>
      </c>
      <c r="I40" s="19" t="e">
        <f t="shared" si="8"/>
        <v>#VALUE!</v>
      </c>
      <c r="K40" t="s">
        <v>84</v>
      </c>
      <c r="L40" s="15" t="e">
        <f t="shared" si="9"/>
        <v>#VALUE!</v>
      </c>
      <c r="M40" s="15" t="e">
        <f t="shared" si="10"/>
        <v>#VALUE!</v>
      </c>
      <c r="N40" s="15" t="e">
        <f t="shared" si="11"/>
        <v>#VALUE!</v>
      </c>
      <c r="O40" s="15" t="e">
        <f t="shared" si="12"/>
        <v>#VALUE!</v>
      </c>
      <c r="P40" s="48" t="e">
        <f t="shared" si="13"/>
        <v>#VALUE!</v>
      </c>
    </row>
    <row r="41" spans="1:16" x14ac:dyDescent="0.3">
      <c r="A41" t="s">
        <v>58</v>
      </c>
      <c r="B41" s="18" t="e">
        <f>SUMIFS(Geographies!$S$6:$S$809,Geographies!$J$6:$J$809,B$5)</f>
        <v>#VALUE!</v>
      </c>
      <c r="C41" s="18" t="e">
        <f>SUMIFS(Geographies!$S$6:$S$809,Geographies!$J$6:$J$809,C$5)</f>
        <v>#VALUE!</v>
      </c>
      <c r="D41" s="18" t="e">
        <f>SUMIFS(Geographies!$S$6:$S$809,Geographies!$J$6:$J$809,D$5)</f>
        <v>#VALUE!</v>
      </c>
      <c r="E41" s="18" t="e">
        <f>SUMIFS(Geographies!$S$6:$S$809,Geographies!$J$6:$J$809,E$5)</f>
        <v>#VALUE!</v>
      </c>
      <c r="F41" s="18" t="e">
        <f>SUMIFS(Geographies!$S$6:$S$809,Geographies!$J$6:$J$809,F$5)</f>
        <v>#VALUE!</v>
      </c>
      <c r="G41" s="18" t="e">
        <f>SUMIFS(Geographies!$S$6:$S$809,Geographies!$J$6:$J$809,G$5)</f>
        <v>#VALUE!</v>
      </c>
      <c r="H41" s="18" t="e">
        <f>SUMIFS(Geographies!$S$6:$S$809,Geographies!$J$6:$J$809,H$5)</f>
        <v>#VALUE!</v>
      </c>
      <c r="I41" s="19" t="e">
        <f t="shared" si="8"/>
        <v>#VALUE!</v>
      </c>
      <c r="K41" t="s">
        <v>58</v>
      </c>
      <c r="L41" s="15" t="e">
        <f t="shared" si="9"/>
        <v>#VALUE!</v>
      </c>
      <c r="M41" s="15" t="e">
        <f t="shared" si="10"/>
        <v>#VALUE!</v>
      </c>
      <c r="N41" s="15" t="e">
        <f t="shared" si="11"/>
        <v>#VALUE!</v>
      </c>
      <c r="O41" s="15" t="e">
        <f t="shared" si="12"/>
        <v>#VALUE!</v>
      </c>
      <c r="P41" s="48" t="e">
        <f t="shared" si="13"/>
        <v>#VALUE!</v>
      </c>
    </row>
    <row r="42" spans="1:16" x14ac:dyDescent="0.3">
      <c r="A42" s="52" t="s">
        <v>180</v>
      </c>
      <c r="B42" s="53" t="e">
        <f>SUMIFS(Geographies!$M$6:$M$809,Geographies!$J$6:$J$809,B$5)</f>
        <v>#VALUE!</v>
      </c>
      <c r="C42" s="53" t="e">
        <f>SUMIFS(Geographies!$M$6:$M$809,Geographies!$J$6:$J$809,C$5)</f>
        <v>#VALUE!</v>
      </c>
      <c r="D42" s="53" t="e">
        <f>SUMIFS(Geographies!$M$6:$M$809,Geographies!$J$6:$J$809,D$5)</f>
        <v>#VALUE!</v>
      </c>
      <c r="E42" s="53" t="e">
        <f>SUMIFS(Geographies!$M$6:$M$809,Geographies!$J$6:$J$809,E$5)</f>
        <v>#VALUE!</v>
      </c>
      <c r="F42" s="53" t="e">
        <f>SUMIFS(Geographies!$M$6:$M$809,Geographies!$J$6:$J$809,F$5)</f>
        <v>#VALUE!</v>
      </c>
      <c r="G42" s="53" t="e">
        <f>SUMIFS(Geographies!$M$6:$M$809,Geographies!$J$6:$J$809,G$5)</f>
        <v>#VALUE!</v>
      </c>
      <c r="H42" s="53" t="e">
        <f>SUMIFS(Geographies!$M$6:$M$809,Geographies!$J$6:$J$809,H$5)</f>
        <v>#VALUE!</v>
      </c>
      <c r="I42" s="50" t="e">
        <f>SUM(B42:H42)</f>
        <v>#VALUE!</v>
      </c>
      <c r="K42" s="52" t="s">
        <v>180</v>
      </c>
      <c r="L42" s="51" t="e">
        <f>SUM(B42:C42)</f>
        <v>#VALUE!</v>
      </c>
      <c r="M42" s="51" t="e">
        <f>D42</f>
        <v>#VALUE!</v>
      </c>
      <c r="N42" s="51" t="e">
        <f>SUM(E42:G42)</f>
        <v>#VALUE!</v>
      </c>
      <c r="O42" s="51" t="e">
        <f>H42</f>
        <v>#VALUE!</v>
      </c>
      <c r="P42" s="51" t="e">
        <f>SUM(L42:O42)</f>
        <v>#VALUE!</v>
      </c>
    </row>
    <row r="44" spans="1:16" x14ac:dyDescent="0.3">
      <c r="A44" t="s">
        <v>178</v>
      </c>
      <c r="B44" s="23" t="e">
        <f t="shared" ref="B44:I49" si="14">B36/B$42</f>
        <v>#VALUE!</v>
      </c>
      <c r="C44" s="23" t="e">
        <f t="shared" si="14"/>
        <v>#VALUE!</v>
      </c>
      <c r="D44" s="23" t="e">
        <f t="shared" si="14"/>
        <v>#VALUE!</v>
      </c>
      <c r="E44" s="23" t="e">
        <f t="shared" si="14"/>
        <v>#VALUE!</v>
      </c>
      <c r="F44" s="23" t="e">
        <f t="shared" si="14"/>
        <v>#VALUE!</v>
      </c>
      <c r="G44" s="23" t="e">
        <f t="shared" si="14"/>
        <v>#VALUE!</v>
      </c>
      <c r="H44" s="23" t="e">
        <f t="shared" si="14"/>
        <v>#VALUE!</v>
      </c>
      <c r="I44" s="24" t="e">
        <f t="shared" si="14"/>
        <v>#VALUE!</v>
      </c>
      <c r="K44" t="s">
        <v>178</v>
      </c>
      <c r="L44" s="23" t="e">
        <f t="shared" ref="L44:P49" si="15">L36/L$42</f>
        <v>#VALUE!</v>
      </c>
      <c r="M44" s="23" t="e">
        <f t="shared" si="15"/>
        <v>#VALUE!</v>
      </c>
      <c r="N44" s="23" t="e">
        <f t="shared" si="15"/>
        <v>#VALUE!</v>
      </c>
      <c r="O44" s="23" t="e">
        <f t="shared" si="15"/>
        <v>#VALUE!</v>
      </c>
      <c r="P44" s="24" t="e">
        <f t="shared" si="15"/>
        <v>#VALUE!</v>
      </c>
    </row>
    <row r="45" spans="1:16" x14ac:dyDescent="0.3">
      <c r="A45" t="s">
        <v>36</v>
      </c>
      <c r="B45" s="23" t="e">
        <f t="shared" si="14"/>
        <v>#VALUE!</v>
      </c>
      <c r="C45" s="23" t="e">
        <f t="shared" si="14"/>
        <v>#VALUE!</v>
      </c>
      <c r="D45" s="23" t="e">
        <f t="shared" si="14"/>
        <v>#VALUE!</v>
      </c>
      <c r="E45" s="23" t="e">
        <f t="shared" si="14"/>
        <v>#VALUE!</v>
      </c>
      <c r="F45" s="23" t="e">
        <f t="shared" si="14"/>
        <v>#VALUE!</v>
      </c>
      <c r="G45" s="23" t="e">
        <f t="shared" si="14"/>
        <v>#VALUE!</v>
      </c>
      <c r="H45" s="23" t="e">
        <f t="shared" si="14"/>
        <v>#VALUE!</v>
      </c>
      <c r="I45" s="24" t="e">
        <f t="shared" si="14"/>
        <v>#VALUE!</v>
      </c>
      <c r="K45" t="s">
        <v>36</v>
      </c>
      <c r="L45" s="23" t="e">
        <f t="shared" si="15"/>
        <v>#VALUE!</v>
      </c>
      <c r="M45" s="23" t="e">
        <f t="shared" si="15"/>
        <v>#VALUE!</v>
      </c>
      <c r="N45" s="23" t="e">
        <f t="shared" si="15"/>
        <v>#VALUE!</v>
      </c>
      <c r="O45" s="23" t="e">
        <f t="shared" si="15"/>
        <v>#VALUE!</v>
      </c>
      <c r="P45" s="24" t="e">
        <f t="shared" si="15"/>
        <v>#VALUE!</v>
      </c>
    </row>
    <row r="46" spans="1:16" x14ac:dyDescent="0.3">
      <c r="A46" t="s">
        <v>179</v>
      </c>
      <c r="B46" s="23" t="e">
        <f t="shared" si="14"/>
        <v>#VALUE!</v>
      </c>
      <c r="C46" s="23" t="e">
        <f t="shared" si="14"/>
        <v>#VALUE!</v>
      </c>
      <c r="D46" s="23" t="e">
        <f t="shared" si="14"/>
        <v>#VALUE!</v>
      </c>
      <c r="E46" s="23" t="e">
        <f t="shared" si="14"/>
        <v>#VALUE!</v>
      </c>
      <c r="F46" s="23" t="e">
        <f t="shared" si="14"/>
        <v>#VALUE!</v>
      </c>
      <c r="G46" s="23" t="e">
        <f t="shared" si="14"/>
        <v>#VALUE!</v>
      </c>
      <c r="H46" s="23" t="e">
        <f t="shared" si="14"/>
        <v>#VALUE!</v>
      </c>
      <c r="I46" s="24" t="e">
        <f t="shared" si="14"/>
        <v>#VALUE!</v>
      </c>
      <c r="K46" t="s">
        <v>179</v>
      </c>
      <c r="L46" s="23" t="e">
        <f t="shared" si="15"/>
        <v>#VALUE!</v>
      </c>
      <c r="M46" s="23" t="e">
        <f t="shared" si="15"/>
        <v>#VALUE!</v>
      </c>
      <c r="N46" s="23" t="e">
        <f t="shared" si="15"/>
        <v>#VALUE!</v>
      </c>
      <c r="O46" s="23" t="e">
        <f t="shared" si="15"/>
        <v>#VALUE!</v>
      </c>
      <c r="P46" s="24" t="e">
        <f t="shared" si="15"/>
        <v>#VALUE!</v>
      </c>
    </row>
    <row r="47" spans="1:16" x14ac:dyDescent="0.3">
      <c r="A47" t="s">
        <v>70</v>
      </c>
      <c r="B47" s="25" t="e">
        <f t="shared" si="14"/>
        <v>#VALUE!</v>
      </c>
      <c r="C47" s="26" t="e">
        <f t="shared" si="14"/>
        <v>#VALUE!</v>
      </c>
      <c r="D47" s="26" t="e">
        <f t="shared" si="14"/>
        <v>#VALUE!</v>
      </c>
      <c r="E47" s="26" t="e">
        <f t="shared" si="14"/>
        <v>#VALUE!</v>
      </c>
      <c r="F47" s="26" t="e">
        <f t="shared" si="14"/>
        <v>#VALUE!</v>
      </c>
      <c r="G47" s="26" t="e">
        <f t="shared" si="14"/>
        <v>#VALUE!</v>
      </c>
      <c r="H47" s="26" t="e">
        <f t="shared" si="14"/>
        <v>#VALUE!</v>
      </c>
      <c r="I47" s="27" t="e">
        <f t="shared" si="14"/>
        <v>#VALUE!</v>
      </c>
      <c r="K47" t="s">
        <v>70</v>
      </c>
      <c r="L47" s="25" t="e">
        <f t="shared" si="15"/>
        <v>#VALUE!</v>
      </c>
      <c r="M47" s="26" t="e">
        <f t="shared" si="15"/>
        <v>#VALUE!</v>
      </c>
      <c r="N47" s="26" t="e">
        <f t="shared" si="15"/>
        <v>#VALUE!</v>
      </c>
      <c r="O47" s="26" t="e">
        <f t="shared" si="15"/>
        <v>#VALUE!</v>
      </c>
      <c r="P47" s="27" t="e">
        <f t="shared" si="15"/>
        <v>#VALUE!</v>
      </c>
    </row>
    <row r="48" spans="1:16" x14ac:dyDescent="0.3">
      <c r="A48" t="s">
        <v>84</v>
      </c>
      <c r="B48" s="23" t="e">
        <f t="shared" si="14"/>
        <v>#VALUE!</v>
      </c>
      <c r="C48" s="23" t="e">
        <f t="shared" si="14"/>
        <v>#VALUE!</v>
      </c>
      <c r="D48" s="23" t="e">
        <f t="shared" si="14"/>
        <v>#VALUE!</v>
      </c>
      <c r="E48" s="23" t="e">
        <f t="shared" si="14"/>
        <v>#VALUE!</v>
      </c>
      <c r="F48" s="23" t="e">
        <f t="shared" si="14"/>
        <v>#VALUE!</v>
      </c>
      <c r="G48" s="23" t="e">
        <f t="shared" si="14"/>
        <v>#VALUE!</v>
      </c>
      <c r="H48" s="23" t="e">
        <f t="shared" si="14"/>
        <v>#VALUE!</v>
      </c>
      <c r="I48" s="24" t="e">
        <f t="shared" si="14"/>
        <v>#VALUE!</v>
      </c>
      <c r="K48" t="s">
        <v>84</v>
      </c>
      <c r="L48" s="23" t="e">
        <f t="shared" si="15"/>
        <v>#VALUE!</v>
      </c>
      <c r="M48" s="23" t="e">
        <f t="shared" si="15"/>
        <v>#VALUE!</v>
      </c>
      <c r="N48" s="23" t="e">
        <f t="shared" si="15"/>
        <v>#VALUE!</v>
      </c>
      <c r="O48" s="23" t="e">
        <f t="shared" si="15"/>
        <v>#VALUE!</v>
      </c>
      <c r="P48" s="24" t="e">
        <f t="shared" si="15"/>
        <v>#VALUE!</v>
      </c>
    </row>
    <row r="49" spans="1:16" x14ac:dyDescent="0.3">
      <c r="A49" t="s">
        <v>58</v>
      </c>
      <c r="B49" s="23" t="e">
        <f t="shared" si="14"/>
        <v>#VALUE!</v>
      </c>
      <c r="C49" s="23" t="e">
        <f t="shared" si="14"/>
        <v>#VALUE!</v>
      </c>
      <c r="D49" s="23" t="e">
        <f t="shared" si="14"/>
        <v>#VALUE!</v>
      </c>
      <c r="E49" s="23" t="e">
        <f t="shared" si="14"/>
        <v>#VALUE!</v>
      </c>
      <c r="F49" s="23" t="e">
        <f t="shared" si="14"/>
        <v>#VALUE!</v>
      </c>
      <c r="G49" s="23" t="e">
        <f t="shared" si="14"/>
        <v>#VALUE!</v>
      </c>
      <c r="H49" s="23" t="e">
        <f t="shared" si="14"/>
        <v>#VALUE!</v>
      </c>
      <c r="I49" s="24" t="e">
        <f t="shared" si="14"/>
        <v>#VALUE!</v>
      </c>
      <c r="K49" t="s">
        <v>58</v>
      </c>
      <c r="L49" s="23" t="e">
        <f t="shared" si="15"/>
        <v>#VALUE!</v>
      </c>
      <c r="M49" s="23" t="e">
        <f t="shared" si="15"/>
        <v>#VALUE!</v>
      </c>
      <c r="N49" s="23" t="e">
        <f t="shared" si="15"/>
        <v>#VALUE!</v>
      </c>
      <c r="O49" s="23" t="e">
        <f t="shared" si="15"/>
        <v>#VALUE!</v>
      </c>
      <c r="P49" s="24" t="e">
        <f t="shared" si="15"/>
        <v>#VALUE!</v>
      </c>
    </row>
    <row r="50" spans="1:16" x14ac:dyDescent="0.3">
      <c r="B50" s="23"/>
      <c r="C50" s="23"/>
      <c r="D50" s="23"/>
      <c r="E50" s="23"/>
      <c r="F50" s="23"/>
      <c r="G50" s="23"/>
      <c r="H50" s="23"/>
      <c r="I50" s="24"/>
      <c r="L50" s="23"/>
      <c r="M50" s="23"/>
      <c r="N50" s="23"/>
      <c r="O50" s="23"/>
      <c r="P50" s="24"/>
    </row>
    <row r="51" spans="1:16" x14ac:dyDescent="0.3">
      <c r="B51" s="20"/>
      <c r="C51" s="20"/>
      <c r="D51" s="20"/>
      <c r="E51" s="20"/>
      <c r="F51" s="20"/>
      <c r="G51" s="20"/>
      <c r="H51" s="20"/>
      <c r="I51" s="21"/>
      <c r="L51" s="20"/>
      <c r="M51" s="20"/>
      <c r="N51" s="20"/>
      <c r="O51" s="20"/>
      <c r="P51" s="21"/>
    </row>
    <row r="52" spans="1:16" x14ac:dyDescent="0.3">
      <c r="A52" s="12" t="s">
        <v>181</v>
      </c>
      <c r="B52" s="12"/>
      <c r="C52" s="12"/>
      <c r="D52" s="12"/>
      <c r="E52" s="12"/>
      <c r="F52" s="12"/>
      <c r="G52" s="12"/>
      <c r="H52" s="12"/>
      <c r="I52" s="22" t="s">
        <v>13</v>
      </c>
      <c r="K52" s="12" t="s">
        <v>181</v>
      </c>
      <c r="L52" s="12"/>
      <c r="M52" s="12"/>
      <c r="N52" s="12"/>
      <c r="O52" s="12"/>
      <c r="P52" s="22" t="s">
        <v>13</v>
      </c>
    </row>
    <row r="53" spans="1:16" x14ac:dyDescent="0.3">
      <c r="A53" s="35" t="s">
        <v>182</v>
      </c>
      <c r="B53" s="35"/>
      <c r="C53" s="35"/>
      <c r="D53" s="35"/>
      <c r="E53" s="35"/>
      <c r="F53" s="35"/>
      <c r="G53" s="35"/>
      <c r="H53" s="35"/>
      <c r="I53" s="36"/>
      <c r="K53" s="35" t="s">
        <v>183</v>
      </c>
      <c r="L53" s="35"/>
      <c r="M53" s="35"/>
      <c r="N53" s="35"/>
      <c r="O53" s="35"/>
      <c r="P53" s="36"/>
    </row>
    <row r="54" spans="1:16" x14ac:dyDescent="0.3">
      <c r="A54" t="s">
        <v>184</v>
      </c>
      <c r="B54" s="120" t="e">
        <f t="shared" ref="B54:I54" si="16">SUM(B$8:B$12)/B$39*1000</f>
        <v>#VALUE!</v>
      </c>
      <c r="C54" s="120" t="e">
        <f t="shared" si="16"/>
        <v>#VALUE!</v>
      </c>
      <c r="D54" s="120" t="e">
        <f t="shared" si="16"/>
        <v>#VALUE!</v>
      </c>
      <c r="E54" s="120" t="e">
        <f t="shared" si="16"/>
        <v>#VALUE!</v>
      </c>
      <c r="F54" s="120" t="e">
        <f t="shared" si="16"/>
        <v>#VALUE!</v>
      </c>
      <c r="G54" s="120" t="e">
        <f t="shared" si="16"/>
        <v>#VALUE!</v>
      </c>
      <c r="H54" s="120" t="e">
        <f t="shared" si="16"/>
        <v>#VALUE!</v>
      </c>
      <c r="I54" s="121" t="e">
        <f t="shared" si="16"/>
        <v>#VALUE!</v>
      </c>
      <c r="K54" t="s">
        <v>184</v>
      </c>
      <c r="L54" s="46" t="e">
        <f>SUM(L$8:L$12)/L$39*1000</f>
        <v>#VALUE!</v>
      </c>
      <c r="M54" s="46" t="e">
        <f>SUM(M$8:M$12)/M$39*1000</f>
        <v>#VALUE!</v>
      </c>
      <c r="N54" s="46" t="e">
        <f>SUM(N$8:N$12)/N$39*1000</f>
        <v>#VALUE!</v>
      </c>
      <c r="O54" s="46" t="e">
        <f>SUM(O$8:O$12)/O$39*1000</f>
        <v>#VALUE!</v>
      </c>
      <c r="P54" s="47" t="e">
        <f>SUM(P$8:P$12)/P$39*1000</f>
        <v>#VALUE!</v>
      </c>
    </row>
    <row r="55" spans="1:16" x14ac:dyDescent="0.3">
      <c r="A55" t="s">
        <v>185</v>
      </c>
      <c r="B55" s="120" t="e">
        <f t="shared" ref="B55:I55" si="17">SUM(B$8:B$11)/B$39*1000</f>
        <v>#VALUE!</v>
      </c>
      <c r="C55" s="120" t="e">
        <f t="shared" si="17"/>
        <v>#VALUE!</v>
      </c>
      <c r="D55" s="120" t="e">
        <f t="shared" si="17"/>
        <v>#VALUE!</v>
      </c>
      <c r="E55" s="120" t="e">
        <f t="shared" si="17"/>
        <v>#VALUE!</v>
      </c>
      <c r="F55" s="120" t="e">
        <f t="shared" si="17"/>
        <v>#VALUE!</v>
      </c>
      <c r="G55" s="120" t="e">
        <f t="shared" si="17"/>
        <v>#VALUE!</v>
      </c>
      <c r="H55" s="120" t="e">
        <f t="shared" si="17"/>
        <v>#VALUE!</v>
      </c>
      <c r="I55" s="121" t="e">
        <f t="shared" si="17"/>
        <v>#VALUE!</v>
      </c>
      <c r="K55" t="s">
        <v>185</v>
      </c>
      <c r="L55" s="46" t="e">
        <f>SUM(L$8:L$11)/L$39*1000</f>
        <v>#VALUE!</v>
      </c>
      <c r="M55" s="46" t="e">
        <f>SUM(M$8:M$11)/M$39*1000</f>
        <v>#VALUE!</v>
      </c>
      <c r="N55" s="46" t="e">
        <f>SUM(N$8:N$11)/N$39*1000</f>
        <v>#VALUE!</v>
      </c>
      <c r="O55" s="46" t="e">
        <f>SUM(O$8:O$11)/O$39*1000</f>
        <v>#VALUE!</v>
      </c>
      <c r="P55" s="47" t="e">
        <f>SUM(P$8:P$11)/P$39*1000</f>
        <v>#VALUE!</v>
      </c>
    </row>
    <row r="56" spans="1:16" x14ac:dyDescent="0.3">
      <c r="A56" t="s">
        <v>186</v>
      </c>
      <c r="B56" s="120" t="e">
        <f t="shared" ref="B56:I56" si="18">SUM(B$8:B$10)/B$39*1000</f>
        <v>#VALUE!</v>
      </c>
      <c r="C56" s="120" t="e">
        <f t="shared" si="18"/>
        <v>#VALUE!</v>
      </c>
      <c r="D56" s="120" t="e">
        <f t="shared" si="18"/>
        <v>#VALUE!</v>
      </c>
      <c r="E56" s="120" t="e">
        <f t="shared" si="18"/>
        <v>#VALUE!</v>
      </c>
      <c r="F56" s="120" t="e">
        <f t="shared" si="18"/>
        <v>#VALUE!</v>
      </c>
      <c r="G56" s="120" t="e">
        <f t="shared" si="18"/>
        <v>#VALUE!</v>
      </c>
      <c r="H56" s="120" t="e">
        <f t="shared" si="18"/>
        <v>#VALUE!</v>
      </c>
      <c r="I56" s="121" t="e">
        <f t="shared" si="18"/>
        <v>#VALUE!</v>
      </c>
      <c r="K56" t="s">
        <v>186</v>
      </c>
      <c r="L56" s="46" t="e">
        <f>SUM(L$8:L$10)/L$39*1000</f>
        <v>#VALUE!</v>
      </c>
      <c r="M56" s="46" t="e">
        <f>SUM(M$8:M$10)/M$39*1000</f>
        <v>#VALUE!</v>
      </c>
      <c r="N56" s="46" t="e">
        <f>SUM(N$8:N$10)/N$39*1000</f>
        <v>#VALUE!</v>
      </c>
      <c r="O56" s="46" t="e">
        <f>SUM(O$8:O$10)/O$39*1000</f>
        <v>#VALUE!</v>
      </c>
      <c r="P56" s="47" t="e">
        <f>SUM(P$8:P$10)/P$39*1000</f>
        <v>#VALUE!</v>
      </c>
    </row>
    <row r="57" spans="1:16" x14ac:dyDescent="0.3">
      <c r="A57" t="s">
        <v>187</v>
      </c>
      <c r="B57" s="120" t="e">
        <f t="shared" ref="B57:I57" si="19">SUM(B$8:B$9)/B$39*1000</f>
        <v>#VALUE!</v>
      </c>
      <c r="C57" s="120" t="e">
        <f t="shared" si="19"/>
        <v>#VALUE!</v>
      </c>
      <c r="D57" s="120" t="e">
        <f t="shared" si="19"/>
        <v>#VALUE!</v>
      </c>
      <c r="E57" s="120" t="e">
        <f t="shared" si="19"/>
        <v>#VALUE!</v>
      </c>
      <c r="F57" s="120" t="e">
        <f t="shared" si="19"/>
        <v>#VALUE!</v>
      </c>
      <c r="G57" s="120" t="e">
        <f t="shared" si="19"/>
        <v>#VALUE!</v>
      </c>
      <c r="H57" s="120" t="e">
        <f t="shared" si="19"/>
        <v>#VALUE!</v>
      </c>
      <c r="I57" s="121" t="e">
        <f t="shared" si="19"/>
        <v>#VALUE!</v>
      </c>
      <c r="K57" t="s">
        <v>187</v>
      </c>
      <c r="L57" s="46" t="e">
        <f>SUM(L$8:L$9)/L$39*1000</f>
        <v>#VALUE!</v>
      </c>
      <c r="M57" s="46" t="e">
        <f>SUM(M$8:M$9)/M$39*1000</f>
        <v>#VALUE!</v>
      </c>
      <c r="N57" s="46" t="e">
        <f>SUM(N$8:N$9)/N$39*1000</f>
        <v>#VALUE!</v>
      </c>
      <c r="O57" s="46" t="e">
        <f>SUM(O$8:O$9)/O$39*1000</f>
        <v>#VALUE!</v>
      </c>
      <c r="P57" s="47" t="e">
        <f>SUM(P$8:P$9)/P$39*1000</f>
        <v>#VALUE!</v>
      </c>
    </row>
    <row r="58" spans="1:16" x14ac:dyDescent="0.3">
      <c r="A58" t="s">
        <v>188</v>
      </c>
      <c r="B58" s="120" t="e">
        <f t="shared" ref="B58:I58" si="20">SUM(B$8:B$8)/B$39*1000</f>
        <v>#VALUE!</v>
      </c>
      <c r="C58" s="120" t="e">
        <f t="shared" si="20"/>
        <v>#VALUE!</v>
      </c>
      <c r="D58" s="120" t="e">
        <f t="shared" si="20"/>
        <v>#VALUE!</v>
      </c>
      <c r="E58" s="120" t="e">
        <f t="shared" si="20"/>
        <v>#VALUE!</v>
      </c>
      <c r="F58" s="120" t="e">
        <f t="shared" si="20"/>
        <v>#VALUE!</v>
      </c>
      <c r="G58" s="120" t="e">
        <f t="shared" si="20"/>
        <v>#VALUE!</v>
      </c>
      <c r="H58" s="120" t="e">
        <f t="shared" si="20"/>
        <v>#VALUE!</v>
      </c>
      <c r="I58" s="121" t="e">
        <f t="shared" si="20"/>
        <v>#VALUE!</v>
      </c>
      <c r="K58" t="s">
        <v>188</v>
      </c>
      <c r="L58" s="46" t="e">
        <f>SUM(L$8:L$8)/L$39*1000</f>
        <v>#VALUE!</v>
      </c>
      <c r="M58" s="46" t="e">
        <f>SUM(M$8:M$8)/M$39*1000</f>
        <v>#VALUE!</v>
      </c>
      <c r="N58" s="46" t="e">
        <f>SUM(N$8:N$8)/N$39*1000</f>
        <v>#VALUE!</v>
      </c>
      <c r="O58" s="46" t="e">
        <f>SUM(O$8:O$8)/O$39*1000</f>
        <v>#VALUE!</v>
      </c>
      <c r="P58" s="47" t="e">
        <f>SUM(P$8:P$8)/P$39*1000</f>
        <v>#VALUE!</v>
      </c>
    </row>
    <row r="59" spans="1:16" x14ac:dyDescent="0.3">
      <c r="B59" s="122"/>
      <c r="C59" s="122"/>
      <c r="D59" s="122"/>
      <c r="E59" s="122"/>
      <c r="F59" s="122"/>
      <c r="G59" s="122"/>
      <c r="H59" s="122"/>
      <c r="I59" s="123"/>
      <c r="L59" s="122"/>
      <c r="M59" s="122"/>
      <c r="N59" s="122"/>
      <c r="O59" s="122"/>
      <c r="P59" s="123"/>
    </row>
    <row r="60" spans="1:16" x14ac:dyDescent="0.3">
      <c r="A60" t="s">
        <v>184</v>
      </c>
      <c r="B60" s="122"/>
      <c r="C60" s="122"/>
      <c r="D60" s="122"/>
      <c r="E60" s="122"/>
      <c r="F60" s="122"/>
      <c r="G60" s="122"/>
      <c r="H60" s="122"/>
      <c r="I60" s="123"/>
      <c r="L60" s="122"/>
      <c r="M60" s="122"/>
      <c r="N60" s="122"/>
      <c r="O60" s="122"/>
      <c r="P60" s="123"/>
    </row>
    <row r="61" spans="1:16" x14ac:dyDescent="0.3">
      <c r="A61" t="s">
        <v>185</v>
      </c>
      <c r="B61" s="122"/>
      <c r="C61" s="122"/>
      <c r="D61" s="122"/>
      <c r="E61" s="122"/>
      <c r="F61" s="122"/>
      <c r="G61" s="122"/>
      <c r="H61" s="122"/>
      <c r="I61" s="123"/>
      <c r="L61" s="122"/>
      <c r="M61" s="122"/>
      <c r="N61" s="122"/>
      <c r="O61" s="122"/>
      <c r="P61" s="123"/>
    </row>
    <row r="62" spans="1:16" x14ac:dyDescent="0.3">
      <c r="A62" t="s">
        <v>189</v>
      </c>
      <c r="B62" s="122"/>
      <c r="C62" s="122"/>
      <c r="D62" s="122"/>
      <c r="E62" s="122"/>
      <c r="F62" s="122"/>
      <c r="G62" s="122"/>
      <c r="H62" s="122"/>
      <c r="I62" s="123"/>
      <c r="L62" s="122"/>
      <c r="M62" s="122"/>
      <c r="N62" s="122"/>
      <c r="O62" s="122"/>
      <c r="P62" s="123"/>
    </row>
    <row r="63" spans="1:16" x14ac:dyDescent="0.3">
      <c r="A63" t="s">
        <v>190</v>
      </c>
      <c r="B63" s="122"/>
      <c r="C63" s="122"/>
      <c r="D63" s="122"/>
      <c r="E63" s="122"/>
      <c r="F63" s="122"/>
      <c r="G63" s="122"/>
      <c r="H63" s="122"/>
      <c r="I63" s="123"/>
      <c r="L63" s="122"/>
      <c r="M63" s="122"/>
      <c r="N63" s="122"/>
      <c r="O63" s="122"/>
      <c r="P63" s="123"/>
    </row>
    <row r="64" spans="1:16" x14ac:dyDescent="0.3">
      <c r="B64" s="122"/>
      <c r="C64" s="122"/>
      <c r="D64" s="122"/>
      <c r="E64" s="122"/>
      <c r="F64" s="122"/>
      <c r="G64" s="122"/>
      <c r="H64" s="122"/>
      <c r="I64" s="123"/>
      <c r="L64" s="122"/>
      <c r="M64" s="122"/>
      <c r="N64" s="122"/>
      <c r="O64" s="122"/>
      <c r="P64" s="123"/>
    </row>
    <row r="65" spans="1:16" x14ac:dyDescent="0.3">
      <c r="B65" s="122"/>
      <c r="C65" s="122"/>
      <c r="D65" s="122"/>
      <c r="E65" s="122"/>
      <c r="F65" s="122"/>
      <c r="G65" s="122"/>
      <c r="H65" s="122"/>
      <c r="I65" s="123"/>
      <c r="L65" s="122"/>
      <c r="M65" s="122"/>
      <c r="N65" s="122"/>
      <c r="O65" s="122"/>
      <c r="P65" s="123"/>
    </row>
    <row r="66" spans="1:16" x14ac:dyDescent="0.3">
      <c r="B66" s="122"/>
      <c r="C66" s="122"/>
      <c r="D66" s="122"/>
      <c r="E66" s="122"/>
      <c r="F66" s="122"/>
      <c r="G66" s="122"/>
      <c r="H66" s="122"/>
      <c r="I66" s="123"/>
      <c r="L66" s="122"/>
      <c r="M66" s="122"/>
      <c r="N66" s="122"/>
      <c r="O66" s="122"/>
      <c r="P66" s="123"/>
    </row>
    <row r="67" spans="1:16" x14ac:dyDescent="0.3">
      <c r="B67" s="122"/>
      <c r="C67" s="122"/>
      <c r="D67" s="122"/>
      <c r="E67" s="122"/>
      <c r="F67" s="122"/>
      <c r="G67" s="122"/>
      <c r="H67" s="122"/>
      <c r="I67" s="123"/>
      <c r="L67" s="122"/>
      <c r="M67" s="122"/>
      <c r="N67" s="122"/>
      <c r="O67" s="122"/>
      <c r="P67" s="123"/>
    </row>
    <row r="68" spans="1:16" x14ac:dyDescent="0.3">
      <c r="B68" s="122"/>
      <c r="C68" s="122"/>
      <c r="D68" s="122"/>
      <c r="E68" s="122"/>
      <c r="F68" s="122"/>
      <c r="G68" s="122"/>
      <c r="H68" s="122"/>
      <c r="I68" s="123"/>
      <c r="L68" s="122"/>
      <c r="M68" s="122"/>
      <c r="N68" s="122"/>
      <c r="O68" s="122"/>
      <c r="P68" s="123"/>
    </row>
    <row r="69" spans="1:16" x14ac:dyDescent="0.3">
      <c r="A69" s="35" t="s">
        <v>191</v>
      </c>
      <c r="B69" s="124"/>
      <c r="C69" s="124"/>
      <c r="D69" s="124"/>
      <c r="E69" s="124"/>
      <c r="F69" s="124"/>
      <c r="G69" s="124"/>
      <c r="H69" s="124"/>
      <c r="I69" s="125"/>
      <c r="K69" s="35" t="s">
        <v>191</v>
      </c>
      <c r="L69" s="124"/>
      <c r="M69" s="124"/>
      <c r="N69" s="124"/>
      <c r="O69" s="124"/>
      <c r="P69" s="125"/>
    </row>
    <row r="70" spans="1:16" x14ac:dyDescent="0.3">
      <c r="A70" t="s">
        <v>192</v>
      </c>
      <c r="B70" s="46" t="e">
        <f t="shared" ref="B70:I70" si="21">SUM(B$8:B$12)/B$32*100000</f>
        <v>#VALUE!</v>
      </c>
      <c r="C70" s="46" t="e">
        <f t="shared" si="21"/>
        <v>#VALUE!</v>
      </c>
      <c r="D70" s="46" t="e">
        <f t="shared" si="21"/>
        <v>#VALUE!</v>
      </c>
      <c r="E70" s="46" t="e">
        <f t="shared" si="21"/>
        <v>#VALUE!</v>
      </c>
      <c r="F70" s="46" t="e">
        <f t="shared" si="21"/>
        <v>#VALUE!</v>
      </c>
      <c r="G70" s="46" t="e">
        <f t="shared" si="21"/>
        <v>#VALUE!</v>
      </c>
      <c r="H70" s="46" t="e">
        <f t="shared" si="21"/>
        <v>#VALUE!</v>
      </c>
      <c r="I70" s="47" t="e">
        <f t="shared" si="21"/>
        <v>#VALUE!</v>
      </c>
      <c r="K70" t="s">
        <v>192</v>
      </c>
      <c r="L70" s="46" t="e">
        <f>SUM(L$8:L$12)/L$32*100000</f>
        <v>#VALUE!</v>
      </c>
      <c r="M70" s="46" t="e">
        <f>SUM(M$8:M$12)/M$32*100000</f>
        <v>#VALUE!</v>
      </c>
      <c r="N70" s="46" t="e">
        <f>SUM(N$8:N$12)/N$32*100000</f>
        <v>#VALUE!</v>
      </c>
      <c r="O70" s="46" t="e">
        <f>SUM(O$8:O$12)/O$32*100000</f>
        <v>#VALUE!</v>
      </c>
      <c r="P70" s="47" t="e">
        <f>SUM(P$8:P$12)/P$32*100000</f>
        <v>#VALUE!</v>
      </c>
    </row>
    <row r="71" spans="1:16" x14ac:dyDescent="0.3">
      <c r="A71" t="s">
        <v>185</v>
      </c>
      <c r="B71" s="46" t="e">
        <f t="shared" ref="B71:I71" si="22">SUM(B$8:B$11)/B$32*100000</f>
        <v>#VALUE!</v>
      </c>
      <c r="C71" s="46" t="e">
        <f t="shared" si="22"/>
        <v>#VALUE!</v>
      </c>
      <c r="D71" s="46" t="e">
        <f t="shared" si="22"/>
        <v>#VALUE!</v>
      </c>
      <c r="E71" s="46" t="e">
        <f t="shared" si="22"/>
        <v>#VALUE!</v>
      </c>
      <c r="F71" s="46" t="e">
        <f t="shared" si="22"/>
        <v>#VALUE!</v>
      </c>
      <c r="G71" s="46" t="e">
        <f t="shared" si="22"/>
        <v>#VALUE!</v>
      </c>
      <c r="H71" s="46" t="e">
        <f t="shared" si="22"/>
        <v>#VALUE!</v>
      </c>
      <c r="I71" s="47" t="e">
        <f t="shared" si="22"/>
        <v>#VALUE!</v>
      </c>
      <c r="K71" t="s">
        <v>185</v>
      </c>
      <c r="L71" s="46" t="e">
        <f>SUM(L$8:L$11)/L$32*100000</f>
        <v>#VALUE!</v>
      </c>
      <c r="M71" s="46" t="e">
        <f>SUM(M$8:M$11)/M$32*100000</f>
        <v>#VALUE!</v>
      </c>
      <c r="N71" s="46" t="e">
        <f>SUM(N$8:N$11)/N$32*100000</f>
        <v>#VALUE!</v>
      </c>
      <c r="O71" s="46" t="e">
        <f>SUM(O$8:O$11)/O$32*100000</f>
        <v>#VALUE!</v>
      </c>
      <c r="P71" s="47" t="e">
        <f>SUM(P$8:P$11)/P$32*100000</f>
        <v>#VALUE!</v>
      </c>
    </row>
    <row r="72" spans="1:16" x14ac:dyDescent="0.3">
      <c r="A72" t="s">
        <v>186</v>
      </c>
      <c r="B72" s="46" t="e">
        <f t="shared" ref="B72:I72" si="23">SUM(B$8:B$10)/B$32*100000</f>
        <v>#VALUE!</v>
      </c>
      <c r="C72" s="46" t="e">
        <f t="shared" si="23"/>
        <v>#VALUE!</v>
      </c>
      <c r="D72" s="46" t="e">
        <f t="shared" si="23"/>
        <v>#VALUE!</v>
      </c>
      <c r="E72" s="46" t="e">
        <f t="shared" si="23"/>
        <v>#VALUE!</v>
      </c>
      <c r="F72" s="46" t="e">
        <f t="shared" si="23"/>
        <v>#VALUE!</v>
      </c>
      <c r="G72" s="46" t="e">
        <f t="shared" si="23"/>
        <v>#VALUE!</v>
      </c>
      <c r="H72" s="46" t="e">
        <f t="shared" si="23"/>
        <v>#VALUE!</v>
      </c>
      <c r="I72" s="47" t="e">
        <f t="shared" si="23"/>
        <v>#VALUE!</v>
      </c>
      <c r="K72" t="s">
        <v>186</v>
      </c>
      <c r="L72" s="46" t="e">
        <f>SUM(L$8:L$10)/L$32*100000</f>
        <v>#VALUE!</v>
      </c>
      <c r="M72" s="46" t="e">
        <f>SUM(M$8:M$10)/M$32*100000</f>
        <v>#VALUE!</v>
      </c>
      <c r="N72" s="46" t="e">
        <f>SUM(N$8:N$10)/N$32*100000</f>
        <v>#VALUE!</v>
      </c>
      <c r="O72" s="46" t="e">
        <f>SUM(O$8:O$10)/O$32*100000</f>
        <v>#VALUE!</v>
      </c>
      <c r="P72" s="47" t="e">
        <f>SUM(P$8:P$10)/P$32*100000</f>
        <v>#VALUE!</v>
      </c>
    </row>
    <row r="73" spans="1:16" x14ac:dyDescent="0.3">
      <c r="A73" t="s">
        <v>187</v>
      </c>
      <c r="B73" s="46" t="e">
        <f t="shared" ref="B73:I73" si="24">SUM(B$8:B$9)/B$32*100000</f>
        <v>#VALUE!</v>
      </c>
      <c r="C73" s="46" t="e">
        <f t="shared" si="24"/>
        <v>#VALUE!</v>
      </c>
      <c r="D73" s="46" t="e">
        <f t="shared" si="24"/>
        <v>#VALUE!</v>
      </c>
      <c r="E73" s="46" t="e">
        <f t="shared" si="24"/>
        <v>#VALUE!</v>
      </c>
      <c r="F73" s="46" t="e">
        <f t="shared" si="24"/>
        <v>#VALUE!</v>
      </c>
      <c r="G73" s="46" t="e">
        <f t="shared" si="24"/>
        <v>#VALUE!</v>
      </c>
      <c r="H73" s="46" t="e">
        <f t="shared" si="24"/>
        <v>#VALUE!</v>
      </c>
      <c r="I73" s="47" t="e">
        <f t="shared" si="24"/>
        <v>#VALUE!</v>
      </c>
      <c r="K73" t="s">
        <v>187</v>
      </c>
      <c r="L73" s="46" t="e">
        <f>SUM(L$8:L$9)/L$32*100000</f>
        <v>#VALUE!</v>
      </c>
      <c r="M73" s="46" t="e">
        <f>SUM(M$8:M$9)/M$32*100000</f>
        <v>#VALUE!</v>
      </c>
      <c r="N73" s="46" t="e">
        <f>SUM(N$8:N$9)/N$32*100000</f>
        <v>#VALUE!</v>
      </c>
      <c r="O73" s="46" t="e">
        <f>SUM(O$8:O$9)/O$32*100000</f>
        <v>#VALUE!</v>
      </c>
      <c r="P73" s="47" t="e">
        <f>SUM(P$8:P$9)/P$32*100000</f>
        <v>#VALUE!</v>
      </c>
    </row>
    <row r="74" spans="1:16" x14ac:dyDescent="0.3">
      <c r="A74" t="s">
        <v>188</v>
      </c>
      <c r="B74" s="46" t="e">
        <f t="shared" ref="B74:I74" si="25">SUM(B$8:B$8)/B$32*100000</f>
        <v>#VALUE!</v>
      </c>
      <c r="C74" s="46" t="e">
        <f t="shared" si="25"/>
        <v>#VALUE!</v>
      </c>
      <c r="D74" s="46" t="e">
        <f t="shared" si="25"/>
        <v>#VALUE!</v>
      </c>
      <c r="E74" s="46" t="e">
        <f t="shared" si="25"/>
        <v>#VALUE!</v>
      </c>
      <c r="F74" s="46" t="e">
        <f t="shared" si="25"/>
        <v>#VALUE!</v>
      </c>
      <c r="G74" s="46" t="e">
        <f t="shared" si="25"/>
        <v>#VALUE!</v>
      </c>
      <c r="H74" s="46" t="e">
        <f t="shared" si="25"/>
        <v>#VALUE!</v>
      </c>
      <c r="I74" s="47" t="e">
        <f t="shared" si="25"/>
        <v>#VALUE!</v>
      </c>
      <c r="K74" t="s">
        <v>188</v>
      </c>
      <c r="L74" s="46" t="e">
        <f>SUM(L$8:L$8)/L$32*100000</f>
        <v>#VALUE!</v>
      </c>
      <c r="M74" s="46" t="e">
        <f>SUM(M$8:M$8)/M$32*100000</f>
        <v>#VALUE!</v>
      </c>
      <c r="N74" s="46" t="e">
        <f>SUM(N$8:N$8)/N$32*100000</f>
        <v>#VALUE!</v>
      </c>
      <c r="O74" s="46" t="e">
        <f>SUM(O$8:O$8)/O$32*100000</f>
        <v>#VALUE!</v>
      </c>
      <c r="P74" s="47" t="e">
        <f>SUM(P$8:P$8)/P$32*100000</f>
        <v>#VALUE!</v>
      </c>
    </row>
    <row r="75" spans="1:16" x14ac:dyDescent="0.3">
      <c r="B75" s="122"/>
      <c r="C75" s="122"/>
      <c r="D75" s="122"/>
      <c r="E75" s="122"/>
      <c r="F75" s="122"/>
      <c r="G75" s="122"/>
      <c r="H75" s="122"/>
      <c r="I75" s="123"/>
      <c r="L75" s="122"/>
      <c r="M75" s="122"/>
      <c r="N75" s="122"/>
      <c r="O75" s="122"/>
      <c r="P75" s="123"/>
    </row>
    <row r="76" spans="1:16" x14ac:dyDescent="0.3">
      <c r="B76" s="122"/>
      <c r="C76" s="122"/>
      <c r="D76" s="122"/>
      <c r="E76" s="122"/>
      <c r="F76" s="122"/>
      <c r="G76" s="122"/>
      <c r="H76" s="122"/>
      <c r="I76" s="123"/>
      <c r="L76" s="122"/>
      <c r="M76" s="122"/>
      <c r="N76" s="122"/>
      <c r="O76" s="122"/>
      <c r="P76" s="123"/>
    </row>
    <row r="77" spans="1:16" x14ac:dyDescent="0.3">
      <c r="A77" s="35" t="s">
        <v>193</v>
      </c>
      <c r="B77" s="124"/>
      <c r="C77" s="124"/>
      <c r="D77" s="124"/>
      <c r="E77" s="124"/>
      <c r="F77" s="124"/>
      <c r="G77" s="124"/>
      <c r="H77" s="124"/>
      <c r="I77" s="125"/>
      <c r="K77" s="35" t="s">
        <v>193</v>
      </c>
      <c r="L77" s="124"/>
      <c r="M77" s="124"/>
      <c r="N77" s="124"/>
      <c r="O77" s="124"/>
      <c r="P77" s="125"/>
    </row>
    <row r="78" spans="1:16" x14ac:dyDescent="0.3">
      <c r="A78" t="s">
        <v>184</v>
      </c>
      <c r="B78" s="46">
        <f t="shared" ref="B78:I78" si="26">SUM(B$8:B$12)/B$30</f>
        <v>3.216682112568241</v>
      </c>
      <c r="C78" s="46">
        <f t="shared" si="26"/>
        <v>1.2480675549139482</v>
      </c>
      <c r="D78" s="46">
        <f t="shared" si="26"/>
        <v>2.2261975204065951</v>
      </c>
      <c r="E78" s="46">
        <f t="shared" si="26"/>
        <v>1.5990697395764615</v>
      </c>
      <c r="F78" s="46">
        <f t="shared" si="26"/>
        <v>0.64622583001952405</v>
      </c>
      <c r="G78" s="46">
        <f t="shared" si="26"/>
        <v>0.93221897665292441</v>
      </c>
      <c r="H78" s="46">
        <f t="shared" si="26"/>
        <v>3.7091212577566663</v>
      </c>
      <c r="I78" s="47">
        <f t="shared" si="26"/>
        <v>1.589537453330742</v>
      </c>
      <c r="K78" t="s">
        <v>184</v>
      </c>
      <c r="L78" s="46">
        <f>SUM(L$8:L$12)/L$30</f>
        <v>1.8074401780306053</v>
      </c>
      <c r="M78" s="46">
        <f>SUM(M$8:M$12)/M$30</f>
        <v>2.2261975204065951</v>
      </c>
      <c r="N78" s="46">
        <f>SUM(N$8:N$12)/N$30</f>
        <v>0.99347685140418096</v>
      </c>
      <c r="O78" s="46">
        <f>SUM(O$8:O$12)/O$30</f>
        <v>3.7091212577566663</v>
      </c>
      <c r="P78" s="47">
        <f>SUM(P$8:P$12)/P$30</f>
        <v>1.5895374533307416</v>
      </c>
    </row>
    <row r="79" spans="1:16" x14ac:dyDescent="0.3">
      <c r="A79" t="s">
        <v>185</v>
      </c>
      <c r="B79" s="46">
        <f t="shared" ref="B79:I79" si="27">SUM(B$8:B$11)/B$30</f>
        <v>2.6201199501518646</v>
      </c>
      <c r="C79" s="46">
        <f t="shared" si="27"/>
        <v>1.0758995115521135</v>
      </c>
      <c r="D79" s="46">
        <f t="shared" si="27"/>
        <v>2.0688553818386146</v>
      </c>
      <c r="E79" s="46">
        <f t="shared" si="27"/>
        <v>1.3958791077578172</v>
      </c>
      <c r="F79" s="46">
        <f t="shared" si="27"/>
        <v>0.4853159747120549</v>
      </c>
      <c r="G79" s="46">
        <f t="shared" si="27"/>
        <v>0.76926050856762118</v>
      </c>
      <c r="H79" s="46">
        <f t="shared" si="27"/>
        <v>3.4362506962719013</v>
      </c>
      <c r="I79" s="47">
        <f t="shared" si="27"/>
        <v>1.3730851189337432</v>
      </c>
      <c r="K79" t="s">
        <v>185</v>
      </c>
      <c r="L79" s="46">
        <f>SUM(L$8:L$11)/L$30</f>
        <v>1.5146825298180937</v>
      </c>
      <c r="M79" s="46">
        <f>SUM(M$8:M$11)/M$30</f>
        <v>2.0688553818386146</v>
      </c>
      <c r="N79" s="46">
        <f>SUM(N$8:N$11)/N$30</f>
        <v>0.82157722344440842</v>
      </c>
      <c r="O79" s="46">
        <f>SUM(O$8:O$11)/O$30</f>
        <v>3.4362506962719013</v>
      </c>
      <c r="P79" s="47">
        <f>SUM(P$8:P$11)/P$30</f>
        <v>1.373085118933743</v>
      </c>
    </row>
    <row r="80" spans="1:16" x14ac:dyDescent="0.3">
      <c r="A80" t="s">
        <v>186</v>
      </c>
      <c r="B80" s="46">
        <f t="shared" ref="B80:I80" si="28">SUM(B$8:B$10)/B$30</f>
        <v>1.9370343678078348</v>
      </c>
      <c r="C80" s="46">
        <f t="shared" si="28"/>
        <v>0.9102070917570142</v>
      </c>
      <c r="D80" s="46">
        <f t="shared" si="28"/>
        <v>1.6716638268571813</v>
      </c>
      <c r="E80" s="46">
        <f t="shared" si="28"/>
        <v>1.3958791077578172</v>
      </c>
      <c r="F80" s="46">
        <f t="shared" si="28"/>
        <v>0.4853159747120549</v>
      </c>
      <c r="G80" s="46">
        <f t="shared" si="28"/>
        <v>0.69616651182910105</v>
      </c>
      <c r="H80" s="46">
        <f t="shared" si="28"/>
        <v>3.2665709409463473</v>
      </c>
      <c r="I80" s="47">
        <f t="shared" si="28"/>
        <v>1.208914552894057</v>
      </c>
      <c r="K80" t="s">
        <v>186</v>
      </c>
      <c r="L80" s="46">
        <f>SUM(L$8:L$10)/L$30</f>
        <v>1.2019752617418396</v>
      </c>
      <c r="M80" s="46">
        <f>SUM(M$8:M$10)/M$30</f>
        <v>1.6716638268571813</v>
      </c>
      <c r="N80" s="46">
        <f>SUM(N$8:N$10)/N$30</f>
        <v>0.79122589149597211</v>
      </c>
      <c r="O80" s="46">
        <f>SUM(O$8:O$10)/O$30</f>
        <v>3.2665709409463473</v>
      </c>
      <c r="P80" s="47">
        <f>SUM(P$8:P$10)/P$30</f>
        <v>1.2089145528940566</v>
      </c>
    </row>
    <row r="81" spans="1:16" x14ac:dyDescent="0.3">
      <c r="A81" t="s">
        <v>187</v>
      </c>
      <c r="B81" s="46">
        <f t="shared" ref="B81:I81" si="29">SUM(B$8:B$9)/B$30</f>
        <v>0.50659784501050886</v>
      </c>
      <c r="C81" s="46">
        <f t="shared" si="29"/>
        <v>0.4138806949133102</v>
      </c>
      <c r="D81" s="46">
        <f t="shared" si="29"/>
        <v>1.0192176619391686</v>
      </c>
      <c r="E81" s="46">
        <f t="shared" si="29"/>
        <v>0.92774929032721232</v>
      </c>
      <c r="F81" s="46">
        <f t="shared" si="29"/>
        <v>0.3065001766167153</v>
      </c>
      <c r="G81" s="46">
        <f t="shared" si="29"/>
        <v>0.41108230861519585</v>
      </c>
      <c r="H81" s="46">
        <f t="shared" si="29"/>
        <v>2.1400911305449375</v>
      </c>
      <c r="I81" s="47">
        <f t="shared" si="29"/>
        <v>0.66722546064824162</v>
      </c>
      <c r="K81" t="s">
        <v>187</v>
      </c>
      <c r="L81" s="46">
        <f>SUM(L$8:L$9)/L$30</f>
        <v>0.44022583965285172</v>
      </c>
      <c r="M81" s="46">
        <f>SUM(M$8:M$9)/M$30</f>
        <v>1.0192176619391686</v>
      </c>
      <c r="N81" s="46">
        <f>SUM(N$8:N$9)/N$30</f>
        <v>0.49890476817943136</v>
      </c>
      <c r="O81" s="46">
        <f>SUM(O$8:O$9)/O$30</f>
        <v>2.1400911305449375</v>
      </c>
      <c r="P81" s="47">
        <f>SUM(P$8:P$9)/P$30</f>
        <v>0.6672254606482414</v>
      </c>
    </row>
    <row r="82" spans="1:16" x14ac:dyDescent="0.3">
      <c r="A82" t="s">
        <v>188</v>
      </c>
      <c r="B82" s="46">
        <f t="shared" ref="B82:I82" si="30">SUM(B$8:B$8)/B$30</f>
        <v>0.10950840887973975</v>
      </c>
      <c r="C82" s="46">
        <f t="shared" si="30"/>
        <v>5.7542602840906974E-2</v>
      </c>
      <c r="D82" s="46">
        <f t="shared" si="30"/>
        <v>0.41198641486391735</v>
      </c>
      <c r="E82" s="46">
        <f t="shared" si="30"/>
        <v>0.10079721780030096</v>
      </c>
      <c r="F82" s="46">
        <f t="shared" si="30"/>
        <v>2.0899074575238704E-2</v>
      </c>
      <c r="G82" s="46">
        <f t="shared" si="30"/>
        <v>9.9297442111537321E-2</v>
      </c>
      <c r="H82" s="46">
        <f t="shared" si="30"/>
        <v>0.8156348785125983</v>
      </c>
      <c r="I82" s="47">
        <f t="shared" si="30"/>
        <v>0.16675373949639877</v>
      </c>
      <c r="K82" t="s">
        <v>188</v>
      </c>
      <c r="L82" s="46">
        <f>SUM(L$8:L$8)/L$30</f>
        <v>7.2308443682269866E-2</v>
      </c>
      <c r="M82" s="46">
        <f>SUM(M$8:M$8)/M$30</f>
        <v>0.41198641486391735</v>
      </c>
      <c r="N82" s="46">
        <f>SUM(N$8:N$8)/N$30</f>
        <v>7.2612897385880767E-2</v>
      </c>
      <c r="O82" s="46">
        <f>SUM(O$8:O$8)/O$30</f>
        <v>0.8156348785125983</v>
      </c>
      <c r="P82" s="47">
        <f>SUM(P$8:P$8)/P$30</f>
        <v>0.16675373949639874</v>
      </c>
    </row>
    <row r="83" spans="1:16" x14ac:dyDescent="0.3">
      <c r="B83" s="20"/>
      <c r="C83" s="20"/>
      <c r="D83" s="20"/>
      <c r="E83" s="20"/>
      <c r="F83" s="20"/>
      <c r="G83" s="20"/>
      <c r="H83" s="20"/>
      <c r="I83" s="21"/>
      <c r="L83" s="20"/>
      <c r="M83" s="20"/>
      <c r="N83" s="20"/>
      <c r="O83" s="20"/>
      <c r="P83" s="21"/>
    </row>
    <row r="84" spans="1:16" x14ac:dyDescent="0.3">
      <c r="B84" s="20"/>
      <c r="C84" s="20"/>
      <c r="D84" s="20"/>
      <c r="E84" s="20"/>
      <c r="F84" s="20"/>
      <c r="G84" s="20"/>
      <c r="H84" s="20"/>
      <c r="I84" s="21"/>
      <c r="L84" s="20"/>
      <c r="M84" s="20"/>
      <c r="N84" s="20"/>
      <c r="O84" s="20"/>
      <c r="P84" s="21"/>
    </row>
    <row r="85" spans="1:16" x14ac:dyDescent="0.3">
      <c r="A85" s="35" t="s">
        <v>194</v>
      </c>
      <c r="B85" s="35"/>
      <c r="C85" s="35"/>
      <c r="D85" s="35"/>
      <c r="E85" s="35"/>
      <c r="F85" s="35"/>
      <c r="G85" s="35"/>
      <c r="H85" s="35"/>
      <c r="I85" s="36"/>
      <c r="K85" s="35" t="s">
        <v>194</v>
      </c>
      <c r="L85" s="35"/>
      <c r="M85" s="35"/>
      <c r="N85" s="35"/>
      <c r="O85" s="35"/>
      <c r="P85" s="36"/>
    </row>
    <row r="86" spans="1:16" x14ac:dyDescent="0.3">
      <c r="A86" t="s">
        <v>195</v>
      </c>
      <c r="B86" s="18" t="e">
        <f>SUMIFS(Geographies!$U$6:$U$809,Geographies!$J$6:$J$809,B$5)</f>
        <v>#VALUE!</v>
      </c>
      <c r="C86" s="18" t="e">
        <f>SUMIFS(Geographies!$U$6:$U$809,Geographies!$J$6:$J$809,C$5)</f>
        <v>#VALUE!</v>
      </c>
      <c r="D86" s="18" t="e">
        <f>SUMIFS(Geographies!$U$6:$U$809,Geographies!$J$6:$J$809,D$5)</f>
        <v>#VALUE!</v>
      </c>
      <c r="E86" s="18" t="e">
        <f>SUMIFS(Geographies!$U$6:$U$809,Geographies!$J$6:$J$809,E$5)</f>
        <v>#VALUE!</v>
      </c>
      <c r="F86" s="18" t="e">
        <f>SUMIFS(Geographies!$U$6:$U$809,Geographies!$J$6:$J$809,F$5)</f>
        <v>#VALUE!</v>
      </c>
      <c r="G86" s="18" t="e">
        <f>SUMIFS(Geographies!$U$6:$U$809,Geographies!$J$6:$J$809,G$5)</f>
        <v>#VALUE!</v>
      </c>
      <c r="H86" s="18" t="e">
        <f>SUMIFS(Geographies!$U$6:$U$809,Geographies!$J$6:$J$809,H$5)</f>
        <v>#VALUE!</v>
      </c>
      <c r="I86" s="74" t="e">
        <f>SUM(B86:H86)</f>
        <v>#VALUE!</v>
      </c>
      <c r="K86" t="s">
        <v>195</v>
      </c>
      <c r="L86" s="18" t="e">
        <f>SUM(B86:C86)</f>
        <v>#VALUE!</v>
      </c>
      <c r="M86" s="18" t="e">
        <f>D86</f>
        <v>#VALUE!</v>
      </c>
      <c r="N86" s="18" t="e">
        <f>SUM(E86:G86)</f>
        <v>#VALUE!</v>
      </c>
      <c r="O86" s="18" t="e">
        <f>H86</f>
        <v>#VALUE!</v>
      </c>
      <c r="P86" s="74" t="e">
        <f>SUM(L86:O86)</f>
        <v>#VALUE!</v>
      </c>
    </row>
    <row r="87" spans="1:16" x14ac:dyDescent="0.3">
      <c r="A87" t="s">
        <v>196</v>
      </c>
      <c r="B87" s="18" t="e">
        <f>SUMIFS(Geographies!$W$6:$W$809,Geographies!$J$6:$J$809,B$5)</f>
        <v>#VALUE!</v>
      </c>
      <c r="C87" s="18" t="e">
        <f>SUMIFS(Geographies!$W$6:$W$809,Geographies!$J$6:$J$809,C$5)</f>
        <v>#VALUE!</v>
      </c>
      <c r="D87" s="18" t="e">
        <f>SUMIFS(Geographies!$W$6:$W$809,Geographies!$J$6:$J$809,D$5)</f>
        <v>#VALUE!</v>
      </c>
      <c r="E87" s="18" t="e">
        <f>SUMIFS(Geographies!$W$6:$W$809,Geographies!$J$6:$J$809,E$5)</f>
        <v>#VALUE!</v>
      </c>
      <c r="F87" s="18" t="e">
        <f>SUMIFS(Geographies!$W$6:$W$809,Geographies!$J$6:$J$809,F$5)</f>
        <v>#VALUE!</v>
      </c>
      <c r="G87" s="18" t="e">
        <f>SUMIFS(Geographies!$W$6:$W$809,Geographies!$J$6:$J$809,G$5)</f>
        <v>#VALUE!</v>
      </c>
      <c r="H87" s="18" t="e">
        <f>SUMIFS(Geographies!$W$6:$W$809,Geographies!$J$6:$J$809,H$5)</f>
        <v>#VALUE!</v>
      </c>
      <c r="I87" s="74" t="e">
        <f>SUM(B87:H87)</f>
        <v>#VALUE!</v>
      </c>
      <c r="K87" t="s">
        <v>196</v>
      </c>
      <c r="L87" s="18" t="e">
        <f>SUM(B87:C87)</f>
        <v>#VALUE!</v>
      </c>
      <c r="M87" s="18" t="e">
        <f>D87</f>
        <v>#VALUE!</v>
      </c>
      <c r="N87" s="18" t="e">
        <f>SUM(E87:G87)</f>
        <v>#VALUE!</v>
      </c>
      <c r="O87" s="18" t="e">
        <f>H87</f>
        <v>#VALUE!</v>
      </c>
      <c r="P87" s="74" t="e">
        <f>SUM(L87:O87)</f>
        <v>#VALUE!</v>
      </c>
    </row>
    <row r="88" spans="1:16" x14ac:dyDescent="0.3">
      <c r="B88" s="20"/>
      <c r="C88" s="20"/>
      <c r="D88" s="20"/>
      <c r="E88" s="20"/>
      <c r="F88" s="20"/>
      <c r="G88" s="20"/>
      <c r="H88" s="20"/>
      <c r="I88" s="21"/>
      <c r="L88" s="20"/>
      <c r="M88" s="20"/>
      <c r="N88" s="20"/>
      <c r="O88" s="20"/>
      <c r="P88" s="21"/>
    </row>
    <row r="89" spans="1:16" x14ac:dyDescent="0.3">
      <c r="B89" s="20"/>
      <c r="C89" s="20"/>
      <c r="D89" s="20"/>
      <c r="E89" s="20"/>
      <c r="F89" s="20"/>
      <c r="G89" s="20"/>
      <c r="H89" s="20"/>
      <c r="I89" s="21"/>
      <c r="L89" s="20"/>
      <c r="M89" s="20"/>
      <c r="N89" s="20"/>
      <c r="O89" s="20"/>
      <c r="P89" s="21"/>
    </row>
    <row r="90" spans="1:16" x14ac:dyDescent="0.3">
      <c r="A90" s="35" t="s">
        <v>34</v>
      </c>
      <c r="B90" s="35"/>
      <c r="C90" s="35"/>
      <c r="D90" s="35"/>
      <c r="E90" s="35"/>
      <c r="F90" s="35"/>
      <c r="G90" s="35"/>
      <c r="H90" s="35"/>
      <c r="I90" s="36"/>
      <c r="K90" s="35" t="s">
        <v>34</v>
      </c>
      <c r="L90" s="35"/>
      <c r="M90" s="35"/>
      <c r="N90" s="35"/>
      <c r="O90" s="35"/>
      <c r="P90" s="36"/>
    </row>
    <row r="91" spans="1:16" x14ac:dyDescent="0.3">
      <c r="A91" t="s">
        <v>195</v>
      </c>
      <c r="B91" s="23" t="e">
        <f>B86/B$32</f>
        <v>#VALUE!</v>
      </c>
      <c r="C91" s="23" t="e">
        <f t="shared" ref="C91:I91" si="31">C86/C$32</f>
        <v>#VALUE!</v>
      </c>
      <c r="D91" s="23" t="e">
        <f t="shared" si="31"/>
        <v>#VALUE!</v>
      </c>
      <c r="E91" s="23" t="e">
        <f t="shared" si="31"/>
        <v>#VALUE!</v>
      </c>
      <c r="F91" s="23" t="e">
        <f t="shared" si="31"/>
        <v>#VALUE!</v>
      </c>
      <c r="G91" s="23" t="e">
        <f t="shared" si="31"/>
        <v>#VALUE!</v>
      </c>
      <c r="H91" s="23" t="e">
        <f t="shared" si="31"/>
        <v>#VALUE!</v>
      </c>
      <c r="I91" s="24" t="e">
        <f t="shared" si="31"/>
        <v>#VALUE!</v>
      </c>
      <c r="K91" t="s">
        <v>195</v>
      </c>
      <c r="L91" s="23" t="e">
        <f t="shared" ref="L91:P92" si="32">L86/L$32</f>
        <v>#VALUE!</v>
      </c>
      <c r="M91" s="23" t="e">
        <f t="shared" si="32"/>
        <v>#VALUE!</v>
      </c>
      <c r="N91" s="23" t="e">
        <f t="shared" si="32"/>
        <v>#VALUE!</v>
      </c>
      <c r="O91" s="23" t="e">
        <f t="shared" si="32"/>
        <v>#VALUE!</v>
      </c>
      <c r="P91" s="24" t="e">
        <f t="shared" si="32"/>
        <v>#VALUE!</v>
      </c>
    </row>
    <row r="92" spans="1:16" x14ac:dyDescent="0.3">
      <c r="A92" t="s">
        <v>196</v>
      </c>
      <c r="B92" s="23" t="e">
        <f t="shared" ref="B92:I92" si="33">B87/B$32</f>
        <v>#VALUE!</v>
      </c>
      <c r="C92" s="23" t="e">
        <f t="shared" si="33"/>
        <v>#VALUE!</v>
      </c>
      <c r="D92" s="23" t="e">
        <f t="shared" si="33"/>
        <v>#VALUE!</v>
      </c>
      <c r="E92" s="23" t="e">
        <f t="shared" si="33"/>
        <v>#VALUE!</v>
      </c>
      <c r="F92" s="23" t="e">
        <f t="shared" si="33"/>
        <v>#VALUE!</v>
      </c>
      <c r="G92" s="23" t="e">
        <f t="shared" si="33"/>
        <v>#VALUE!</v>
      </c>
      <c r="H92" s="23" t="e">
        <f t="shared" si="33"/>
        <v>#VALUE!</v>
      </c>
      <c r="I92" s="24" t="e">
        <f t="shared" si="33"/>
        <v>#VALUE!</v>
      </c>
      <c r="K92" t="s">
        <v>196</v>
      </c>
      <c r="L92" s="23" t="e">
        <f t="shared" si="32"/>
        <v>#VALUE!</v>
      </c>
      <c r="M92" s="23" t="e">
        <f t="shared" si="32"/>
        <v>#VALUE!</v>
      </c>
      <c r="N92" s="23" t="e">
        <f t="shared" si="32"/>
        <v>#VALUE!</v>
      </c>
      <c r="O92" s="23" t="e">
        <f t="shared" si="32"/>
        <v>#VALUE!</v>
      </c>
      <c r="P92" s="24" t="e">
        <f t="shared" si="32"/>
        <v>#VALUE!</v>
      </c>
    </row>
    <row r="93" spans="1:16" x14ac:dyDescent="0.3">
      <c r="A93" s="11"/>
      <c r="K93" s="11"/>
    </row>
    <row r="96" spans="1:16" x14ac:dyDescent="0.3">
      <c r="A96" s="12" t="s">
        <v>197</v>
      </c>
      <c r="B96" s="12"/>
      <c r="C96" s="12"/>
      <c r="D96" s="12"/>
      <c r="E96" s="12"/>
      <c r="F96" s="22" t="s">
        <v>198</v>
      </c>
      <c r="K96" s="11"/>
    </row>
    <row r="97" spans="1:11" x14ac:dyDescent="0.3">
      <c r="A97" s="10"/>
      <c r="B97" s="73" t="s">
        <v>159</v>
      </c>
      <c r="C97" s="73" t="s">
        <v>160</v>
      </c>
      <c r="D97" s="73" t="s">
        <v>161</v>
      </c>
      <c r="E97" s="73" t="s">
        <v>150</v>
      </c>
      <c r="F97" s="73" t="s">
        <v>46</v>
      </c>
      <c r="K97" s="11"/>
    </row>
    <row r="98" spans="1:11" x14ac:dyDescent="0.3">
      <c r="A98" t="s">
        <v>199</v>
      </c>
      <c r="B98" s="126">
        <f>L13</f>
        <v>129.4108248918026</v>
      </c>
      <c r="C98" s="126">
        <f>M13</f>
        <v>48.502889678325332</v>
      </c>
      <c r="D98" s="126">
        <f>N13</f>
        <v>117.43693940053291</v>
      </c>
      <c r="E98" s="126">
        <f>O13</f>
        <v>71.723328904117267</v>
      </c>
      <c r="F98" s="127">
        <f>P13</f>
        <v>367.0739828747781</v>
      </c>
    </row>
    <row r="99" spans="1:11" x14ac:dyDescent="0.3">
      <c r="A99" t="s">
        <v>200</v>
      </c>
      <c r="B99" s="126"/>
      <c r="C99" s="126"/>
      <c r="D99" s="126"/>
      <c r="E99" s="126"/>
      <c r="F99" s="127"/>
    </row>
    <row r="100" spans="1:11" x14ac:dyDescent="0.3">
      <c r="A100" s="11" t="s">
        <v>201</v>
      </c>
      <c r="B100" s="126" t="e">
        <f>L54</f>
        <v>#VALUE!</v>
      </c>
      <c r="C100" s="126" t="e">
        <f>M54</f>
        <v>#VALUE!</v>
      </c>
      <c r="D100" s="126" t="e">
        <f>N54</f>
        <v>#VALUE!</v>
      </c>
      <c r="E100" s="126" t="e">
        <f>O54</f>
        <v>#VALUE!</v>
      </c>
      <c r="F100" s="127" t="e">
        <f>P54</f>
        <v>#VALUE!</v>
      </c>
    </row>
    <row r="101" spans="1:11" x14ac:dyDescent="0.3">
      <c r="A101" s="11" t="s">
        <v>202</v>
      </c>
      <c r="B101" s="126" t="e">
        <f>L70</f>
        <v>#VALUE!</v>
      </c>
      <c r="C101" s="126" t="e">
        <f>M70</f>
        <v>#VALUE!</v>
      </c>
      <c r="D101" s="126" t="e">
        <f>N70</f>
        <v>#VALUE!</v>
      </c>
      <c r="E101" s="126" t="e">
        <f>O70</f>
        <v>#VALUE!</v>
      </c>
      <c r="F101" s="127" t="e">
        <f>P70</f>
        <v>#VALUE!</v>
      </c>
    </row>
    <row r="102" spans="1:11" x14ac:dyDescent="0.3">
      <c r="A102" s="11" t="s">
        <v>203</v>
      </c>
      <c r="B102" s="126">
        <f>L78</f>
        <v>1.8074401780306053</v>
      </c>
      <c r="C102" s="126">
        <f>M78</f>
        <v>2.2261975204065951</v>
      </c>
      <c r="D102" s="126">
        <f>N78</f>
        <v>0.99347685140418096</v>
      </c>
      <c r="E102" s="126">
        <f>O78</f>
        <v>3.7091212577566663</v>
      </c>
      <c r="F102" s="127">
        <f>P78</f>
        <v>1.5895374533307416</v>
      </c>
    </row>
    <row r="103" spans="1:11" hidden="1" x14ac:dyDescent="0.3">
      <c r="A103" t="s">
        <v>204</v>
      </c>
    </row>
    <row r="104" spans="1:11" hidden="1" x14ac:dyDescent="0.3">
      <c r="A104" s="11" t="s">
        <v>205</v>
      </c>
      <c r="B104" s="131" t="e">
        <f t="shared" ref="B104:F105" si="34">L91</f>
        <v>#VALUE!</v>
      </c>
      <c r="C104" s="131" t="e">
        <f t="shared" si="34"/>
        <v>#VALUE!</v>
      </c>
      <c r="D104" s="131" t="e">
        <f t="shared" si="34"/>
        <v>#VALUE!</v>
      </c>
      <c r="E104" s="131" t="e">
        <f t="shared" si="34"/>
        <v>#VALUE!</v>
      </c>
      <c r="F104" s="132" t="e">
        <f t="shared" si="34"/>
        <v>#VALUE!</v>
      </c>
    </row>
    <row r="105" spans="1:11" hidden="1" x14ac:dyDescent="0.3">
      <c r="A105" s="11" t="s">
        <v>206</v>
      </c>
      <c r="B105" s="131" t="e">
        <f t="shared" si="34"/>
        <v>#VALUE!</v>
      </c>
      <c r="C105" s="131" t="e">
        <f t="shared" si="34"/>
        <v>#VALUE!</v>
      </c>
      <c r="D105" s="131" t="e">
        <f t="shared" si="34"/>
        <v>#VALUE!</v>
      </c>
      <c r="E105" s="131" t="e">
        <f t="shared" si="34"/>
        <v>#VALUE!</v>
      </c>
      <c r="F105" s="132" t="e">
        <f t="shared" si="34"/>
        <v>#VALUE!</v>
      </c>
    </row>
  </sheetData>
  <mergeCells count="2">
    <mergeCell ref="B4:C4"/>
    <mergeCell ref="E4:G4"/>
  </mergeCells>
  <pageMargins left="0.7" right="0.7" top="0.75" bottom="0.75" header="0.3" footer="0.3"/>
  <pageSetup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8" tint="0.79998168889431442"/>
  </sheetPr>
  <dimension ref="A1:AB814"/>
  <sheetViews>
    <sheetView zoomScale="80" zoomScaleNormal="80" workbookViewId="0">
      <selection activeCell="E18" sqref="E18"/>
    </sheetView>
  </sheetViews>
  <sheetFormatPr defaultColWidth="8.88671875" defaultRowHeight="14.4" x14ac:dyDescent="0.3"/>
  <cols>
    <col min="1" max="1" width="14.44140625" bestFit="1" customWidth="1"/>
    <col min="2" max="2" width="19.6640625" bestFit="1" customWidth="1"/>
    <col min="3" max="3" width="11.33203125" bestFit="1" customWidth="1"/>
    <col min="4" max="4" width="20.109375" bestFit="1" customWidth="1"/>
    <col min="5" max="5" width="16" bestFit="1" customWidth="1"/>
    <col min="6" max="6" width="13" style="29" bestFit="1" customWidth="1"/>
    <col min="7" max="7" width="8.6640625" bestFit="1" customWidth="1"/>
    <col min="8" max="8" width="26" bestFit="1" customWidth="1"/>
    <col min="9" max="10" width="11.44140625" style="9" customWidth="1"/>
    <col min="11" max="19" width="14.33203125" customWidth="1"/>
    <col min="20" max="27" width="11.44140625" customWidth="1"/>
  </cols>
  <sheetData>
    <row r="1" spans="1:28" ht="18" x14ac:dyDescent="0.35">
      <c r="A1" s="6" t="s">
        <v>207</v>
      </c>
    </row>
    <row r="2" spans="1:28" x14ac:dyDescent="0.3">
      <c r="A2" t="s">
        <v>208</v>
      </c>
    </row>
    <row r="3" spans="1:28" ht="16.2" x14ac:dyDescent="0.45">
      <c r="E3" s="28"/>
      <c r="F3" s="28"/>
      <c r="G3" s="28"/>
      <c r="H3" s="247" t="s">
        <v>209</v>
      </c>
      <c r="I3" s="247"/>
      <c r="J3" s="247"/>
      <c r="K3" s="247"/>
      <c r="L3" s="247" t="s">
        <v>210</v>
      </c>
      <c r="M3" s="247"/>
      <c r="N3" s="247"/>
      <c r="O3" s="247"/>
      <c r="P3" s="247"/>
      <c r="Q3" s="247"/>
      <c r="R3" s="247"/>
      <c r="S3" s="247"/>
      <c r="T3" s="247" t="s">
        <v>211</v>
      </c>
      <c r="U3" s="247"/>
      <c r="V3" s="247"/>
      <c r="W3" s="247"/>
      <c r="X3" s="247"/>
      <c r="Y3" s="247"/>
      <c r="Z3" s="247"/>
      <c r="AA3" s="247"/>
      <c r="AB3" s="28"/>
    </row>
    <row r="4" spans="1:28" ht="16.2" x14ac:dyDescent="0.45">
      <c r="G4" s="43"/>
      <c r="M4" s="16" t="s">
        <v>212</v>
      </c>
      <c r="N4" s="16" t="s">
        <v>213</v>
      </c>
      <c r="O4" s="16" t="s">
        <v>214</v>
      </c>
      <c r="P4" s="16" t="s">
        <v>215</v>
      </c>
      <c r="Q4" s="16" t="s">
        <v>216</v>
      </c>
      <c r="R4" s="16" t="s">
        <v>217</v>
      </c>
      <c r="S4" s="16"/>
      <c r="T4" s="248" t="s">
        <v>35</v>
      </c>
      <c r="U4" s="248"/>
      <c r="V4" s="248" t="s">
        <v>218</v>
      </c>
      <c r="W4" s="248"/>
      <c r="X4" s="248" t="s">
        <v>219</v>
      </c>
      <c r="Y4" s="248"/>
      <c r="Z4" s="248" t="s">
        <v>220</v>
      </c>
      <c r="AA4" s="248"/>
    </row>
    <row r="5" spans="1:28" s="2" customFormat="1" ht="16.2" x14ac:dyDescent="0.45">
      <c r="A5" s="7" t="s">
        <v>221</v>
      </c>
      <c r="B5" s="7" t="s">
        <v>222</v>
      </c>
      <c r="C5" s="7" t="s">
        <v>223</v>
      </c>
      <c r="D5" s="7" t="s">
        <v>224</v>
      </c>
      <c r="E5" s="7" t="s">
        <v>225</v>
      </c>
      <c r="F5" s="30" t="s">
        <v>226</v>
      </c>
      <c r="G5" s="8" t="s">
        <v>227</v>
      </c>
      <c r="H5" s="7" t="s">
        <v>228</v>
      </c>
      <c r="I5" s="14" t="s">
        <v>229</v>
      </c>
      <c r="J5" s="14" t="s">
        <v>230</v>
      </c>
      <c r="K5" s="7" t="s">
        <v>231</v>
      </c>
      <c r="L5" s="8" t="s">
        <v>106</v>
      </c>
      <c r="M5" s="8" t="s">
        <v>232</v>
      </c>
      <c r="N5" s="8" t="s">
        <v>178</v>
      </c>
      <c r="O5" s="8" t="s">
        <v>36</v>
      </c>
      <c r="P5" s="8" t="s">
        <v>179</v>
      </c>
      <c r="Q5" s="8" t="s">
        <v>70</v>
      </c>
      <c r="R5" s="8" t="s">
        <v>84</v>
      </c>
      <c r="S5" s="8" t="s">
        <v>58</v>
      </c>
      <c r="T5" s="128" t="s">
        <v>227</v>
      </c>
      <c r="U5" s="128" t="s">
        <v>106</v>
      </c>
      <c r="V5" s="128" t="s">
        <v>227</v>
      </c>
      <c r="W5" s="128" t="s">
        <v>106</v>
      </c>
      <c r="X5" s="128" t="s">
        <v>227</v>
      </c>
      <c r="Y5" s="128" t="s">
        <v>106</v>
      </c>
      <c r="Z5" s="128" t="s">
        <v>227</v>
      </c>
      <c r="AA5" s="128" t="s">
        <v>106</v>
      </c>
    </row>
    <row r="6" spans="1:28" x14ac:dyDescent="0.3">
      <c r="A6">
        <v>350400</v>
      </c>
      <c r="B6">
        <v>17031350400</v>
      </c>
      <c r="C6">
        <v>17031</v>
      </c>
      <c r="D6">
        <v>2010</v>
      </c>
      <c r="E6">
        <v>35</v>
      </c>
      <c r="F6">
        <v>2163073.3775205598</v>
      </c>
      <c r="G6" s="43">
        <v>7.7589581092191801E-2</v>
      </c>
      <c r="H6" s="58" t="str">
        <f>_xlfn.IFNA(
INDEX(CA!B$2:B$78,MATCH($E6,CA!$A$2:$A$78,0)),
"")</f>
        <v>DOUGLAS</v>
      </c>
      <c r="I6" s="60" t="str">
        <f>_xlfn.IFNA(
INDEX(CA!C$2:C$78,MATCH($E6,CA!$A$2:$A$78,0)),
"")</f>
        <v>6-A</v>
      </c>
      <c r="J6" s="60">
        <f>_xlfn.IFNA(
INDEX(CA!D$2:D$78,MATCH($E6,CA!$A$2:$A$78,0)),
"")</f>
        <v>6</v>
      </c>
      <c r="K6" s="58" t="str">
        <f>_xlfn.IFNA(
INDEX(CA!E$2:E$78,MATCH($E6,CA!$A$2:$A$78,0)),
"")</f>
        <v>SOUTH</v>
      </c>
      <c r="L6" s="15" t="e">
        <v>#VALUE!</v>
      </c>
      <c r="M6" s="15" t="e">
        <v>#VALUE!</v>
      </c>
      <c r="N6" s="15" t="e">
        <v>#VALUE!</v>
      </c>
      <c r="O6" s="15" t="e">
        <v>#VALUE!</v>
      </c>
      <c r="P6" s="15" t="e">
        <v>#VALUE!</v>
      </c>
      <c r="Q6" s="15" t="e">
        <v>#VALUE!</v>
      </c>
      <c r="R6" s="15" t="e">
        <v>#VALUE!</v>
      </c>
      <c r="S6" s="15" t="e">
        <v>#VALUE!</v>
      </c>
      <c r="T6" s="129">
        <v>7.758957953408338E-2</v>
      </c>
      <c r="U6" s="130" t="e">
        <f>(T6/$G6)*$L6</f>
        <v>#VALUE!</v>
      </c>
      <c r="V6" s="129">
        <v>7.758957953408338E-2</v>
      </c>
      <c r="W6" s="130" t="e">
        <f t="shared" ref="W6:W69" si="0">(V6/$G6)*$L6</f>
        <v>#VALUE!</v>
      </c>
      <c r="X6" s="129">
        <v>7.758957953408338E-2</v>
      </c>
      <c r="Y6" s="130" t="e">
        <f t="shared" ref="Y6:Y69" si="1">(X6/$G6)*$L6</f>
        <v>#VALUE!</v>
      </c>
      <c r="Z6" s="129">
        <v>7.758957953408338E-2</v>
      </c>
      <c r="AA6" s="130" t="e">
        <f t="shared" ref="AA6:AA69" si="2">(Z6/$G6)*$L6</f>
        <v>#VALUE!</v>
      </c>
    </row>
    <row r="7" spans="1:28" x14ac:dyDescent="0.3">
      <c r="A7">
        <v>839500</v>
      </c>
      <c r="B7">
        <v>17031839500</v>
      </c>
      <c r="C7">
        <v>17031</v>
      </c>
      <c r="D7">
        <v>2010</v>
      </c>
      <c r="E7">
        <v>35</v>
      </c>
      <c r="F7">
        <v>2825468.29053623</v>
      </c>
      <c r="G7" s="43">
        <v>0.10134972920024929</v>
      </c>
      <c r="H7" s="58" t="str">
        <f>_xlfn.IFNA(
INDEX(CA!B$2:B$78,MATCH($E7,CA!$A$2:$A$78,0)),
"")</f>
        <v>DOUGLAS</v>
      </c>
      <c r="I7" s="60" t="str">
        <f>_xlfn.IFNA(
INDEX(CA!C$2:C$78,MATCH($E7,CA!$A$2:$A$78,0)),
"")</f>
        <v>6-A</v>
      </c>
      <c r="J7" s="60">
        <f>_xlfn.IFNA(
INDEX(CA!D$2:D$78,MATCH($E7,CA!$A$2:$A$78,0)),
"")</f>
        <v>6</v>
      </c>
      <c r="K7" s="58" t="str">
        <f>_xlfn.IFNA(
INDEX(CA!E$2:E$78,MATCH($E7,CA!$A$2:$A$78,0)),
"")</f>
        <v>SOUTH</v>
      </c>
      <c r="L7" s="15" t="e">
        <v>#VALUE!</v>
      </c>
      <c r="M7" s="15" t="e">
        <v>#VALUE!</v>
      </c>
      <c r="N7" s="15" t="e">
        <v>#VALUE!</v>
      </c>
      <c r="O7" s="15" t="e">
        <v>#VALUE!</v>
      </c>
      <c r="P7" s="15" t="e">
        <v>#VALUE!</v>
      </c>
      <c r="Q7" s="15" t="e">
        <v>#VALUE!</v>
      </c>
      <c r="R7" s="15" t="e">
        <v>#VALUE!</v>
      </c>
      <c r="S7" s="15" t="e">
        <v>#VALUE!</v>
      </c>
      <c r="T7" s="129">
        <v>0.10134972681367475</v>
      </c>
      <c r="U7" s="130" t="e">
        <f>(T7/$G7)*$L7</f>
        <v>#VALUE!</v>
      </c>
      <c r="V7" s="129">
        <v>0.10134972681367475</v>
      </c>
      <c r="W7" s="130" t="e">
        <f t="shared" si="0"/>
        <v>#VALUE!</v>
      </c>
      <c r="X7" s="129">
        <v>0.10134972681367475</v>
      </c>
      <c r="Y7" s="130" t="e">
        <f t="shared" si="1"/>
        <v>#VALUE!</v>
      </c>
      <c r="Z7" s="129">
        <v>0.10134972681367475</v>
      </c>
      <c r="AA7" s="130" t="e">
        <f t="shared" si="2"/>
        <v>#VALUE!</v>
      </c>
    </row>
    <row r="8" spans="1:28" x14ac:dyDescent="0.3">
      <c r="A8">
        <v>839600</v>
      </c>
      <c r="B8">
        <v>17031839600</v>
      </c>
      <c r="C8">
        <v>17031</v>
      </c>
      <c r="D8">
        <v>2010</v>
      </c>
      <c r="E8">
        <v>35</v>
      </c>
      <c r="F8">
        <v>3518754.96436373</v>
      </c>
      <c r="G8" s="43">
        <v>0.12621796675432342</v>
      </c>
      <c r="H8" s="58" t="str">
        <f>_xlfn.IFNA(
INDEX(CA!B$2:B$78,MATCH($E8,CA!$A$2:$A$78,0)),
"")</f>
        <v>DOUGLAS</v>
      </c>
      <c r="I8" s="60" t="str">
        <f>_xlfn.IFNA(
INDEX(CA!C$2:C$78,MATCH($E8,CA!$A$2:$A$78,0)),
"")</f>
        <v>6-A</v>
      </c>
      <c r="J8" s="60">
        <f>_xlfn.IFNA(
INDEX(CA!D$2:D$78,MATCH($E8,CA!$A$2:$A$78,0)),
"")</f>
        <v>6</v>
      </c>
      <c r="K8" s="58" t="str">
        <f>_xlfn.IFNA(
INDEX(CA!E$2:E$78,MATCH($E8,CA!$A$2:$A$78,0)),
"")</f>
        <v>SOUTH</v>
      </c>
      <c r="L8" s="15" t="e">
        <v>#VALUE!</v>
      </c>
      <c r="M8" s="15" t="e">
        <v>#VALUE!</v>
      </c>
      <c r="N8" s="15" t="e">
        <v>#VALUE!</v>
      </c>
      <c r="O8" s="15" t="e">
        <v>#VALUE!</v>
      </c>
      <c r="P8" s="15" t="e">
        <v>#VALUE!</v>
      </c>
      <c r="Q8" s="15" t="e">
        <v>#VALUE!</v>
      </c>
      <c r="R8" s="15" t="e">
        <v>#VALUE!</v>
      </c>
      <c r="S8" s="15" t="e">
        <v>#VALUE!</v>
      </c>
      <c r="T8" s="129">
        <v>0.12621796706447608</v>
      </c>
      <c r="U8" s="130" t="e">
        <f t="shared" ref="U8:U70" si="3">(T8/$G8)*$L8</f>
        <v>#VALUE!</v>
      </c>
      <c r="V8" s="129">
        <v>0.12621796706447608</v>
      </c>
      <c r="W8" s="130" t="e">
        <f t="shared" si="0"/>
        <v>#VALUE!</v>
      </c>
      <c r="X8" s="129">
        <v>0.12621796706447608</v>
      </c>
      <c r="Y8" s="130" t="e">
        <f t="shared" si="1"/>
        <v>#VALUE!</v>
      </c>
      <c r="Z8" s="129">
        <v>0.12621796706447608</v>
      </c>
      <c r="AA8" s="130" t="e">
        <f t="shared" si="2"/>
        <v>#VALUE!</v>
      </c>
    </row>
    <row r="9" spans="1:28" x14ac:dyDescent="0.3">
      <c r="A9">
        <v>842000</v>
      </c>
      <c r="B9">
        <v>17031842000</v>
      </c>
      <c r="C9">
        <v>17031</v>
      </c>
      <c r="D9">
        <v>2010</v>
      </c>
      <c r="E9">
        <v>35</v>
      </c>
      <c r="F9">
        <v>6328580.5809083199</v>
      </c>
      <c r="G9" s="43">
        <v>0.22700659223299471</v>
      </c>
      <c r="H9" s="58" t="str">
        <f>_xlfn.IFNA(
INDEX(CA!B$2:B$78,MATCH($E9,CA!$A$2:$A$78,0)),
"")</f>
        <v>DOUGLAS</v>
      </c>
      <c r="I9" s="60" t="str">
        <f>_xlfn.IFNA(
INDEX(CA!C$2:C$78,MATCH($E9,CA!$A$2:$A$78,0)),
"")</f>
        <v>6-A</v>
      </c>
      <c r="J9" s="60">
        <f>_xlfn.IFNA(
INDEX(CA!D$2:D$78,MATCH($E9,CA!$A$2:$A$78,0)),
"")</f>
        <v>6</v>
      </c>
      <c r="K9" s="58" t="str">
        <f>_xlfn.IFNA(
INDEX(CA!E$2:E$78,MATCH($E9,CA!$A$2:$A$78,0)),
"")</f>
        <v>SOUTH</v>
      </c>
      <c r="L9" s="15" t="e">
        <v>#VALUE!</v>
      </c>
      <c r="M9" s="15" t="e">
        <v>#VALUE!</v>
      </c>
      <c r="N9" s="15" t="e">
        <v>#VALUE!</v>
      </c>
      <c r="O9" s="15" t="e">
        <v>#VALUE!</v>
      </c>
      <c r="P9" s="15" t="e">
        <v>#VALUE!</v>
      </c>
      <c r="Q9" s="15" t="e">
        <v>#VALUE!</v>
      </c>
      <c r="R9" s="15" t="e">
        <v>#VALUE!</v>
      </c>
      <c r="S9" s="15" t="e">
        <v>#VALUE!</v>
      </c>
      <c r="T9" s="129">
        <v>0.22700660160542965</v>
      </c>
      <c r="U9" s="130" t="e">
        <f t="shared" si="3"/>
        <v>#VALUE!</v>
      </c>
      <c r="V9" s="129">
        <v>0.22700660160542965</v>
      </c>
      <c r="W9" s="130" t="e">
        <f t="shared" si="0"/>
        <v>#VALUE!</v>
      </c>
      <c r="X9" s="129">
        <v>0.22700660160542965</v>
      </c>
      <c r="Y9" s="130" t="e">
        <f t="shared" si="1"/>
        <v>#VALUE!</v>
      </c>
      <c r="Z9" s="129">
        <v>0.22700660160542965</v>
      </c>
      <c r="AA9" s="130" t="e">
        <f t="shared" si="2"/>
        <v>#VALUE!</v>
      </c>
    </row>
    <row r="10" spans="1:28" x14ac:dyDescent="0.3">
      <c r="A10">
        <v>839200</v>
      </c>
      <c r="B10">
        <v>17031839200</v>
      </c>
      <c r="C10">
        <v>17031</v>
      </c>
      <c r="D10">
        <v>2010</v>
      </c>
      <c r="E10">
        <v>35</v>
      </c>
      <c r="F10">
        <v>7006617.4484392498</v>
      </c>
      <c r="G10" s="43">
        <v>0.2513278182549662</v>
      </c>
      <c r="H10" s="58" t="str">
        <f>_xlfn.IFNA(
INDEX(CA!B$2:B$78,MATCH($E10,CA!$A$2:$A$78,0)),
"")</f>
        <v>DOUGLAS</v>
      </c>
      <c r="I10" s="60" t="str">
        <f>_xlfn.IFNA(
INDEX(CA!C$2:C$78,MATCH($E10,CA!$A$2:$A$78,0)),
"")</f>
        <v>6-A</v>
      </c>
      <c r="J10" s="60">
        <f>_xlfn.IFNA(
INDEX(CA!D$2:D$78,MATCH($E10,CA!$A$2:$A$78,0)),
"")</f>
        <v>6</v>
      </c>
      <c r="K10" s="58" t="str">
        <f>_xlfn.IFNA(
INDEX(CA!E$2:E$78,MATCH($E10,CA!$A$2:$A$78,0)),
"")</f>
        <v>SOUTH</v>
      </c>
      <c r="L10" s="15" t="e">
        <v>#VALUE!</v>
      </c>
      <c r="M10" s="15" t="e">
        <v>#VALUE!</v>
      </c>
      <c r="N10" s="15" t="e">
        <v>#VALUE!</v>
      </c>
      <c r="O10" s="15" t="e">
        <v>#VALUE!</v>
      </c>
      <c r="P10" s="15" t="e">
        <v>#VALUE!</v>
      </c>
      <c r="Q10" s="15" t="e">
        <v>#VALUE!</v>
      </c>
      <c r="R10" s="15" t="e">
        <v>#VALUE!</v>
      </c>
      <c r="S10" s="15" t="e">
        <v>#VALUE!</v>
      </c>
      <c r="T10" s="129">
        <v>0.25132781706188517</v>
      </c>
      <c r="U10" s="130" t="e">
        <f t="shared" si="3"/>
        <v>#VALUE!</v>
      </c>
      <c r="V10" s="129">
        <v>0.25132781706188517</v>
      </c>
      <c r="W10" s="130" t="e">
        <f t="shared" si="0"/>
        <v>#VALUE!</v>
      </c>
      <c r="X10" s="129">
        <v>0.25132781706188517</v>
      </c>
      <c r="Y10" s="130" t="e">
        <f t="shared" si="1"/>
        <v>#VALUE!</v>
      </c>
      <c r="Z10" s="129">
        <v>0.25132781706188517</v>
      </c>
      <c r="AA10" s="130" t="e">
        <f t="shared" si="2"/>
        <v>#VALUE!</v>
      </c>
    </row>
    <row r="11" spans="1:28" x14ac:dyDescent="0.3">
      <c r="A11">
        <v>351000</v>
      </c>
      <c r="B11">
        <v>17031351000</v>
      </c>
      <c r="C11">
        <v>17031</v>
      </c>
      <c r="D11">
        <v>2010</v>
      </c>
      <c r="E11">
        <v>35</v>
      </c>
      <c r="F11">
        <v>8900946.2418870497</v>
      </c>
      <c r="G11" s="43">
        <v>0.31927751384179326</v>
      </c>
      <c r="H11" s="58" t="str">
        <f>_xlfn.IFNA(
INDEX(CA!B$2:B$78,MATCH($E11,CA!$A$2:$A$78,0)),
"")</f>
        <v>DOUGLAS</v>
      </c>
      <c r="I11" s="60" t="str">
        <f>_xlfn.IFNA(
INDEX(CA!C$2:C$78,MATCH($E11,CA!$A$2:$A$78,0)),
"")</f>
        <v>6-A</v>
      </c>
      <c r="J11" s="60">
        <f>_xlfn.IFNA(
INDEX(CA!D$2:D$78,MATCH($E11,CA!$A$2:$A$78,0)),
"")</f>
        <v>6</v>
      </c>
      <c r="K11" s="58" t="str">
        <f>_xlfn.IFNA(
INDEX(CA!E$2:E$78,MATCH($E11,CA!$A$2:$A$78,0)),
"")</f>
        <v>SOUTH</v>
      </c>
      <c r="L11" s="15" t="e">
        <v>#VALUE!</v>
      </c>
      <c r="M11" s="15" t="e">
        <v>#VALUE!</v>
      </c>
      <c r="N11" s="15" t="e">
        <v>#VALUE!</v>
      </c>
      <c r="O11" s="15" t="e">
        <v>#VALUE!</v>
      </c>
      <c r="P11" s="15" t="e">
        <v>#VALUE!</v>
      </c>
      <c r="Q11" s="15" t="e">
        <v>#VALUE!</v>
      </c>
      <c r="R11" s="15" t="e">
        <v>#VALUE!</v>
      </c>
      <c r="S11" s="15" t="e">
        <v>#VALUE!</v>
      </c>
      <c r="T11" s="129">
        <v>0.31927750873103405</v>
      </c>
      <c r="U11" s="130" t="e">
        <f t="shared" si="3"/>
        <v>#VALUE!</v>
      </c>
      <c r="V11" s="129">
        <v>0.31927750873103405</v>
      </c>
      <c r="W11" s="130" t="e">
        <f t="shared" si="0"/>
        <v>#VALUE!</v>
      </c>
      <c r="X11" s="129">
        <v>0.31927750873103405</v>
      </c>
      <c r="Y11" s="130" t="e">
        <f t="shared" si="1"/>
        <v>#VALUE!</v>
      </c>
      <c r="Z11" s="129">
        <v>0.31927750873103405</v>
      </c>
      <c r="AA11" s="130" t="e">
        <f t="shared" si="2"/>
        <v>#VALUE!</v>
      </c>
    </row>
    <row r="12" spans="1:28" x14ac:dyDescent="0.3">
      <c r="A12">
        <v>351500</v>
      </c>
      <c r="B12">
        <v>17031351500</v>
      </c>
      <c r="C12">
        <v>17031</v>
      </c>
      <c r="D12">
        <v>2010</v>
      </c>
      <c r="E12">
        <v>35</v>
      </c>
      <c r="F12">
        <v>1818880.8282653301</v>
      </c>
      <c r="G12" s="43">
        <v>6.5243372226000421E-2</v>
      </c>
      <c r="H12" s="58" t="str">
        <f>_xlfn.IFNA(
INDEX(CA!B$2:B$78,MATCH($E12,CA!$A$2:$A$78,0)),
"")</f>
        <v>DOUGLAS</v>
      </c>
      <c r="I12" s="60" t="str">
        <f>_xlfn.IFNA(
INDEX(CA!C$2:C$78,MATCH($E12,CA!$A$2:$A$78,0)),
"")</f>
        <v>6-A</v>
      </c>
      <c r="J12" s="60">
        <f>_xlfn.IFNA(
INDEX(CA!D$2:D$78,MATCH($E12,CA!$A$2:$A$78,0)),
"")</f>
        <v>6</v>
      </c>
      <c r="K12" s="58" t="str">
        <f>_xlfn.IFNA(
INDEX(CA!E$2:E$78,MATCH($E12,CA!$A$2:$A$78,0)),
"")</f>
        <v>SOUTH</v>
      </c>
      <c r="L12" s="15" t="e">
        <v>#VALUE!</v>
      </c>
      <c r="M12" s="15" t="e">
        <v>#VALUE!</v>
      </c>
      <c r="N12" s="15" t="e">
        <v>#VALUE!</v>
      </c>
      <c r="O12" s="15" t="e">
        <v>#VALUE!</v>
      </c>
      <c r="P12" s="15" t="e">
        <v>#VALUE!</v>
      </c>
      <c r="Q12" s="15" t="e">
        <v>#VALUE!</v>
      </c>
      <c r="R12" s="15" t="e">
        <v>#VALUE!</v>
      </c>
      <c r="S12" s="15" t="e">
        <v>#VALUE!</v>
      </c>
      <c r="T12" s="129">
        <v>6.5243373195111629E-2</v>
      </c>
      <c r="U12" s="130" t="e">
        <f t="shared" si="3"/>
        <v>#VALUE!</v>
      </c>
      <c r="V12" s="129">
        <v>6.5208649404043278E-2</v>
      </c>
      <c r="W12" s="130" t="e">
        <f t="shared" si="0"/>
        <v>#VALUE!</v>
      </c>
      <c r="X12" s="129">
        <v>6.5208649404043278E-2</v>
      </c>
      <c r="Y12" s="130" t="e">
        <f t="shared" si="1"/>
        <v>#VALUE!</v>
      </c>
      <c r="Z12" s="129">
        <v>6.5208649404043278E-2</v>
      </c>
      <c r="AA12" s="130" t="e">
        <f t="shared" si="2"/>
        <v>#VALUE!</v>
      </c>
    </row>
    <row r="13" spans="1:28" x14ac:dyDescent="0.3">
      <c r="A13">
        <v>351400</v>
      </c>
      <c r="B13">
        <v>17031351400</v>
      </c>
      <c r="C13">
        <v>17031</v>
      </c>
      <c r="D13">
        <v>2010</v>
      </c>
      <c r="E13">
        <v>35</v>
      </c>
      <c r="F13">
        <v>3483715.8369881799</v>
      </c>
      <c r="G13" s="43">
        <v>0.12496111100307693</v>
      </c>
      <c r="H13" s="58" t="str">
        <f>_xlfn.IFNA(
INDEX(CA!B$2:B$78,MATCH($E13,CA!$A$2:$A$78,0)),
"")</f>
        <v>DOUGLAS</v>
      </c>
      <c r="I13" s="60" t="str">
        <f>_xlfn.IFNA(
INDEX(CA!C$2:C$78,MATCH($E13,CA!$A$2:$A$78,0)),
"")</f>
        <v>6-A</v>
      </c>
      <c r="J13" s="60">
        <f>_xlfn.IFNA(
INDEX(CA!D$2:D$78,MATCH($E13,CA!$A$2:$A$78,0)),
"")</f>
        <v>6</v>
      </c>
      <c r="K13" s="58" t="str">
        <f>_xlfn.IFNA(
INDEX(CA!E$2:E$78,MATCH($E13,CA!$A$2:$A$78,0)),
"")</f>
        <v>SOUTH</v>
      </c>
      <c r="L13" s="15" t="e">
        <v>#VALUE!</v>
      </c>
      <c r="M13" s="15" t="e">
        <v>#VALUE!</v>
      </c>
      <c r="N13" s="15" t="e">
        <v>#VALUE!</v>
      </c>
      <c r="O13" s="15" t="e">
        <v>#VALUE!</v>
      </c>
      <c r="P13" s="15" t="e">
        <v>#VALUE!</v>
      </c>
      <c r="Q13" s="15" t="e">
        <v>#VALUE!</v>
      </c>
      <c r="R13" s="15" t="e">
        <v>#VALUE!</v>
      </c>
      <c r="S13" s="15" t="e">
        <v>#VALUE!</v>
      </c>
      <c r="T13" s="129">
        <v>0.12496111132217129</v>
      </c>
      <c r="U13" s="130" t="e">
        <f t="shared" si="3"/>
        <v>#VALUE!</v>
      </c>
      <c r="V13" s="129">
        <v>0.12496111132217129</v>
      </c>
      <c r="W13" s="130" t="e">
        <f t="shared" si="0"/>
        <v>#VALUE!</v>
      </c>
      <c r="X13" s="129">
        <v>0.12496111132217129</v>
      </c>
      <c r="Y13" s="130" t="e">
        <f t="shared" si="1"/>
        <v>#VALUE!</v>
      </c>
      <c r="Z13" s="129">
        <v>0.12496111132217129</v>
      </c>
      <c r="AA13" s="130" t="e">
        <f t="shared" si="2"/>
        <v>#VALUE!</v>
      </c>
    </row>
    <row r="14" spans="1:28" x14ac:dyDescent="0.3">
      <c r="A14">
        <v>351100</v>
      </c>
      <c r="B14">
        <v>17031351100</v>
      </c>
      <c r="C14">
        <v>17031</v>
      </c>
      <c r="D14">
        <v>2010</v>
      </c>
      <c r="E14">
        <v>35</v>
      </c>
      <c r="F14">
        <v>3776863.5608112998</v>
      </c>
      <c r="G14" s="43">
        <v>0.13547633869990028</v>
      </c>
      <c r="H14" s="58" t="str">
        <f>_xlfn.IFNA(
INDEX(CA!B$2:B$78,MATCH($E14,CA!$A$2:$A$78,0)),
"")</f>
        <v>DOUGLAS</v>
      </c>
      <c r="I14" s="60" t="str">
        <f>_xlfn.IFNA(
INDEX(CA!C$2:C$78,MATCH($E14,CA!$A$2:$A$78,0)),
"")</f>
        <v>6-A</v>
      </c>
      <c r="J14" s="60">
        <f>_xlfn.IFNA(
INDEX(CA!D$2:D$78,MATCH($E14,CA!$A$2:$A$78,0)),
"")</f>
        <v>6</v>
      </c>
      <c r="K14" s="58" t="str">
        <f>_xlfn.IFNA(
INDEX(CA!E$2:E$78,MATCH($E14,CA!$A$2:$A$78,0)),
"")</f>
        <v>SOUTH</v>
      </c>
      <c r="L14" s="15" t="e">
        <v>#VALUE!</v>
      </c>
      <c r="M14" s="15" t="e">
        <v>#VALUE!</v>
      </c>
      <c r="N14" s="15" t="e">
        <v>#VALUE!</v>
      </c>
      <c r="O14" s="15" t="e">
        <v>#VALUE!</v>
      </c>
      <c r="P14" s="15" t="e">
        <v>#VALUE!</v>
      </c>
      <c r="Q14" s="15" t="e">
        <v>#VALUE!</v>
      </c>
      <c r="R14" s="15" t="e">
        <v>#VALUE!</v>
      </c>
      <c r="S14" s="15" t="e">
        <v>#VALUE!</v>
      </c>
      <c r="T14" s="129">
        <v>0.1354763397244885</v>
      </c>
      <c r="U14" s="130" t="e">
        <f t="shared" si="3"/>
        <v>#VALUE!</v>
      </c>
      <c r="V14" s="129">
        <v>0.1354763397244885</v>
      </c>
      <c r="W14" s="130" t="e">
        <f t="shared" si="0"/>
        <v>#VALUE!</v>
      </c>
      <c r="X14" s="129">
        <v>0.1354763397244885</v>
      </c>
      <c r="Y14" s="130" t="e">
        <f t="shared" si="1"/>
        <v>#VALUE!</v>
      </c>
      <c r="Z14" s="129">
        <v>0.1354763397244885</v>
      </c>
      <c r="AA14" s="130" t="e">
        <f t="shared" si="2"/>
        <v>#VALUE!</v>
      </c>
    </row>
    <row r="15" spans="1:28" x14ac:dyDescent="0.3">
      <c r="A15">
        <v>836500</v>
      </c>
      <c r="B15">
        <v>17031836500</v>
      </c>
      <c r="C15">
        <v>17031</v>
      </c>
      <c r="D15">
        <v>2010</v>
      </c>
      <c r="E15">
        <v>36</v>
      </c>
      <c r="F15">
        <v>5521904.7157822102</v>
      </c>
      <c r="G15" s="43">
        <v>0.19807107709847804</v>
      </c>
      <c r="H15" s="58" t="str">
        <f>_xlfn.IFNA(
INDEX(CA!B$2:B$78,MATCH($E15,CA!$A$2:$A$78,0)),
"")</f>
        <v>OAKLAND</v>
      </c>
      <c r="I15" s="60" t="str">
        <f>_xlfn.IFNA(
INDEX(CA!C$2:C$78,MATCH($E15,CA!$A$2:$A$78,0)),
"")</f>
        <v>6-A</v>
      </c>
      <c r="J15" s="60">
        <f>_xlfn.IFNA(
INDEX(CA!D$2:D$78,MATCH($E15,CA!$A$2:$A$78,0)),
"")</f>
        <v>6</v>
      </c>
      <c r="K15" s="58" t="str">
        <f>_xlfn.IFNA(
INDEX(CA!E$2:E$78,MATCH($E15,CA!$A$2:$A$78,0)),
"")</f>
        <v>SOUTH</v>
      </c>
      <c r="L15" s="15" t="e">
        <v>#VALUE!</v>
      </c>
      <c r="M15" s="15" t="e">
        <v>#VALUE!</v>
      </c>
      <c r="N15" s="15" t="e">
        <v>#VALUE!</v>
      </c>
      <c r="O15" s="15" t="e">
        <v>#VALUE!</v>
      </c>
      <c r="P15" s="15" t="e">
        <v>#VALUE!</v>
      </c>
      <c r="Q15" s="15" t="e">
        <v>#VALUE!</v>
      </c>
      <c r="R15" s="15" t="e">
        <v>#VALUE!</v>
      </c>
      <c r="S15" s="15" t="e">
        <v>#VALUE!</v>
      </c>
      <c r="T15" s="129">
        <v>0.19807108533221454</v>
      </c>
      <c r="U15" s="130" t="e">
        <f t="shared" si="3"/>
        <v>#VALUE!</v>
      </c>
      <c r="V15" s="129">
        <v>0.19807108533221454</v>
      </c>
      <c r="W15" s="130" t="e">
        <f t="shared" si="0"/>
        <v>#VALUE!</v>
      </c>
      <c r="X15" s="129">
        <v>0.19807108533221454</v>
      </c>
      <c r="Y15" s="130" t="e">
        <f t="shared" si="1"/>
        <v>#VALUE!</v>
      </c>
      <c r="Z15" s="129">
        <v>0.19807108533221454</v>
      </c>
      <c r="AA15" s="130" t="e">
        <f t="shared" si="2"/>
        <v>#VALUE!</v>
      </c>
    </row>
    <row r="16" spans="1:28" x14ac:dyDescent="0.3">
      <c r="A16">
        <v>360200</v>
      </c>
      <c r="B16">
        <v>17031360200</v>
      </c>
      <c r="C16">
        <v>17031</v>
      </c>
      <c r="D16">
        <v>2010</v>
      </c>
      <c r="E16">
        <v>36</v>
      </c>
      <c r="F16">
        <v>2514325.24133371</v>
      </c>
      <c r="G16" s="43">
        <v>9.0189008025342562E-2</v>
      </c>
      <c r="H16" s="58" t="str">
        <f>_xlfn.IFNA(
INDEX(CA!B$2:B$78,MATCH($E16,CA!$A$2:$A$78,0)),
"")</f>
        <v>OAKLAND</v>
      </c>
      <c r="I16" s="60" t="str">
        <f>_xlfn.IFNA(
INDEX(CA!C$2:C$78,MATCH($E16,CA!$A$2:$A$78,0)),
"")</f>
        <v>6-A</v>
      </c>
      <c r="J16" s="60">
        <f>_xlfn.IFNA(
INDEX(CA!D$2:D$78,MATCH($E16,CA!$A$2:$A$78,0)),
"")</f>
        <v>6</v>
      </c>
      <c r="K16" s="58" t="str">
        <f>_xlfn.IFNA(
INDEX(CA!E$2:E$78,MATCH($E16,CA!$A$2:$A$78,0)),
"")</f>
        <v>SOUTH</v>
      </c>
      <c r="L16" s="15" t="e">
        <v>#VALUE!</v>
      </c>
      <c r="M16" s="15" t="e">
        <v>#VALUE!</v>
      </c>
      <c r="N16" s="15" t="e">
        <v>#VALUE!</v>
      </c>
      <c r="O16" s="15" t="e">
        <v>#VALUE!</v>
      </c>
      <c r="P16" s="15" t="e">
        <v>#VALUE!</v>
      </c>
      <c r="Q16" s="15" t="e">
        <v>#VALUE!</v>
      </c>
      <c r="R16" s="15" t="e">
        <v>#VALUE!</v>
      </c>
      <c r="S16" s="15" t="e">
        <v>#VALUE!</v>
      </c>
      <c r="T16" s="129">
        <v>9.0189003330650261E-2</v>
      </c>
      <c r="U16" s="130" t="e">
        <f t="shared" si="3"/>
        <v>#VALUE!</v>
      </c>
      <c r="V16" s="129">
        <v>9.0189003330650261E-2</v>
      </c>
      <c r="W16" s="130" t="e">
        <f t="shared" si="0"/>
        <v>#VALUE!</v>
      </c>
      <c r="X16" s="129">
        <v>9.0189003330650261E-2</v>
      </c>
      <c r="Y16" s="130" t="e">
        <f t="shared" si="1"/>
        <v>#VALUE!</v>
      </c>
      <c r="Z16" s="129">
        <v>9.0189003330650261E-2</v>
      </c>
      <c r="AA16" s="130" t="e">
        <f t="shared" si="2"/>
        <v>#VALUE!</v>
      </c>
    </row>
    <row r="17" spans="1:27" x14ac:dyDescent="0.3">
      <c r="A17">
        <v>836400</v>
      </c>
      <c r="B17">
        <v>17031836400</v>
      </c>
      <c r="C17">
        <v>17031</v>
      </c>
      <c r="D17">
        <v>2010</v>
      </c>
      <c r="E17">
        <v>36</v>
      </c>
      <c r="F17">
        <v>8877731.0776548702</v>
      </c>
      <c r="G17" s="43">
        <v>0.31844478440853385</v>
      </c>
      <c r="H17" s="58" t="str">
        <f>_xlfn.IFNA(
INDEX(CA!B$2:B$78,MATCH($E17,CA!$A$2:$A$78,0)),
"")</f>
        <v>OAKLAND</v>
      </c>
      <c r="I17" s="60" t="str">
        <f>_xlfn.IFNA(
INDEX(CA!C$2:C$78,MATCH($E17,CA!$A$2:$A$78,0)),
"")</f>
        <v>6-A</v>
      </c>
      <c r="J17" s="60">
        <f>_xlfn.IFNA(
INDEX(CA!D$2:D$78,MATCH($E17,CA!$A$2:$A$78,0)),
"")</f>
        <v>6</v>
      </c>
      <c r="K17" s="58" t="str">
        <f>_xlfn.IFNA(
INDEX(CA!E$2:E$78,MATCH($E17,CA!$A$2:$A$78,0)),
"")</f>
        <v>SOUTH</v>
      </c>
      <c r="L17" s="15" t="e">
        <v>#VALUE!</v>
      </c>
      <c r="M17" s="15" t="e">
        <v>#VALUE!</v>
      </c>
      <c r="N17" s="15" t="e">
        <v>#VALUE!</v>
      </c>
      <c r="O17" s="15" t="e">
        <v>#VALUE!</v>
      </c>
      <c r="P17" s="15" t="e">
        <v>#VALUE!</v>
      </c>
      <c r="Q17" s="15" t="e">
        <v>#VALUE!</v>
      </c>
      <c r="R17" s="15" t="e">
        <v>#VALUE!</v>
      </c>
      <c r="S17" s="15" t="e">
        <v>#VALUE!</v>
      </c>
      <c r="T17" s="129">
        <v>0.31844478134024229</v>
      </c>
      <c r="U17" s="130" t="e">
        <f t="shared" si="3"/>
        <v>#VALUE!</v>
      </c>
      <c r="V17" s="129">
        <v>0.31844478134024229</v>
      </c>
      <c r="W17" s="130" t="e">
        <f t="shared" si="0"/>
        <v>#VALUE!</v>
      </c>
      <c r="X17" s="129">
        <v>0.31844478134024229</v>
      </c>
      <c r="Y17" s="130" t="e">
        <f t="shared" si="1"/>
        <v>#VALUE!</v>
      </c>
      <c r="Z17" s="129">
        <v>0.31844478134024229</v>
      </c>
      <c r="AA17" s="130" t="e">
        <f t="shared" si="2"/>
        <v>#VALUE!</v>
      </c>
    </row>
    <row r="18" spans="1:27" x14ac:dyDescent="0.3">
      <c r="A18">
        <v>835500</v>
      </c>
      <c r="B18">
        <v>17031835500</v>
      </c>
      <c r="C18">
        <v>17031</v>
      </c>
      <c r="D18">
        <v>2010</v>
      </c>
      <c r="E18">
        <v>37</v>
      </c>
      <c r="F18">
        <v>9933248.9455232602</v>
      </c>
      <c r="G18" s="43">
        <v>0.35630627817676985</v>
      </c>
      <c r="H18" s="58" t="str">
        <f>_xlfn.IFNA(
INDEX(CA!B$2:B$78,MATCH($E18,CA!$A$2:$A$78,0)),
"")</f>
        <v>FULLER PARK</v>
      </c>
      <c r="I18" s="60" t="str">
        <f>_xlfn.IFNA(
INDEX(CA!C$2:C$78,MATCH($E18,CA!$A$2:$A$78,0)),
"")</f>
        <v>6-A</v>
      </c>
      <c r="J18" s="60">
        <f>_xlfn.IFNA(
INDEX(CA!D$2:D$78,MATCH($E18,CA!$A$2:$A$78,0)),
"")</f>
        <v>6</v>
      </c>
      <c r="K18" s="58" t="str">
        <f>_xlfn.IFNA(
INDEX(CA!E$2:E$78,MATCH($E18,CA!$A$2:$A$78,0)),
"")</f>
        <v>SOUTH</v>
      </c>
      <c r="L18" s="15" t="e">
        <v>#VALUE!</v>
      </c>
      <c r="M18" s="15" t="e">
        <v>#VALUE!</v>
      </c>
      <c r="N18" s="15" t="e">
        <v>#VALUE!</v>
      </c>
      <c r="O18" s="15" t="e">
        <v>#VALUE!</v>
      </c>
      <c r="P18" s="15" t="e">
        <v>#VALUE!</v>
      </c>
      <c r="Q18" s="15" t="e">
        <v>#VALUE!</v>
      </c>
      <c r="R18" s="15" t="e">
        <v>#VALUE!</v>
      </c>
      <c r="S18" s="15" t="e">
        <v>#VALUE!</v>
      </c>
      <c r="T18" s="129">
        <v>0.28876074264564322</v>
      </c>
      <c r="U18" s="130" t="e">
        <f t="shared" si="3"/>
        <v>#VALUE!</v>
      </c>
      <c r="V18" s="129">
        <v>0.28876074264564322</v>
      </c>
      <c r="W18" s="130" t="e">
        <f t="shared" si="0"/>
        <v>#VALUE!</v>
      </c>
      <c r="X18" s="129">
        <v>0.28876074264564322</v>
      </c>
      <c r="Y18" s="130" t="e">
        <f t="shared" si="1"/>
        <v>#VALUE!</v>
      </c>
      <c r="Z18" s="129">
        <v>0.28876074264564322</v>
      </c>
      <c r="AA18" s="130" t="e">
        <f t="shared" si="2"/>
        <v>#VALUE!</v>
      </c>
    </row>
    <row r="19" spans="1:27" x14ac:dyDescent="0.3">
      <c r="A19">
        <v>835600</v>
      </c>
      <c r="B19">
        <v>17031835600</v>
      </c>
      <c r="C19">
        <v>17031</v>
      </c>
      <c r="D19">
        <v>2010</v>
      </c>
      <c r="E19">
        <v>37</v>
      </c>
      <c r="F19">
        <v>9933903.8281874806</v>
      </c>
      <c r="G19" s="43">
        <v>0.3563297688600307</v>
      </c>
      <c r="H19" s="58" t="str">
        <f>_xlfn.IFNA(
INDEX(CA!B$2:B$78,MATCH($E19,CA!$A$2:$A$78,0)),
"")</f>
        <v>FULLER PARK</v>
      </c>
      <c r="I19" s="60" t="str">
        <f>_xlfn.IFNA(
INDEX(CA!C$2:C$78,MATCH($E19,CA!$A$2:$A$78,0)),
"")</f>
        <v>6-A</v>
      </c>
      <c r="J19" s="60">
        <f>_xlfn.IFNA(
INDEX(CA!D$2:D$78,MATCH($E19,CA!$A$2:$A$78,0)),
"")</f>
        <v>6</v>
      </c>
      <c r="K19" s="58" t="str">
        <f>_xlfn.IFNA(
INDEX(CA!E$2:E$78,MATCH($E19,CA!$A$2:$A$78,0)),
"")</f>
        <v>SOUTH</v>
      </c>
      <c r="L19" s="15" t="e">
        <v>#VALUE!</v>
      </c>
      <c r="M19" s="15" t="e">
        <v>#VALUE!</v>
      </c>
      <c r="N19" s="15" t="e">
        <v>#VALUE!</v>
      </c>
      <c r="O19" s="15" t="e">
        <v>#VALUE!</v>
      </c>
      <c r="P19" s="15" t="e">
        <v>#VALUE!</v>
      </c>
      <c r="Q19" s="15" t="e">
        <v>#VALUE!</v>
      </c>
      <c r="R19" s="15" t="e">
        <v>#VALUE!</v>
      </c>
      <c r="S19" s="15" t="e">
        <v>#VALUE!</v>
      </c>
      <c r="T19" s="129">
        <v>1.329329742038693E-3</v>
      </c>
      <c r="U19" s="130" t="e">
        <f t="shared" si="3"/>
        <v>#VALUE!</v>
      </c>
      <c r="V19" s="129">
        <v>1.329329742038693E-3</v>
      </c>
      <c r="W19" s="130" t="e">
        <f t="shared" si="0"/>
        <v>#VALUE!</v>
      </c>
      <c r="X19" s="129">
        <v>1.329329742038693E-3</v>
      </c>
      <c r="Y19" s="130" t="e">
        <f t="shared" si="1"/>
        <v>#VALUE!</v>
      </c>
      <c r="Z19" s="129">
        <v>1.329329742038693E-3</v>
      </c>
      <c r="AA19" s="130" t="e">
        <f t="shared" si="2"/>
        <v>#VALUE!</v>
      </c>
    </row>
    <row r="20" spans="1:27" x14ac:dyDescent="0.3">
      <c r="A20">
        <v>835900</v>
      </c>
      <c r="B20">
        <v>17031835900</v>
      </c>
      <c r="C20">
        <v>17031</v>
      </c>
      <c r="D20">
        <v>2010</v>
      </c>
      <c r="E20">
        <v>38</v>
      </c>
      <c r="F20">
        <v>6969371.8062178204</v>
      </c>
      <c r="G20" s="43">
        <v>0.24999181467436513</v>
      </c>
      <c r="H20" s="58" t="str">
        <f>_xlfn.IFNA(
INDEX(CA!B$2:B$78,MATCH($E20,CA!$A$2:$A$78,0)),
"")</f>
        <v>GRAND BOULEVARD</v>
      </c>
      <c r="I20" s="60" t="str">
        <f>_xlfn.IFNA(
INDEX(CA!C$2:C$78,MATCH($E20,CA!$A$2:$A$78,0)),
"")</f>
        <v>6-A</v>
      </c>
      <c r="J20" s="60">
        <f>_xlfn.IFNA(
INDEX(CA!D$2:D$78,MATCH($E20,CA!$A$2:$A$78,0)),
"")</f>
        <v>6</v>
      </c>
      <c r="K20" s="58" t="str">
        <f>_xlfn.IFNA(
INDEX(CA!E$2:E$78,MATCH($E20,CA!$A$2:$A$78,0)),
"")</f>
        <v>SOUTH</v>
      </c>
      <c r="L20" s="15" t="e">
        <v>#VALUE!</v>
      </c>
      <c r="M20" s="15" t="e">
        <v>#VALUE!</v>
      </c>
      <c r="N20" s="15" t="e">
        <v>#VALUE!</v>
      </c>
      <c r="O20" s="15" t="e">
        <v>#VALUE!</v>
      </c>
      <c r="P20" s="15" t="e">
        <v>#VALUE!</v>
      </c>
      <c r="Q20" s="15" t="e">
        <v>#VALUE!</v>
      </c>
      <c r="R20" s="15" t="e">
        <v>#VALUE!</v>
      </c>
      <c r="S20" s="15" t="e">
        <v>#VALUE!</v>
      </c>
      <c r="T20" s="129">
        <v>0.24999181402595522</v>
      </c>
      <c r="U20" s="130" t="e">
        <f t="shared" si="3"/>
        <v>#VALUE!</v>
      </c>
      <c r="V20" s="129">
        <v>0.24999181402595522</v>
      </c>
      <c r="W20" s="130" t="e">
        <f t="shared" si="0"/>
        <v>#VALUE!</v>
      </c>
      <c r="X20" s="129">
        <v>0.24999181402595522</v>
      </c>
      <c r="Y20" s="130" t="e">
        <f t="shared" si="1"/>
        <v>#VALUE!</v>
      </c>
      <c r="Z20" s="129">
        <v>0.24999181402595522</v>
      </c>
      <c r="AA20" s="130" t="e">
        <f t="shared" si="2"/>
        <v>#VALUE!</v>
      </c>
    </row>
    <row r="21" spans="1:27" x14ac:dyDescent="0.3">
      <c r="A21">
        <v>380700</v>
      </c>
      <c r="B21">
        <v>17031380700</v>
      </c>
      <c r="C21">
        <v>17031</v>
      </c>
      <c r="D21">
        <v>2010</v>
      </c>
      <c r="E21">
        <v>38</v>
      </c>
      <c r="F21">
        <v>2631631.35363399</v>
      </c>
      <c r="G21" s="43">
        <v>9.4396785813891396E-2</v>
      </c>
      <c r="H21" s="58" t="str">
        <f>_xlfn.IFNA(
INDEX(CA!B$2:B$78,MATCH($E21,CA!$A$2:$A$78,0)),
"")</f>
        <v>GRAND BOULEVARD</v>
      </c>
      <c r="I21" s="60" t="str">
        <f>_xlfn.IFNA(
INDEX(CA!C$2:C$78,MATCH($E21,CA!$A$2:$A$78,0)),
"")</f>
        <v>6-A</v>
      </c>
      <c r="J21" s="60">
        <f>_xlfn.IFNA(
INDEX(CA!D$2:D$78,MATCH($E21,CA!$A$2:$A$78,0)),
"")</f>
        <v>6</v>
      </c>
      <c r="K21" s="58" t="str">
        <f>_xlfn.IFNA(
INDEX(CA!E$2:E$78,MATCH($E21,CA!$A$2:$A$78,0)),
"")</f>
        <v>SOUTH</v>
      </c>
      <c r="L21" s="15" t="e">
        <v>#VALUE!</v>
      </c>
      <c r="M21" s="15" t="e">
        <v>#VALUE!</v>
      </c>
      <c r="N21" s="15" t="e">
        <v>#VALUE!</v>
      </c>
      <c r="O21" s="15" t="e">
        <v>#VALUE!</v>
      </c>
      <c r="P21" s="15" t="e">
        <v>#VALUE!</v>
      </c>
      <c r="Q21" s="15" t="e">
        <v>#VALUE!</v>
      </c>
      <c r="R21" s="15" t="e">
        <v>#VALUE!</v>
      </c>
      <c r="S21" s="15" t="e">
        <v>#VALUE!</v>
      </c>
      <c r="T21" s="129">
        <v>9.4396785176920475E-2</v>
      </c>
      <c r="U21" s="130" t="e">
        <f t="shared" si="3"/>
        <v>#VALUE!</v>
      </c>
      <c r="V21" s="129">
        <v>9.4396785176920475E-2</v>
      </c>
      <c r="W21" s="130" t="e">
        <f t="shared" si="0"/>
        <v>#VALUE!</v>
      </c>
      <c r="X21" s="129">
        <v>9.4396785176920475E-2</v>
      </c>
      <c r="Y21" s="130" t="e">
        <f t="shared" si="1"/>
        <v>#VALUE!</v>
      </c>
      <c r="Z21" s="129">
        <v>9.4396785176920475E-2</v>
      </c>
      <c r="AA21" s="130" t="e">
        <f t="shared" si="2"/>
        <v>#VALUE!</v>
      </c>
    </row>
    <row r="22" spans="1:27" x14ac:dyDescent="0.3">
      <c r="A22">
        <v>381500</v>
      </c>
      <c r="B22">
        <v>17031381500</v>
      </c>
      <c r="C22">
        <v>17031</v>
      </c>
      <c r="D22">
        <v>2010</v>
      </c>
      <c r="E22">
        <v>38</v>
      </c>
      <c r="F22">
        <v>1169732.56499906</v>
      </c>
      <c r="G22" s="43">
        <v>4.1958382295937353E-2</v>
      </c>
      <c r="H22" s="58" t="str">
        <f>_xlfn.IFNA(
INDEX(CA!B$2:B$78,MATCH($E22,CA!$A$2:$A$78,0)),
"")</f>
        <v>GRAND BOULEVARD</v>
      </c>
      <c r="I22" s="60" t="str">
        <f>_xlfn.IFNA(
INDEX(CA!C$2:C$78,MATCH($E22,CA!$A$2:$A$78,0)),
"")</f>
        <v>6-A</v>
      </c>
      <c r="J22" s="60">
        <f>_xlfn.IFNA(
INDEX(CA!D$2:D$78,MATCH($E22,CA!$A$2:$A$78,0)),
"")</f>
        <v>6</v>
      </c>
      <c r="K22" s="58" t="str">
        <f>_xlfn.IFNA(
INDEX(CA!E$2:E$78,MATCH($E22,CA!$A$2:$A$78,0)),
"")</f>
        <v>SOUTH</v>
      </c>
      <c r="L22" s="15" t="e">
        <v>#VALUE!</v>
      </c>
      <c r="M22" s="15" t="e">
        <v>#VALUE!</v>
      </c>
      <c r="N22" s="15" t="e">
        <v>#VALUE!</v>
      </c>
      <c r="O22" s="15" t="e">
        <v>#VALUE!</v>
      </c>
      <c r="P22" s="15" t="e">
        <v>#VALUE!</v>
      </c>
      <c r="Q22" s="15" t="e">
        <v>#VALUE!</v>
      </c>
      <c r="R22" s="15" t="e">
        <v>#VALUE!</v>
      </c>
      <c r="S22" s="15" t="e">
        <v>#VALUE!</v>
      </c>
      <c r="T22" s="129">
        <v>4.1958384444974961E-2</v>
      </c>
      <c r="U22" s="130" t="e">
        <f t="shared" si="3"/>
        <v>#VALUE!</v>
      </c>
      <c r="V22" s="129">
        <v>4.1958384444974961E-2</v>
      </c>
      <c r="W22" s="130" t="e">
        <f t="shared" si="0"/>
        <v>#VALUE!</v>
      </c>
      <c r="X22" s="129">
        <v>4.1958384444974961E-2</v>
      </c>
      <c r="Y22" s="130" t="e">
        <f t="shared" si="1"/>
        <v>#VALUE!</v>
      </c>
      <c r="Z22" s="129">
        <v>4.1958384444974961E-2</v>
      </c>
      <c r="AA22" s="130" t="e">
        <f t="shared" si="2"/>
        <v>#VALUE!</v>
      </c>
    </row>
    <row r="23" spans="1:27" x14ac:dyDescent="0.3">
      <c r="A23">
        <v>381800</v>
      </c>
      <c r="B23">
        <v>17031381800</v>
      </c>
      <c r="C23">
        <v>17031</v>
      </c>
      <c r="D23">
        <v>2010</v>
      </c>
      <c r="E23">
        <v>38</v>
      </c>
      <c r="F23">
        <v>3412715.0980619998</v>
      </c>
      <c r="G23" s="43">
        <v>0.12241430993392734</v>
      </c>
      <c r="H23" s="58" t="str">
        <f>_xlfn.IFNA(
INDEX(CA!B$2:B$78,MATCH($E23,CA!$A$2:$A$78,0)),
"")</f>
        <v>GRAND BOULEVARD</v>
      </c>
      <c r="I23" s="60" t="str">
        <f>_xlfn.IFNA(
INDEX(CA!C$2:C$78,MATCH($E23,CA!$A$2:$A$78,0)),
"")</f>
        <v>6-A</v>
      </c>
      <c r="J23" s="60">
        <f>_xlfn.IFNA(
INDEX(CA!D$2:D$78,MATCH($E23,CA!$A$2:$A$78,0)),
"")</f>
        <v>6</v>
      </c>
      <c r="K23" s="58" t="str">
        <f>_xlfn.IFNA(
INDEX(CA!E$2:E$78,MATCH($E23,CA!$A$2:$A$78,0)),
"")</f>
        <v>SOUTH</v>
      </c>
      <c r="L23" s="15" t="e">
        <v>#VALUE!</v>
      </c>
      <c r="M23" s="15" t="e">
        <v>#VALUE!</v>
      </c>
      <c r="N23" s="15" t="e">
        <v>#VALUE!</v>
      </c>
      <c r="O23" s="15" t="e">
        <v>#VALUE!</v>
      </c>
      <c r="P23" s="15" t="e">
        <v>#VALUE!</v>
      </c>
      <c r="Q23" s="15" t="e">
        <v>#VALUE!</v>
      </c>
      <c r="R23" s="15" t="e">
        <v>#VALUE!</v>
      </c>
      <c r="S23" s="15" t="e">
        <v>#VALUE!</v>
      </c>
      <c r="T23" s="129">
        <v>0.12241430470238393</v>
      </c>
      <c r="U23" s="130" t="e">
        <f t="shared" si="3"/>
        <v>#VALUE!</v>
      </c>
      <c r="V23" s="129">
        <v>0.12241430470238393</v>
      </c>
      <c r="W23" s="130" t="e">
        <f t="shared" si="0"/>
        <v>#VALUE!</v>
      </c>
      <c r="X23" s="129">
        <v>0.12241430470238393</v>
      </c>
      <c r="Y23" s="130" t="e">
        <f t="shared" si="1"/>
        <v>#VALUE!</v>
      </c>
      <c r="Z23" s="129">
        <v>0.12241430470238393</v>
      </c>
      <c r="AA23" s="130" t="e">
        <f t="shared" si="2"/>
        <v>#VALUE!</v>
      </c>
    </row>
    <row r="24" spans="1:27" x14ac:dyDescent="0.3">
      <c r="A24">
        <v>843600</v>
      </c>
      <c r="B24">
        <v>17031843600</v>
      </c>
      <c r="C24">
        <v>17031</v>
      </c>
      <c r="D24">
        <v>2010</v>
      </c>
      <c r="E24">
        <v>38</v>
      </c>
      <c r="F24">
        <v>4422797.0075238096</v>
      </c>
      <c r="G24" s="43">
        <v>0.15864601295353425</v>
      </c>
      <c r="H24" s="58" t="str">
        <f>_xlfn.IFNA(
INDEX(CA!B$2:B$78,MATCH($E24,CA!$A$2:$A$78,0)),
"")</f>
        <v>GRAND BOULEVARD</v>
      </c>
      <c r="I24" s="60" t="str">
        <f>_xlfn.IFNA(
INDEX(CA!C$2:C$78,MATCH($E24,CA!$A$2:$A$78,0)),
"")</f>
        <v>6-A</v>
      </c>
      <c r="J24" s="60">
        <f>_xlfn.IFNA(
INDEX(CA!D$2:D$78,MATCH($E24,CA!$A$2:$A$78,0)),
"")</f>
        <v>6</v>
      </c>
      <c r="K24" s="58" t="str">
        <f>_xlfn.IFNA(
INDEX(CA!E$2:E$78,MATCH($E24,CA!$A$2:$A$78,0)),
"")</f>
        <v>SOUTH</v>
      </c>
      <c r="L24" s="15" t="e">
        <v>#VALUE!</v>
      </c>
      <c r="M24" s="15" t="e">
        <v>#VALUE!</v>
      </c>
      <c r="N24" s="15" t="e">
        <v>#VALUE!</v>
      </c>
      <c r="O24" s="15" t="e">
        <v>#VALUE!</v>
      </c>
      <c r="P24" s="15" t="e">
        <v>#VALUE!</v>
      </c>
      <c r="Q24" s="15" t="e">
        <v>#VALUE!</v>
      </c>
      <c r="R24" s="15" t="e">
        <v>#VALUE!</v>
      </c>
      <c r="S24" s="15" t="e">
        <v>#VALUE!</v>
      </c>
      <c r="T24" s="129">
        <v>0.15864601445698032</v>
      </c>
      <c r="U24" s="130" t="e">
        <f t="shared" si="3"/>
        <v>#VALUE!</v>
      </c>
      <c r="V24" s="129">
        <v>0.15864601445698032</v>
      </c>
      <c r="W24" s="130" t="e">
        <f t="shared" si="0"/>
        <v>#VALUE!</v>
      </c>
      <c r="X24" s="129">
        <v>0.15864601445698032</v>
      </c>
      <c r="Y24" s="130" t="e">
        <f t="shared" si="1"/>
        <v>#VALUE!</v>
      </c>
      <c r="Z24" s="129">
        <v>0.15864601445698032</v>
      </c>
      <c r="AA24" s="130" t="e">
        <f t="shared" si="2"/>
        <v>#VALUE!</v>
      </c>
    </row>
    <row r="25" spans="1:27" x14ac:dyDescent="0.3">
      <c r="A25">
        <v>381900</v>
      </c>
      <c r="B25">
        <v>17031381900</v>
      </c>
      <c r="C25">
        <v>17031</v>
      </c>
      <c r="D25">
        <v>2010</v>
      </c>
      <c r="E25">
        <v>38</v>
      </c>
      <c r="F25">
        <v>1878841.8082477199</v>
      </c>
      <c r="G25" s="43">
        <v>6.7394176432209879E-2</v>
      </c>
      <c r="H25" s="58" t="str">
        <f>_xlfn.IFNA(
INDEX(CA!B$2:B$78,MATCH($E25,CA!$A$2:$A$78,0)),
"")</f>
        <v>GRAND BOULEVARD</v>
      </c>
      <c r="I25" s="60" t="str">
        <f>_xlfn.IFNA(
INDEX(CA!C$2:C$78,MATCH($E25,CA!$A$2:$A$78,0)),
"")</f>
        <v>6-A</v>
      </c>
      <c r="J25" s="60">
        <f>_xlfn.IFNA(
INDEX(CA!D$2:D$78,MATCH($E25,CA!$A$2:$A$78,0)),
"")</f>
        <v>6</v>
      </c>
      <c r="K25" s="58" t="str">
        <f>_xlfn.IFNA(
INDEX(CA!E$2:E$78,MATCH($E25,CA!$A$2:$A$78,0)),
"")</f>
        <v>SOUTH</v>
      </c>
      <c r="L25" s="15" t="e">
        <v>#VALUE!</v>
      </c>
      <c r="M25" s="15" t="e">
        <v>#VALUE!</v>
      </c>
      <c r="N25" s="15" t="e">
        <v>#VALUE!</v>
      </c>
      <c r="O25" s="15" t="e">
        <v>#VALUE!</v>
      </c>
      <c r="P25" s="15" t="e">
        <v>#VALUE!</v>
      </c>
      <c r="Q25" s="15" t="e">
        <v>#VALUE!</v>
      </c>
      <c r="R25" s="15" t="e">
        <v>#VALUE!</v>
      </c>
      <c r="S25" s="15" t="e">
        <v>#VALUE!</v>
      </c>
      <c r="T25" s="129">
        <v>6.7394180286276473E-2</v>
      </c>
      <c r="U25" s="130" t="e">
        <f t="shared" si="3"/>
        <v>#VALUE!</v>
      </c>
      <c r="V25" s="129">
        <v>6.7394180286276473E-2</v>
      </c>
      <c r="W25" s="130" t="e">
        <f t="shared" si="0"/>
        <v>#VALUE!</v>
      </c>
      <c r="X25" s="129">
        <v>6.7394180286276473E-2</v>
      </c>
      <c r="Y25" s="130" t="e">
        <f t="shared" si="1"/>
        <v>#VALUE!</v>
      </c>
      <c r="Z25" s="129">
        <v>6.7394180286276473E-2</v>
      </c>
      <c r="AA25" s="130" t="e">
        <f t="shared" si="2"/>
        <v>#VALUE!</v>
      </c>
    </row>
    <row r="26" spans="1:27" x14ac:dyDescent="0.3">
      <c r="A26">
        <v>381700</v>
      </c>
      <c r="B26">
        <v>17031381700</v>
      </c>
      <c r="C26">
        <v>17031</v>
      </c>
      <c r="D26">
        <v>2010</v>
      </c>
      <c r="E26">
        <v>38</v>
      </c>
      <c r="F26">
        <v>2147855.7897394402</v>
      </c>
      <c r="G26" s="43">
        <v>7.7043725240309349E-2</v>
      </c>
      <c r="H26" s="58" t="str">
        <f>_xlfn.IFNA(
INDEX(CA!B$2:B$78,MATCH($E26,CA!$A$2:$A$78,0)),
"")</f>
        <v>GRAND BOULEVARD</v>
      </c>
      <c r="I26" s="60" t="str">
        <f>_xlfn.IFNA(
INDEX(CA!C$2:C$78,MATCH($E26,CA!$A$2:$A$78,0)),
"")</f>
        <v>6-A</v>
      </c>
      <c r="J26" s="60">
        <f>_xlfn.IFNA(
INDEX(CA!D$2:D$78,MATCH($E26,CA!$A$2:$A$78,0)),
"")</f>
        <v>6</v>
      </c>
      <c r="K26" s="58" t="str">
        <f>_xlfn.IFNA(
INDEX(CA!E$2:E$78,MATCH($E26,CA!$A$2:$A$78,0)),
"")</f>
        <v>SOUTH</v>
      </c>
      <c r="L26" s="15" t="e">
        <v>#VALUE!</v>
      </c>
      <c r="M26" s="15" t="e">
        <v>#VALUE!</v>
      </c>
      <c r="N26" s="15" t="e">
        <v>#VALUE!</v>
      </c>
      <c r="O26" s="15" t="e">
        <v>#VALUE!</v>
      </c>
      <c r="P26" s="15" t="e">
        <v>#VALUE!</v>
      </c>
      <c r="Q26" s="15" t="e">
        <v>#VALUE!</v>
      </c>
      <c r="R26" s="15" t="e">
        <v>#VALUE!</v>
      </c>
      <c r="S26" s="15" t="e">
        <v>#VALUE!</v>
      </c>
      <c r="T26" s="129">
        <v>4.7460009001283436E-3</v>
      </c>
      <c r="U26" s="130" t="e">
        <f t="shared" si="3"/>
        <v>#VALUE!</v>
      </c>
      <c r="V26" s="129">
        <v>4.7460009001283436E-3</v>
      </c>
      <c r="W26" s="130" t="e">
        <f t="shared" si="0"/>
        <v>#VALUE!</v>
      </c>
      <c r="X26" s="129">
        <v>4.7460009001283436E-3</v>
      </c>
      <c r="Y26" s="130" t="e">
        <f t="shared" si="1"/>
        <v>#VALUE!</v>
      </c>
      <c r="Z26" s="129">
        <v>4.7460009001283436E-3</v>
      </c>
      <c r="AA26" s="130" t="e">
        <f t="shared" si="2"/>
        <v>#VALUE!</v>
      </c>
    </row>
    <row r="27" spans="1:27" x14ac:dyDescent="0.3">
      <c r="A27">
        <v>835800</v>
      </c>
      <c r="B27">
        <v>17031835800</v>
      </c>
      <c r="C27">
        <v>17031</v>
      </c>
      <c r="D27">
        <v>2010</v>
      </c>
      <c r="E27">
        <v>38</v>
      </c>
      <c r="F27">
        <v>3061270.78263332</v>
      </c>
      <c r="G27" s="43">
        <v>0.1098079797489569</v>
      </c>
      <c r="H27" s="58" t="str">
        <f>_xlfn.IFNA(
INDEX(CA!B$2:B$78,MATCH($E27,CA!$A$2:$A$78,0)),
"")</f>
        <v>GRAND BOULEVARD</v>
      </c>
      <c r="I27" s="60" t="str">
        <f>_xlfn.IFNA(
INDEX(CA!C$2:C$78,MATCH($E27,CA!$A$2:$A$78,0)),
"")</f>
        <v>6-A</v>
      </c>
      <c r="J27" s="60">
        <f>_xlfn.IFNA(
INDEX(CA!D$2:D$78,MATCH($E27,CA!$A$2:$A$78,0)),
"")</f>
        <v>6</v>
      </c>
      <c r="K27" s="58" t="str">
        <f>_xlfn.IFNA(
INDEX(CA!E$2:E$78,MATCH($E27,CA!$A$2:$A$78,0)),
"")</f>
        <v>SOUTH</v>
      </c>
      <c r="L27" s="15" t="e">
        <v>#VALUE!</v>
      </c>
      <c r="M27" s="15" t="e">
        <v>#VALUE!</v>
      </c>
      <c r="N27" s="15" t="e">
        <v>#VALUE!</v>
      </c>
      <c r="O27" s="15" t="e">
        <v>#VALUE!</v>
      </c>
      <c r="P27" s="15" t="e">
        <v>#VALUE!</v>
      </c>
      <c r="Q27" s="15" t="e">
        <v>#VALUE!</v>
      </c>
      <c r="R27" s="15" t="e">
        <v>#VALUE!</v>
      </c>
      <c r="S27" s="15" t="e">
        <v>#VALUE!</v>
      </c>
      <c r="T27" s="129">
        <v>0.1098079801542029</v>
      </c>
      <c r="U27" s="130" t="e">
        <f t="shared" si="3"/>
        <v>#VALUE!</v>
      </c>
      <c r="V27" s="129">
        <v>0.1098079801542029</v>
      </c>
      <c r="W27" s="130" t="e">
        <f t="shared" si="0"/>
        <v>#VALUE!</v>
      </c>
      <c r="X27" s="129">
        <v>0.1098079801542029</v>
      </c>
      <c r="Y27" s="130" t="e">
        <f t="shared" si="1"/>
        <v>#VALUE!</v>
      </c>
      <c r="Z27" s="129">
        <v>0.1098079801542029</v>
      </c>
      <c r="AA27" s="130" t="e">
        <f t="shared" si="2"/>
        <v>#VALUE!</v>
      </c>
    </row>
    <row r="28" spans="1:27" x14ac:dyDescent="0.3">
      <c r="A28">
        <v>835700</v>
      </c>
      <c r="B28">
        <v>17031835700</v>
      </c>
      <c r="C28">
        <v>17031</v>
      </c>
      <c r="D28">
        <v>2010</v>
      </c>
      <c r="E28">
        <v>38</v>
      </c>
      <c r="F28">
        <v>2061595.3857603599</v>
      </c>
      <c r="G28" s="43">
        <v>7.3949559004833854E-2</v>
      </c>
      <c r="H28" s="58" t="str">
        <f>_xlfn.IFNA(
INDEX(CA!B$2:B$78,MATCH($E28,CA!$A$2:$A$78,0)),
"")</f>
        <v>GRAND BOULEVARD</v>
      </c>
      <c r="I28" s="60" t="str">
        <f>_xlfn.IFNA(
INDEX(CA!C$2:C$78,MATCH($E28,CA!$A$2:$A$78,0)),
"")</f>
        <v>6-A</v>
      </c>
      <c r="J28" s="60">
        <f>_xlfn.IFNA(
INDEX(CA!D$2:D$78,MATCH($E28,CA!$A$2:$A$78,0)),
"")</f>
        <v>6</v>
      </c>
      <c r="K28" s="58" t="str">
        <f>_xlfn.IFNA(
INDEX(CA!E$2:E$78,MATCH($E28,CA!$A$2:$A$78,0)),
"")</f>
        <v>SOUTH</v>
      </c>
      <c r="L28" s="15" t="e">
        <v>#VALUE!</v>
      </c>
      <c r="M28" s="15" t="e">
        <v>#VALUE!</v>
      </c>
      <c r="N28" s="15" t="e">
        <v>#VALUE!</v>
      </c>
      <c r="O28" s="15" t="e">
        <v>#VALUE!</v>
      </c>
      <c r="P28" s="15" t="e">
        <v>#VALUE!</v>
      </c>
      <c r="Q28" s="15" t="e">
        <v>#VALUE!</v>
      </c>
      <c r="R28" s="15" t="e">
        <v>#VALUE!</v>
      </c>
      <c r="S28" s="15" t="e">
        <v>#VALUE!</v>
      </c>
      <c r="T28" s="129">
        <v>4.3029715907757615E-2</v>
      </c>
      <c r="U28" s="130" t="e">
        <f t="shared" si="3"/>
        <v>#VALUE!</v>
      </c>
      <c r="V28" s="129">
        <v>4.3029715907757615E-2</v>
      </c>
      <c r="W28" s="130" t="e">
        <f t="shared" si="0"/>
        <v>#VALUE!</v>
      </c>
      <c r="X28" s="129">
        <v>4.3029715907757615E-2</v>
      </c>
      <c r="Y28" s="130" t="e">
        <f t="shared" si="1"/>
        <v>#VALUE!</v>
      </c>
      <c r="Z28" s="129">
        <v>4.3029715907757615E-2</v>
      </c>
      <c r="AA28" s="130" t="e">
        <f t="shared" si="2"/>
        <v>#VALUE!</v>
      </c>
    </row>
    <row r="29" spans="1:27" x14ac:dyDescent="0.3">
      <c r="A29">
        <v>380500</v>
      </c>
      <c r="B29">
        <v>17031380500</v>
      </c>
      <c r="C29">
        <v>17031</v>
      </c>
      <c r="D29">
        <v>2010</v>
      </c>
      <c r="E29">
        <v>38</v>
      </c>
      <c r="F29">
        <v>2069207.0473851101</v>
      </c>
      <c r="G29" s="43">
        <v>7.4222589796584817E-2</v>
      </c>
      <c r="H29" s="58" t="str">
        <f>_xlfn.IFNA(
INDEX(CA!B$2:B$78,MATCH($E29,CA!$A$2:$A$78,0)),
"")</f>
        <v>GRAND BOULEVARD</v>
      </c>
      <c r="I29" s="60" t="str">
        <f>_xlfn.IFNA(
INDEX(CA!C$2:C$78,MATCH($E29,CA!$A$2:$A$78,0)),
"")</f>
        <v>6-A</v>
      </c>
      <c r="J29" s="60">
        <f>_xlfn.IFNA(
INDEX(CA!D$2:D$78,MATCH($E29,CA!$A$2:$A$78,0)),
"")</f>
        <v>6</v>
      </c>
      <c r="K29" s="58" t="str">
        <f>_xlfn.IFNA(
INDEX(CA!E$2:E$78,MATCH($E29,CA!$A$2:$A$78,0)),
"")</f>
        <v>SOUTH</v>
      </c>
      <c r="L29" s="15" t="e">
        <v>#VALUE!</v>
      </c>
      <c r="M29" s="15" t="e">
        <v>#VALUE!</v>
      </c>
      <c r="N29" s="15" t="e">
        <v>#VALUE!</v>
      </c>
      <c r="O29" s="15" t="e">
        <v>#VALUE!</v>
      </c>
      <c r="P29" s="15" t="e">
        <v>#VALUE!</v>
      </c>
      <c r="Q29" s="15" t="e">
        <v>#VALUE!</v>
      </c>
      <c r="R29" s="15" t="e">
        <v>#VALUE!</v>
      </c>
      <c r="S29" s="15" t="e">
        <v>#VALUE!</v>
      </c>
      <c r="T29" s="129">
        <v>7.4222587503545753E-2</v>
      </c>
      <c r="U29" s="130" t="e">
        <f t="shared" si="3"/>
        <v>#VALUE!</v>
      </c>
      <c r="V29" s="129">
        <v>7.4222587503545753E-2</v>
      </c>
      <c r="W29" s="130" t="e">
        <f t="shared" si="0"/>
        <v>#VALUE!</v>
      </c>
      <c r="X29" s="129">
        <v>7.4222587503545753E-2</v>
      </c>
      <c r="Y29" s="130" t="e">
        <f t="shared" si="1"/>
        <v>#VALUE!</v>
      </c>
      <c r="Z29" s="129">
        <v>7.4222587503545753E-2</v>
      </c>
      <c r="AA29" s="130" t="e">
        <f t="shared" si="2"/>
        <v>#VALUE!</v>
      </c>
    </row>
    <row r="30" spans="1:27" x14ac:dyDescent="0.3">
      <c r="A30">
        <v>380100</v>
      </c>
      <c r="B30">
        <v>17031380100</v>
      </c>
      <c r="C30">
        <v>17031</v>
      </c>
      <c r="D30">
        <v>2010</v>
      </c>
      <c r="E30">
        <v>38</v>
      </c>
      <c r="F30">
        <v>4710063.8058231799</v>
      </c>
      <c r="G30" s="43">
        <v>0.16895029147379978</v>
      </c>
      <c r="H30" s="58" t="str">
        <f>_xlfn.IFNA(
INDEX(CA!B$2:B$78,MATCH($E30,CA!$A$2:$A$78,0)),
"")</f>
        <v>GRAND BOULEVARD</v>
      </c>
      <c r="I30" s="60" t="str">
        <f>_xlfn.IFNA(
INDEX(CA!C$2:C$78,MATCH($E30,CA!$A$2:$A$78,0)),
"")</f>
        <v>6-A</v>
      </c>
      <c r="J30" s="60">
        <f>_xlfn.IFNA(
INDEX(CA!D$2:D$78,MATCH($E30,CA!$A$2:$A$78,0)),
"")</f>
        <v>6</v>
      </c>
      <c r="K30" s="58" t="str">
        <f>_xlfn.IFNA(
INDEX(CA!E$2:E$78,MATCH($E30,CA!$A$2:$A$78,0)),
"")</f>
        <v>SOUTH</v>
      </c>
      <c r="L30" s="15" t="e">
        <v>#VALUE!</v>
      </c>
      <c r="M30" s="15" t="e">
        <v>#VALUE!</v>
      </c>
      <c r="N30" s="15" t="e">
        <v>#VALUE!</v>
      </c>
      <c r="O30" s="15" t="e">
        <v>#VALUE!</v>
      </c>
      <c r="P30" s="15" t="e">
        <v>#VALUE!</v>
      </c>
      <c r="Q30" s="15" t="e">
        <v>#VALUE!</v>
      </c>
      <c r="R30" s="15" t="e">
        <v>#VALUE!</v>
      </c>
      <c r="S30" s="15" t="e">
        <v>#VALUE!</v>
      </c>
      <c r="T30" s="129">
        <v>0.16895029499867997</v>
      </c>
      <c r="U30" s="130" t="e">
        <f t="shared" si="3"/>
        <v>#VALUE!</v>
      </c>
      <c r="V30" s="129">
        <v>0.16895029499867997</v>
      </c>
      <c r="W30" s="130" t="e">
        <f t="shared" si="0"/>
        <v>#VALUE!</v>
      </c>
      <c r="X30" s="129">
        <v>0.16895029499867997</v>
      </c>
      <c r="Y30" s="130" t="e">
        <f t="shared" si="1"/>
        <v>#VALUE!</v>
      </c>
      <c r="Z30" s="129">
        <v>0.16895029499867997</v>
      </c>
      <c r="AA30" s="130" t="e">
        <f t="shared" si="2"/>
        <v>#VALUE!</v>
      </c>
    </row>
    <row r="31" spans="1:27" x14ac:dyDescent="0.3">
      <c r="A31">
        <v>836000</v>
      </c>
      <c r="B31">
        <v>17031836000</v>
      </c>
      <c r="C31">
        <v>17031</v>
      </c>
      <c r="D31">
        <v>2010</v>
      </c>
      <c r="E31">
        <v>38</v>
      </c>
      <c r="F31">
        <v>5444225.7258380903</v>
      </c>
      <c r="G31" s="43">
        <v>0.19528472673604261</v>
      </c>
      <c r="H31" s="58" t="str">
        <f>_xlfn.IFNA(
INDEX(CA!B$2:B$78,MATCH($E31,CA!$A$2:$A$78,0)),
"")</f>
        <v>GRAND BOULEVARD</v>
      </c>
      <c r="I31" s="60" t="str">
        <f>_xlfn.IFNA(
INDEX(CA!C$2:C$78,MATCH($E31,CA!$A$2:$A$78,0)),
"")</f>
        <v>6-A</v>
      </c>
      <c r="J31" s="60">
        <f>_xlfn.IFNA(
INDEX(CA!D$2:D$78,MATCH($E31,CA!$A$2:$A$78,0)),
"")</f>
        <v>6</v>
      </c>
      <c r="K31" s="58" t="str">
        <f>_xlfn.IFNA(
INDEX(CA!E$2:E$78,MATCH($E31,CA!$A$2:$A$78,0)),
"")</f>
        <v>SOUTH</v>
      </c>
      <c r="L31" s="15" t="e">
        <v>#VALUE!</v>
      </c>
      <c r="M31" s="15" t="e">
        <v>#VALUE!</v>
      </c>
      <c r="N31" s="15" t="e">
        <v>#VALUE!</v>
      </c>
      <c r="O31" s="15" t="e">
        <v>#VALUE!</v>
      </c>
      <c r="P31" s="15" t="e">
        <v>#VALUE!</v>
      </c>
      <c r="Q31" s="15" t="e">
        <v>#VALUE!</v>
      </c>
      <c r="R31" s="15" t="e">
        <v>#VALUE!</v>
      </c>
      <c r="S31" s="15" t="e">
        <v>#VALUE!</v>
      </c>
      <c r="T31" s="129">
        <v>0.19528473001120544</v>
      </c>
      <c r="U31" s="130" t="e">
        <f t="shared" si="3"/>
        <v>#VALUE!</v>
      </c>
      <c r="V31" s="129">
        <v>0.19528473001120544</v>
      </c>
      <c r="W31" s="130" t="e">
        <f t="shared" si="0"/>
        <v>#VALUE!</v>
      </c>
      <c r="X31" s="129">
        <v>0.19528473001120544</v>
      </c>
      <c r="Y31" s="130" t="e">
        <f t="shared" si="1"/>
        <v>#VALUE!</v>
      </c>
      <c r="Z31" s="129">
        <v>0.19528473001120544</v>
      </c>
      <c r="AA31" s="130" t="e">
        <f t="shared" si="2"/>
        <v>#VALUE!</v>
      </c>
    </row>
    <row r="32" spans="1:27" x14ac:dyDescent="0.3">
      <c r="A32">
        <v>381200</v>
      </c>
      <c r="B32">
        <v>17031381200</v>
      </c>
      <c r="C32">
        <v>17031</v>
      </c>
      <c r="D32">
        <v>2010</v>
      </c>
      <c r="E32">
        <v>38</v>
      </c>
      <c r="F32">
        <v>2783257.9336254299</v>
      </c>
      <c r="G32" s="43">
        <v>9.9835640984612811E-2</v>
      </c>
      <c r="H32" s="58" t="str">
        <f>_xlfn.IFNA(
INDEX(CA!B$2:B$78,MATCH($E32,CA!$A$2:$A$78,0)),
"")</f>
        <v>GRAND BOULEVARD</v>
      </c>
      <c r="I32" s="60" t="str">
        <f>_xlfn.IFNA(
INDEX(CA!C$2:C$78,MATCH($E32,CA!$A$2:$A$78,0)),
"")</f>
        <v>6-A</v>
      </c>
      <c r="J32" s="60">
        <f>_xlfn.IFNA(
INDEX(CA!D$2:D$78,MATCH($E32,CA!$A$2:$A$78,0)),
"")</f>
        <v>6</v>
      </c>
      <c r="K32" s="58" t="str">
        <f>_xlfn.IFNA(
INDEX(CA!E$2:E$78,MATCH($E32,CA!$A$2:$A$78,0)),
"")</f>
        <v>SOUTH</v>
      </c>
      <c r="L32" s="15" t="e">
        <v>#VALUE!</v>
      </c>
      <c r="M32" s="15" t="e">
        <v>#VALUE!</v>
      </c>
      <c r="N32" s="15" t="e">
        <v>#VALUE!</v>
      </c>
      <c r="O32" s="15" t="e">
        <v>#VALUE!</v>
      </c>
      <c r="P32" s="15" t="e">
        <v>#VALUE!</v>
      </c>
      <c r="Q32" s="15" t="e">
        <v>#VALUE!</v>
      </c>
      <c r="R32" s="15" t="e">
        <v>#VALUE!</v>
      </c>
      <c r="S32" s="15" t="e">
        <v>#VALUE!</v>
      </c>
      <c r="T32" s="129">
        <v>9.9835640568300188E-2</v>
      </c>
      <c r="U32" s="130" t="e">
        <f t="shared" si="3"/>
        <v>#VALUE!</v>
      </c>
      <c r="V32" s="129">
        <v>9.9835640568300188E-2</v>
      </c>
      <c r="W32" s="130" t="e">
        <f t="shared" si="0"/>
        <v>#VALUE!</v>
      </c>
      <c r="X32" s="129">
        <v>9.9835640568300188E-2</v>
      </c>
      <c r="Y32" s="130" t="e">
        <f t="shared" si="1"/>
        <v>#VALUE!</v>
      </c>
      <c r="Z32" s="129">
        <v>9.9835640568300188E-2</v>
      </c>
      <c r="AA32" s="130" t="e">
        <f t="shared" si="2"/>
        <v>#VALUE!</v>
      </c>
    </row>
    <row r="33" spans="1:27" x14ac:dyDescent="0.3">
      <c r="A33">
        <v>381400</v>
      </c>
      <c r="B33">
        <v>17031381400</v>
      </c>
      <c r="C33">
        <v>17031</v>
      </c>
      <c r="D33">
        <v>2010</v>
      </c>
      <c r="E33">
        <v>38</v>
      </c>
      <c r="F33">
        <v>3414250.8125314601</v>
      </c>
      <c r="G33" s="43">
        <v>0.12246939611066131</v>
      </c>
      <c r="H33" s="58" t="str">
        <f>_xlfn.IFNA(
INDEX(CA!B$2:B$78,MATCH($E33,CA!$A$2:$A$78,0)),
"")</f>
        <v>GRAND BOULEVARD</v>
      </c>
      <c r="I33" s="60" t="str">
        <f>_xlfn.IFNA(
INDEX(CA!C$2:C$78,MATCH($E33,CA!$A$2:$A$78,0)),
"")</f>
        <v>6-A</v>
      </c>
      <c r="J33" s="60">
        <f>_xlfn.IFNA(
INDEX(CA!D$2:D$78,MATCH($E33,CA!$A$2:$A$78,0)),
"")</f>
        <v>6</v>
      </c>
      <c r="K33" s="58" t="str">
        <f>_xlfn.IFNA(
INDEX(CA!E$2:E$78,MATCH($E33,CA!$A$2:$A$78,0)),
"")</f>
        <v>SOUTH</v>
      </c>
      <c r="L33" s="15" t="e">
        <v>#VALUE!</v>
      </c>
      <c r="M33" s="15" t="e">
        <v>#VALUE!</v>
      </c>
      <c r="N33" s="15" t="e">
        <v>#VALUE!</v>
      </c>
      <c r="O33" s="15" t="e">
        <v>#VALUE!</v>
      </c>
      <c r="P33" s="15" t="e">
        <v>#VALUE!</v>
      </c>
      <c r="Q33" s="15" t="e">
        <v>#VALUE!</v>
      </c>
      <c r="R33" s="15" t="e">
        <v>#VALUE!</v>
      </c>
      <c r="S33" s="15" t="e">
        <v>#VALUE!</v>
      </c>
      <c r="T33" s="129">
        <v>0.12246939217558468</v>
      </c>
      <c r="U33" s="130" t="e">
        <f t="shared" si="3"/>
        <v>#VALUE!</v>
      </c>
      <c r="V33" s="129">
        <v>0.12246939217558468</v>
      </c>
      <c r="W33" s="130" t="e">
        <f t="shared" si="0"/>
        <v>#VALUE!</v>
      </c>
      <c r="X33" s="129">
        <v>0.12246939217558468</v>
      </c>
      <c r="Y33" s="130" t="e">
        <f t="shared" si="1"/>
        <v>#VALUE!</v>
      </c>
      <c r="Z33" s="129">
        <v>0.12246939217558468</v>
      </c>
      <c r="AA33" s="130" t="e">
        <f t="shared" si="2"/>
        <v>#VALUE!</v>
      </c>
    </row>
    <row r="34" spans="1:27" x14ac:dyDescent="0.3">
      <c r="A34">
        <v>380200</v>
      </c>
      <c r="B34">
        <v>17031380200</v>
      </c>
      <c r="C34">
        <v>17031</v>
      </c>
      <c r="D34">
        <v>2010</v>
      </c>
      <c r="E34">
        <v>38</v>
      </c>
      <c r="F34">
        <v>2315686.2333612801</v>
      </c>
      <c r="G34" s="43">
        <v>8.3063814041023878E-2</v>
      </c>
      <c r="H34" s="58" t="str">
        <f>_xlfn.IFNA(
INDEX(CA!B$2:B$78,MATCH($E34,CA!$A$2:$A$78,0)),
"")</f>
        <v>GRAND BOULEVARD</v>
      </c>
      <c r="I34" s="60" t="str">
        <f>_xlfn.IFNA(
INDEX(CA!C$2:C$78,MATCH($E34,CA!$A$2:$A$78,0)),
"")</f>
        <v>6-A</v>
      </c>
      <c r="J34" s="60">
        <f>_xlfn.IFNA(
INDEX(CA!D$2:D$78,MATCH($E34,CA!$A$2:$A$78,0)),
"")</f>
        <v>6</v>
      </c>
      <c r="K34" s="58" t="str">
        <f>_xlfn.IFNA(
INDEX(CA!E$2:E$78,MATCH($E34,CA!$A$2:$A$78,0)),
"")</f>
        <v>SOUTH</v>
      </c>
      <c r="L34" s="15" t="e">
        <v>#VALUE!</v>
      </c>
      <c r="M34" s="15" t="e">
        <v>#VALUE!</v>
      </c>
      <c r="N34" s="15" t="e">
        <v>#VALUE!</v>
      </c>
      <c r="O34" s="15" t="e">
        <v>#VALUE!</v>
      </c>
      <c r="P34" s="15" t="e">
        <v>#VALUE!</v>
      </c>
      <c r="Q34" s="15" t="e">
        <v>#VALUE!</v>
      </c>
      <c r="R34" s="15" t="e">
        <v>#VALUE!</v>
      </c>
      <c r="S34" s="15" t="e">
        <v>#VALUE!</v>
      </c>
      <c r="T34" s="129">
        <v>8.3063815100303098E-2</v>
      </c>
      <c r="U34" s="130" t="e">
        <f t="shared" si="3"/>
        <v>#VALUE!</v>
      </c>
      <c r="V34" s="129">
        <v>8.3063815100303098E-2</v>
      </c>
      <c r="W34" s="130" t="e">
        <f t="shared" si="0"/>
        <v>#VALUE!</v>
      </c>
      <c r="X34" s="129">
        <v>8.3063815100303098E-2</v>
      </c>
      <c r="Y34" s="130" t="e">
        <f t="shared" si="1"/>
        <v>#VALUE!</v>
      </c>
      <c r="Z34" s="129">
        <v>8.3063815100303098E-2</v>
      </c>
      <c r="AA34" s="130" t="e">
        <f t="shared" si="2"/>
        <v>#VALUE!</v>
      </c>
    </row>
    <row r="35" spans="1:27" x14ac:dyDescent="0.3">
      <c r="A35">
        <v>390400</v>
      </c>
      <c r="B35">
        <v>17031390400</v>
      </c>
      <c r="C35">
        <v>17031</v>
      </c>
      <c r="D35">
        <v>2010</v>
      </c>
      <c r="E35">
        <v>39</v>
      </c>
      <c r="F35">
        <v>3512353.58533129</v>
      </c>
      <c r="G35" s="43">
        <v>0.12598834887695456</v>
      </c>
      <c r="H35" s="58" t="str">
        <f>_xlfn.IFNA(
INDEX(CA!B$2:B$78,MATCH($E35,CA!$A$2:$A$78,0)),
"")</f>
        <v>KENWOOD</v>
      </c>
      <c r="I35" s="60" t="str">
        <f>_xlfn.IFNA(
INDEX(CA!C$2:C$78,MATCH($E35,CA!$A$2:$A$78,0)),
"")</f>
        <v>6-A</v>
      </c>
      <c r="J35" s="60">
        <f>_xlfn.IFNA(
INDEX(CA!D$2:D$78,MATCH($E35,CA!$A$2:$A$78,0)),
"")</f>
        <v>6</v>
      </c>
      <c r="K35" s="58" t="str">
        <f>_xlfn.IFNA(
INDEX(CA!E$2:E$78,MATCH($E35,CA!$A$2:$A$78,0)),
"")</f>
        <v>SOUTH</v>
      </c>
      <c r="L35" s="15" t="e">
        <v>#VALUE!</v>
      </c>
      <c r="M35" s="15" t="e">
        <v>#VALUE!</v>
      </c>
      <c r="N35" s="15" t="e">
        <v>#VALUE!</v>
      </c>
      <c r="O35" s="15" t="e">
        <v>#VALUE!</v>
      </c>
      <c r="P35" s="15" t="e">
        <v>#VALUE!</v>
      </c>
      <c r="Q35" s="15" t="e">
        <v>#VALUE!</v>
      </c>
      <c r="R35" s="15" t="e">
        <v>#VALUE!</v>
      </c>
      <c r="S35" s="15" t="e">
        <v>#VALUE!</v>
      </c>
      <c r="T35" s="129">
        <v>0.12598834850348656</v>
      </c>
      <c r="U35" s="130" t="e">
        <f t="shared" si="3"/>
        <v>#VALUE!</v>
      </c>
      <c r="V35" s="129">
        <v>0.12598834850348656</v>
      </c>
      <c r="W35" s="130" t="e">
        <f t="shared" si="0"/>
        <v>#VALUE!</v>
      </c>
      <c r="X35" s="129">
        <v>0.12598834850348656</v>
      </c>
      <c r="Y35" s="130" t="e">
        <f t="shared" si="1"/>
        <v>#VALUE!</v>
      </c>
      <c r="Z35" s="129">
        <v>0.12598834850348656</v>
      </c>
      <c r="AA35" s="130" t="e">
        <f t="shared" si="2"/>
        <v>#VALUE!</v>
      </c>
    </row>
    <row r="36" spans="1:27" x14ac:dyDescent="0.3">
      <c r="A36">
        <v>390700</v>
      </c>
      <c r="B36">
        <v>17031390700</v>
      </c>
      <c r="C36">
        <v>17031</v>
      </c>
      <c r="D36">
        <v>2010</v>
      </c>
      <c r="E36">
        <v>39</v>
      </c>
      <c r="F36">
        <v>6583578.2752687996</v>
      </c>
      <c r="G36" s="43">
        <v>0.23615337592074148</v>
      </c>
      <c r="H36" s="58" t="str">
        <f>_xlfn.IFNA(
INDEX(CA!B$2:B$78,MATCH($E36,CA!$A$2:$A$78,0)),
"")</f>
        <v>KENWOOD</v>
      </c>
      <c r="I36" s="60" t="str">
        <f>_xlfn.IFNA(
INDEX(CA!C$2:C$78,MATCH($E36,CA!$A$2:$A$78,0)),
"")</f>
        <v>6-A</v>
      </c>
      <c r="J36" s="60">
        <f>_xlfn.IFNA(
INDEX(CA!D$2:D$78,MATCH($E36,CA!$A$2:$A$78,0)),
"")</f>
        <v>6</v>
      </c>
      <c r="K36" s="58" t="str">
        <f>_xlfn.IFNA(
INDEX(CA!E$2:E$78,MATCH($E36,CA!$A$2:$A$78,0)),
"")</f>
        <v>SOUTH</v>
      </c>
      <c r="L36" s="15" t="e">
        <v>#VALUE!</v>
      </c>
      <c r="M36" s="15" t="e">
        <v>#VALUE!</v>
      </c>
      <c r="N36" s="15" t="e">
        <v>#VALUE!</v>
      </c>
      <c r="O36" s="15" t="e">
        <v>#VALUE!</v>
      </c>
      <c r="P36" s="15" t="e">
        <v>#VALUE!</v>
      </c>
      <c r="Q36" s="15" t="e">
        <v>#VALUE!</v>
      </c>
      <c r="R36" s="15" t="e">
        <v>#VALUE!</v>
      </c>
      <c r="S36" s="15" t="e">
        <v>#VALUE!</v>
      </c>
      <c r="T36" s="129">
        <v>0.23615337170493322</v>
      </c>
      <c r="U36" s="130" t="e">
        <f t="shared" si="3"/>
        <v>#VALUE!</v>
      </c>
      <c r="V36" s="129">
        <v>0.23615337170493322</v>
      </c>
      <c r="W36" s="130" t="e">
        <f t="shared" si="0"/>
        <v>#VALUE!</v>
      </c>
      <c r="X36" s="129">
        <v>0.23615337170493322</v>
      </c>
      <c r="Y36" s="130" t="e">
        <f t="shared" si="1"/>
        <v>#VALUE!</v>
      </c>
      <c r="Z36" s="129">
        <v>0.23615337170493322</v>
      </c>
      <c r="AA36" s="130" t="e">
        <f t="shared" si="2"/>
        <v>#VALUE!</v>
      </c>
    </row>
    <row r="37" spans="1:27" x14ac:dyDescent="0.3">
      <c r="A37">
        <v>390100</v>
      </c>
      <c r="B37">
        <v>17031390100</v>
      </c>
      <c r="C37">
        <v>17031</v>
      </c>
      <c r="D37">
        <v>2010</v>
      </c>
      <c r="E37">
        <v>39</v>
      </c>
      <c r="F37">
        <v>5171567.3746050196</v>
      </c>
      <c r="G37" s="43">
        <v>0.1855044541510639</v>
      </c>
      <c r="H37" s="58" t="str">
        <f>_xlfn.IFNA(
INDEX(CA!B$2:B$78,MATCH($E37,CA!$A$2:$A$78,0)),
"")</f>
        <v>KENWOOD</v>
      </c>
      <c r="I37" s="60" t="str">
        <f>_xlfn.IFNA(
INDEX(CA!C$2:C$78,MATCH($E37,CA!$A$2:$A$78,0)),
"")</f>
        <v>6-A</v>
      </c>
      <c r="J37" s="60">
        <f>_xlfn.IFNA(
INDEX(CA!D$2:D$78,MATCH($E37,CA!$A$2:$A$78,0)),
"")</f>
        <v>6</v>
      </c>
      <c r="K37" s="58" t="str">
        <f>_xlfn.IFNA(
INDEX(CA!E$2:E$78,MATCH($E37,CA!$A$2:$A$78,0)),
"")</f>
        <v>SOUTH</v>
      </c>
      <c r="L37" s="15" t="e">
        <v>#VALUE!</v>
      </c>
      <c r="M37" s="15" t="e">
        <v>#VALUE!</v>
      </c>
      <c r="N37" s="15" t="e">
        <v>#VALUE!</v>
      </c>
      <c r="O37" s="15" t="e">
        <v>#VALUE!</v>
      </c>
      <c r="P37" s="15" t="e">
        <v>#VALUE!</v>
      </c>
      <c r="Q37" s="15" t="e">
        <v>#VALUE!</v>
      </c>
      <c r="R37" s="15" t="e">
        <v>#VALUE!</v>
      </c>
      <c r="S37" s="15" t="e">
        <v>#VALUE!</v>
      </c>
      <c r="T37" s="129">
        <v>0.18550445367220894</v>
      </c>
      <c r="U37" s="130" t="e">
        <f t="shared" si="3"/>
        <v>#VALUE!</v>
      </c>
      <c r="V37" s="129">
        <v>0.18550445367220894</v>
      </c>
      <c r="W37" s="130" t="e">
        <f t="shared" si="0"/>
        <v>#VALUE!</v>
      </c>
      <c r="X37" s="129">
        <v>0.18550445367220894</v>
      </c>
      <c r="Y37" s="130" t="e">
        <f t="shared" si="1"/>
        <v>#VALUE!</v>
      </c>
      <c r="Z37" s="129">
        <v>0.18550445367220894</v>
      </c>
      <c r="AA37" s="130" t="e">
        <f t="shared" si="2"/>
        <v>#VALUE!</v>
      </c>
    </row>
    <row r="38" spans="1:27" x14ac:dyDescent="0.3">
      <c r="A38">
        <v>390300</v>
      </c>
      <c r="B38">
        <v>17031390300</v>
      </c>
      <c r="C38">
        <v>17031</v>
      </c>
      <c r="D38">
        <v>2010</v>
      </c>
      <c r="E38">
        <v>39</v>
      </c>
      <c r="F38">
        <v>3520847.7247758601</v>
      </c>
      <c r="G38" s="43">
        <v>0.1262930342048274</v>
      </c>
      <c r="H38" s="58" t="str">
        <f>_xlfn.IFNA(
INDEX(CA!B$2:B$78,MATCH($E38,CA!$A$2:$A$78,0)),
"")</f>
        <v>KENWOOD</v>
      </c>
      <c r="I38" s="60" t="str">
        <f>_xlfn.IFNA(
INDEX(CA!C$2:C$78,MATCH($E38,CA!$A$2:$A$78,0)),
"")</f>
        <v>6-A</v>
      </c>
      <c r="J38" s="60">
        <f>_xlfn.IFNA(
INDEX(CA!D$2:D$78,MATCH($E38,CA!$A$2:$A$78,0)),
"")</f>
        <v>6</v>
      </c>
      <c r="K38" s="58" t="str">
        <f>_xlfn.IFNA(
INDEX(CA!E$2:E$78,MATCH($E38,CA!$A$2:$A$78,0)),
"")</f>
        <v>SOUTH</v>
      </c>
      <c r="L38" s="15" t="e">
        <v>#VALUE!</v>
      </c>
      <c r="M38" s="15" t="e">
        <v>#VALUE!</v>
      </c>
      <c r="N38" s="15" t="e">
        <v>#VALUE!</v>
      </c>
      <c r="O38" s="15" t="e">
        <v>#VALUE!</v>
      </c>
      <c r="P38" s="15" t="e">
        <v>#VALUE!</v>
      </c>
      <c r="Q38" s="15" t="e">
        <v>#VALUE!</v>
      </c>
      <c r="R38" s="15" t="e">
        <v>#VALUE!</v>
      </c>
      <c r="S38" s="15" t="e">
        <v>#VALUE!</v>
      </c>
      <c r="T38" s="129">
        <v>0.1262930340791534</v>
      </c>
      <c r="U38" s="130" t="e">
        <f t="shared" si="3"/>
        <v>#VALUE!</v>
      </c>
      <c r="V38" s="129">
        <v>0.1262930340791534</v>
      </c>
      <c r="W38" s="130" t="e">
        <f t="shared" si="0"/>
        <v>#VALUE!</v>
      </c>
      <c r="X38" s="129">
        <v>0.1262930340791534</v>
      </c>
      <c r="Y38" s="130" t="e">
        <f t="shared" si="1"/>
        <v>#VALUE!</v>
      </c>
      <c r="Z38" s="129">
        <v>0.1262930340791534</v>
      </c>
      <c r="AA38" s="130" t="e">
        <f t="shared" si="2"/>
        <v>#VALUE!</v>
      </c>
    </row>
    <row r="39" spans="1:27" x14ac:dyDescent="0.3">
      <c r="A39">
        <v>390200</v>
      </c>
      <c r="B39">
        <v>17031390200</v>
      </c>
      <c r="C39">
        <v>17031</v>
      </c>
      <c r="D39">
        <v>2010</v>
      </c>
      <c r="E39">
        <v>39</v>
      </c>
      <c r="F39">
        <v>3270131.89720638</v>
      </c>
      <c r="G39" s="43">
        <v>0.11729984135410856</v>
      </c>
      <c r="H39" s="58" t="str">
        <f>_xlfn.IFNA(
INDEX(CA!B$2:B$78,MATCH($E39,CA!$A$2:$A$78,0)),
"")</f>
        <v>KENWOOD</v>
      </c>
      <c r="I39" s="60" t="str">
        <f>_xlfn.IFNA(
INDEX(CA!C$2:C$78,MATCH($E39,CA!$A$2:$A$78,0)),
"")</f>
        <v>6-A</v>
      </c>
      <c r="J39" s="60">
        <f>_xlfn.IFNA(
INDEX(CA!D$2:D$78,MATCH($E39,CA!$A$2:$A$78,0)),
"")</f>
        <v>6</v>
      </c>
      <c r="K39" s="58" t="str">
        <f>_xlfn.IFNA(
INDEX(CA!E$2:E$78,MATCH($E39,CA!$A$2:$A$78,0)),
"")</f>
        <v>SOUTH</v>
      </c>
      <c r="L39" s="15" t="e">
        <v>#VALUE!</v>
      </c>
      <c r="M39" s="15" t="e">
        <v>#VALUE!</v>
      </c>
      <c r="N39" s="15" t="e">
        <v>#VALUE!</v>
      </c>
      <c r="O39" s="15" t="e">
        <v>#VALUE!</v>
      </c>
      <c r="P39" s="15" t="e">
        <v>#VALUE!</v>
      </c>
      <c r="Q39" s="15" t="e">
        <v>#VALUE!</v>
      </c>
      <c r="R39" s="15" t="e">
        <v>#VALUE!</v>
      </c>
      <c r="S39" s="15" t="e">
        <v>#VALUE!</v>
      </c>
      <c r="T39" s="129">
        <v>0.11729984185572666</v>
      </c>
      <c r="U39" s="130" t="e">
        <f t="shared" si="3"/>
        <v>#VALUE!</v>
      </c>
      <c r="V39" s="129">
        <v>0.11729984185572666</v>
      </c>
      <c r="W39" s="130" t="e">
        <f t="shared" si="0"/>
        <v>#VALUE!</v>
      </c>
      <c r="X39" s="129">
        <v>0.11729984185572666</v>
      </c>
      <c r="Y39" s="130" t="e">
        <f t="shared" si="1"/>
        <v>#VALUE!</v>
      </c>
      <c r="Z39" s="129">
        <v>0.11729984185572666</v>
      </c>
      <c r="AA39" s="130" t="e">
        <f t="shared" si="2"/>
        <v>#VALUE!</v>
      </c>
    </row>
    <row r="40" spans="1:27" x14ac:dyDescent="0.3">
      <c r="A40">
        <v>390500</v>
      </c>
      <c r="B40">
        <v>17031390500</v>
      </c>
      <c r="C40">
        <v>17031</v>
      </c>
      <c r="D40">
        <v>2010</v>
      </c>
      <c r="E40">
        <v>39</v>
      </c>
      <c r="F40">
        <v>3514919.1125081098</v>
      </c>
      <c r="G40" s="43">
        <v>0.12608037450169701</v>
      </c>
      <c r="H40" s="58" t="str">
        <f>_xlfn.IFNA(
INDEX(CA!B$2:B$78,MATCH($E40,CA!$A$2:$A$78,0)),
"")</f>
        <v>KENWOOD</v>
      </c>
      <c r="I40" s="60" t="str">
        <f>_xlfn.IFNA(
INDEX(CA!C$2:C$78,MATCH($E40,CA!$A$2:$A$78,0)),
"")</f>
        <v>6-A</v>
      </c>
      <c r="J40" s="60">
        <f>_xlfn.IFNA(
INDEX(CA!D$2:D$78,MATCH($E40,CA!$A$2:$A$78,0)),
"")</f>
        <v>6</v>
      </c>
      <c r="K40" s="58" t="str">
        <f>_xlfn.IFNA(
INDEX(CA!E$2:E$78,MATCH($E40,CA!$A$2:$A$78,0)),
"")</f>
        <v>SOUTH</v>
      </c>
      <c r="L40" s="15" t="e">
        <v>#VALUE!</v>
      </c>
      <c r="M40" s="15" t="e">
        <v>#VALUE!</v>
      </c>
      <c r="N40" s="15" t="e">
        <v>#VALUE!</v>
      </c>
      <c r="O40" s="15" t="e">
        <v>#VALUE!</v>
      </c>
      <c r="P40" s="15" t="e">
        <v>#VALUE!</v>
      </c>
      <c r="Q40" s="15" t="e">
        <v>#VALUE!</v>
      </c>
      <c r="R40" s="15" t="e">
        <v>#VALUE!</v>
      </c>
      <c r="S40" s="15" t="e">
        <v>#VALUE!</v>
      </c>
      <c r="T40" s="129">
        <v>0.12608037456115342</v>
      </c>
      <c r="U40" s="130" t="e">
        <f t="shared" si="3"/>
        <v>#VALUE!</v>
      </c>
      <c r="V40" s="129">
        <v>0.12608037456115342</v>
      </c>
      <c r="W40" s="130" t="e">
        <f t="shared" si="0"/>
        <v>#VALUE!</v>
      </c>
      <c r="X40" s="129">
        <v>0.12608037456115342</v>
      </c>
      <c r="Y40" s="130" t="e">
        <f t="shared" si="1"/>
        <v>#VALUE!</v>
      </c>
      <c r="Z40" s="129">
        <v>0.12608037456115342</v>
      </c>
      <c r="AA40" s="130" t="e">
        <f t="shared" si="2"/>
        <v>#VALUE!</v>
      </c>
    </row>
    <row r="41" spans="1:27" x14ac:dyDescent="0.3">
      <c r="A41">
        <v>390600</v>
      </c>
      <c r="B41">
        <v>17031390600</v>
      </c>
      <c r="C41">
        <v>17031</v>
      </c>
      <c r="D41">
        <v>2010</v>
      </c>
      <c r="E41">
        <v>39</v>
      </c>
      <c r="F41">
        <v>3498343.9947011401</v>
      </c>
      <c r="G41" s="43">
        <v>0.12548582396052643</v>
      </c>
      <c r="H41" s="58" t="str">
        <f>_xlfn.IFNA(
INDEX(CA!B$2:B$78,MATCH($E41,CA!$A$2:$A$78,0)),
"")</f>
        <v>KENWOOD</v>
      </c>
      <c r="I41" s="60" t="str">
        <f>_xlfn.IFNA(
INDEX(CA!C$2:C$78,MATCH($E41,CA!$A$2:$A$78,0)),
"")</f>
        <v>6-A</v>
      </c>
      <c r="J41" s="60">
        <f>_xlfn.IFNA(
INDEX(CA!D$2:D$78,MATCH($E41,CA!$A$2:$A$78,0)),
"")</f>
        <v>6</v>
      </c>
      <c r="K41" s="58" t="str">
        <f>_xlfn.IFNA(
INDEX(CA!E$2:E$78,MATCH($E41,CA!$A$2:$A$78,0)),
"")</f>
        <v>SOUTH</v>
      </c>
      <c r="L41" s="15" t="e">
        <v>#VALUE!</v>
      </c>
      <c r="M41" s="15" t="e">
        <v>#VALUE!</v>
      </c>
      <c r="N41" s="15" t="e">
        <v>#VALUE!</v>
      </c>
      <c r="O41" s="15" t="e">
        <v>#VALUE!</v>
      </c>
      <c r="P41" s="15" t="e">
        <v>#VALUE!</v>
      </c>
      <c r="Q41" s="15" t="e">
        <v>#VALUE!</v>
      </c>
      <c r="R41" s="15" t="e">
        <v>#VALUE!</v>
      </c>
      <c r="S41" s="15" t="e">
        <v>#VALUE!</v>
      </c>
      <c r="T41" s="129">
        <v>0.12384725336381355</v>
      </c>
      <c r="U41" s="130" t="e">
        <f t="shared" si="3"/>
        <v>#VALUE!</v>
      </c>
      <c r="V41" s="129">
        <v>0.12384725336381355</v>
      </c>
      <c r="W41" s="130" t="e">
        <f t="shared" si="0"/>
        <v>#VALUE!</v>
      </c>
      <c r="X41" s="129">
        <v>0.12384725336381355</v>
      </c>
      <c r="Y41" s="130" t="e">
        <f t="shared" si="1"/>
        <v>#VALUE!</v>
      </c>
      <c r="Z41" s="129">
        <v>0.12384725336381355</v>
      </c>
      <c r="AA41" s="130" t="e">
        <f t="shared" si="2"/>
        <v>#VALUE!</v>
      </c>
    </row>
    <row r="42" spans="1:27" x14ac:dyDescent="0.3">
      <c r="A42">
        <v>40100</v>
      </c>
      <c r="B42">
        <v>17031040100</v>
      </c>
      <c r="C42">
        <v>17031</v>
      </c>
      <c r="D42">
        <v>2010</v>
      </c>
      <c r="E42">
        <v>4</v>
      </c>
      <c r="F42">
        <v>21545692.8407005</v>
      </c>
      <c r="G42" s="43">
        <v>0.77284538713486062</v>
      </c>
      <c r="H42" s="58" t="str">
        <f>_xlfn.IFNA(
INDEX(CA!B$2:B$78,MATCH($E42,CA!$A$2:$A$78,0)),
"")</f>
        <v>LINCOLN SQUARE</v>
      </c>
      <c r="I42" s="60" t="str">
        <f>_xlfn.IFNA(
INDEX(CA!C$2:C$78,MATCH($E42,CA!$A$2:$A$78,0)),
"")</f>
        <v>1-A</v>
      </c>
      <c r="J42" s="60">
        <f>_xlfn.IFNA(
INDEX(CA!D$2:D$78,MATCH($E42,CA!$A$2:$A$78,0)),
"")</f>
        <v>1</v>
      </c>
      <c r="K42" s="58" t="str">
        <f>_xlfn.IFNA(
INDEX(CA!E$2:E$78,MATCH($E42,CA!$A$2:$A$78,0)),
"")</f>
        <v>NORTH</v>
      </c>
      <c r="L42" s="15" t="e">
        <v>#VALUE!</v>
      </c>
      <c r="M42" s="15" t="e">
        <v>#VALUE!</v>
      </c>
      <c r="N42" s="15" t="e">
        <v>#VALUE!</v>
      </c>
      <c r="O42" s="15" t="e">
        <v>#VALUE!</v>
      </c>
      <c r="P42" s="15" t="e">
        <v>#VALUE!</v>
      </c>
      <c r="Q42" s="15" t="e">
        <v>#VALUE!</v>
      </c>
      <c r="R42" s="15" t="e">
        <v>#VALUE!</v>
      </c>
      <c r="S42" s="15" t="e">
        <v>#VALUE!</v>
      </c>
      <c r="T42" s="129">
        <v>0.73658240707916878</v>
      </c>
      <c r="U42" s="130" t="e">
        <f t="shared" si="3"/>
        <v>#VALUE!</v>
      </c>
      <c r="V42" s="129">
        <v>0.7345930493893732</v>
      </c>
      <c r="W42" s="130" t="e">
        <f t="shared" si="0"/>
        <v>#VALUE!</v>
      </c>
      <c r="X42" s="129">
        <v>0.7345930493893732</v>
      </c>
      <c r="Y42" s="130" t="e">
        <f t="shared" si="1"/>
        <v>#VALUE!</v>
      </c>
      <c r="Z42" s="129">
        <v>0.7345930493893732</v>
      </c>
      <c r="AA42" s="130" t="e">
        <f t="shared" si="2"/>
        <v>#VALUE!</v>
      </c>
    </row>
    <row r="43" spans="1:27" x14ac:dyDescent="0.3">
      <c r="A43">
        <v>40201</v>
      </c>
      <c r="B43">
        <v>17031040201</v>
      </c>
      <c r="C43">
        <v>17031</v>
      </c>
      <c r="D43">
        <v>2010</v>
      </c>
      <c r="E43">
        <v>4</v>
      </c>
      <c r="F43">
        <v>7765445.6427319497</v>
      </c>
      <c r="G43" s="43">
        <v>0.27854703436108064</v>
      </c>
      <c r="H43" s="58" t="str">
        <f>_xlfn.IFNA(
INDEX(CA!B$2:B$78,MATCH($E43,CA!$A$2:$A$78,0)),
"")</f>
        <v>LINCOLN SQUARE</v>
      </c>
      <c r="I43" s="60" t="str">
        <f>_xlfn.IFNA(
INDEX(CA!C$2:C$78,MATCH($E43,CA!$A$2:$A$78,0)),
"")</f>
        <v>1-A</v>
      </c>
      <c r="J43" s="60">
        <f>_xlfn.IFNA(
INDEX(CA!D$2:D$78,MATCH($E43,CA!$A$2:$A$78,0)),
"")</f>
        <v>1</v>
      </c>
      <c r="K43" s="58" t="str">
        <f>_xlfn.IFNA(
INDEX(CA!E$2:E$78,MATCH($E43,CA!$A$2:$A$78,0)),
"")</f>
        <v>NORTH</v>
      </c>
      <c r="L43" s="15" t="e">
        <v>#VALUE!</v>
      </c>
      <c r="M43" s="15" t="e">
        <v>#VALUE!</v>
      </c>
      <c r="N43" s="15" t="e">
        <v>#VALUE!</v>
      </c>
      <c r="O43" s="15" t="e">
        <v>#VALUE!</v>
      </c>
      <c r="P43" s="15" t="e">
        <v>#VALUE!</v>
      </c>
      <c r="Q43" s="15" t="e">
        <v>#VALUE!</v>
      </c>
      <c r="R43" s="15" t="e">
        <v>#VALUE!</v>
      </c>
      <c r="S43" s="15" t="e">
        <v>#VALUE!</v>
      </c>
      <c r="T43" s="129">
        <v>0.27485944324445449</v>
      </c>
      <c r="U43" s="130" t="e">
        <f t="shared" si="3"/>
        <v>#VALUE!</v>
      </c>
      <c r="V43" s="129">
        <v>0.274856287261948</v>
      </c>
      <c r="W43" s="130" t="e">
        <f t="shared" si="0"/>
        <v>#VALUE!</v>
      </c>
      <c r="X43" s="129">
        <v>0.274856287261948</v>
      </c>
      <c r="Y43" s="130" t="e">
        <f t="shared" si="1"/>
        <v>#VALUE!</v>
      </c>
      <c r="Z43" s="129">
        <v>0.274856287261948</v>
      </c>
      <c r="AA43" s="130" t="e">
        <f t="shared" si="2"/>
        <v>#VALUE!</v>
      </c>
    </row>
    <row r="44" spans="1:27" x14ac:dyDescent="0.3">
      <c r="A44">
        <v>40300</v>
      </c>
      <c r="B44">
        <v>17031040300</v>
      </c>
      <c r="C44">
        <v>17031</v>
      </c>
      <c r="D44">
        <v>2010</v>
      </c>
      <c r="E44">
        <v>4</v>
      </c>
      <c r="F44">
        <v>8156570.8290910497</v>
      </c>
      <c r="G44" s="43">
        <v>0.29257671993697809</v>
      </c>
      <c r="H44" s="58" t="str">
        <f>_xlfn.IFNA(
INDEX(CA!B$2:B$78,MATCH($E44,CA!$A$2:$A$78,0)),
"")</f>
        <v>LINCOLN SQUARE</v>
      </c>
      <c r="I44" s="60" t="str">
        <f>_xlfn.IFNA(
INDEX(CA!C$2:C$78,MATCH($E44,CA!$A$2:$A$78,0)),
"")</f>
        <v>1-A</v>
      </c>
      <c r="J44" s="60">
        <f>_xlfn.IFNA(
INDEX(CA!D$2:D$78,MATCH($E44,CA!$A$2:$A$78,0)),
"")</f>
        <v>1</v>
      </c>
      <c r="K44" s="58" t="str">
        <f>_xlfn.IFNA(
INDEX(CA!E$2:E$78,MATCH($E44,CA!$A$2:$A$78,0)),
"")</f>
        <v>NORTH</v>
      </c>
      <c r="L44" s="15" t="e">
        <v>#VALUE!</v>
      </c>
      <c r="M44" s="15" t="e">
        <v>#VALUE!</v>
      </c>
      <c r="N44" s="15" t="e">
        <v>#VALUE!</v>
      </c>
      <c r="O44" s="15" t="e">
        <v>#VALUE!</v>
      </c>
      <c r="P44" s="15" t="e">
        <v>#VALUE!</v>
      </c>
      <c r="Q44" s="15" t="e">
        <v>#VALUE!</v>
      </c>
      <c r="R44" s="15" t="e">
        <v>#VALUE!</v>
      </c>
      <c r="S44" s="15" t="e">
        <v>#VALUE!</v>
      </c>
      <c r="T44" s="129">
        <v>0.29257672302743559</v>
      </c>
      <c r="U44" s="130" t="e">
        <f t="shared" si="3"/>
        <v>#VALUE!</v>
      </c>
      <c r="V44" s="129">
        <v>0.29257672302743559</v>
      </c>
      <c r="W44" s="130" t="e">
        <f t="shared" si="0"/>
        <v>#VALUE!</v>
      </c>
      <c r="X44" s="129">
        <v>0.29257672302743559</v>
      </c>
      <c r="Y44" s="130" t="e">
        <f t="shared" si="1"/>
        <v>#VALUE!</v>
      </c>
      <c r="Z44" s="129">
        <v>0.29257672302743559</v>
      </c>
      <c r="AA44" s="130" t="e">
        <f t="shared" si="2"/>
        <v>#VALUE!</v>
      </c>
    </row>
    <row r="45" spans="1:27" x14ac:dyDescent="0.3">
      <c r="A45">
        <v>40700</v>
      </c>
      <c r="B45">
        <v>17031040700</v>
      </c>
      <c r="C45">
        <v>17031</v>
      </c>
      <c r="D45">
        <v>2010</v>
      </c>
      <c r="E45">
        <v>4</v>
      </c>
      <c r="F45">
        <v>3806514.9657587199</v>
      </c>
      <c r="G45" s="43">
        <v>0.1365399365013315</v>
      </c>
      <c r="H45" s="58" t="str">
        <f>_xlfn.IFNA(
INDEX(CA!B$2:B$78,MATCH($E45,CA!$A$2:$A$78,0)),
"")</f>
        <v>LINCOLN SQUARE</v>
      </c>
      <c r="I45" s="60" t="str">
        <f>_xlfn.IFNA(
INDEX(CA!C$2:C$78,MATCH($E45,CA!$A$2:$A$78,0)),
"")</f>
        <v>1-A</v>
      </c>
      <c r="J45" s="60">
        <f>_xlfn.IFNA(
INDEX(CA!D$2:D$78,MATCH($E45,CA!$A$2:$A$78,0)),
"")</f>
        <v>1</v>
      </c>
      <c r="K45" s="58" t="str">
        <f>_xlfn.IFNA(
INDEX(CA!E$2:E$78,MATCH($E45,CA!$A$2:$A$78,0)),
"")</f>
        <v>NORTH</v>
      </c>
      <c r="L45" s="15" t="e">
        <v>#VALUE!</v>
      </c>
      <c r="M45" s="15" t="e">
        <v>#VALUE!</v>
      </c>
      <c r="N45" s="15" t="e">
        <v>#VALUE!</v>
      </c>
      <c r="O45" s="15" t="e">
        <v>#VALUE!</v>
      </c>
      <c r="P45" s="15" t="e">
        <v>#VALUE!</v>
      </c>
      <c r="Q45" s="15" t="e">
        <v>#VALUE!</v>
      </c>
      <c r="R45" s="15" t="e">
        <v>#VALUE!</v>
      </c>
      <c r="S45" s="15" t="e">
        <v>#VALUE!</v>
      </c>
      <c r="T45" s="129">
        <v>0.13653993624418473</v>
      </c>
      <c r="U45" s="130" t="e">
        <f t="shared" si="3"/>
        <v>#VALUE!</v>
      </c>
      <c r="V45" s="129">
        <v>0.13653993624418473</v>
      </c>
      <c r="W45" s="130" t="e">
        <f t="shared" si="0"/>
        <v>#VALUE!</v>
      </c>
      <c r="X45" s="129">
        <v>0.13653993624418473</v>
      </c>
      <c r="Y45" s="130" t="e">
        <f t="shared" si="1"/>
        <v>#VALUE!</v>
      </c>
      <c r="Z45" s="129">
        <v>0.13653993624418473</v>
      </c>
      <c r="AA45" s="130" t="e">
        <f t="shared" si="2"/>
        <v>#VALUE!</v>
      </c>
    </row>
    <row r="46" spans="1:27" x14ac:dyDescent="0.3">
      <c r="A46">
        <v>40900</v>
      </c>
      <c r="B46">
        <v>17031040900</v>
      </c>
      <c r="C46">
        <v>17031</v>
      </c>
      <c r="D46">
        <v>2010</v>
      </c>
      <c r="E46">
        <v>4</v>
      </c>
      <c r="F46">
        <v>3464112.9286965802</v>
      </c>
      <c r="G46" s="43">
        <v>0.12425795342259886</v>
      </c>
      <c r="H46" s="58" t="str">
        <f>_xlfn.IFNA(
INDEX(CA!B$2:B$78,MATCH($E46,CA!$A$2:$A$78,0)),
"")</f>
        <v>LINCOLN SQUARE</v>
      </c>
      <c r="I46" s="60" t="str">
        <f>_xlfn.IFNA(
INDEX(CA!C$2:C$78,MATCH($E46,CA!$A$2:$A$78,0)),
"")</f>
        <v>1-A</v>
      </c>
      <c r="J46" s="60">
        <f>_xlfn.IFNA(
INDEX(CA!D$2:D$78,MATCH($E46,CA!$A$2:$A$78,0)),
"")</f>
        <v>1</v>
      </c>
      <c r="K46" s="58" t="str">
        <f>_xlfn.IFNA(
INDEX(CA!E$2:E$78,MATCH($E46,CA!$A$2:$A$78,0)),
"")</f>
        <v>NORTH</v>
      </c>
      <c r="L46" s="15" t="e">
        <v>#VALUE!</v>
      </c>
      <c r="M46" s="15" t="e">
        <v>#VALUE!</v>
      </c>
      <c r="N46" s="15" t="e">
        <v>#VALUE!</v>
      </c>
      <c r="O46" s="15" t="e">
        <v>#VALUE!</v>
      </c>
      <c r="P46" s="15" t="e">
        <v>#VALUE!</v>
      </c>
      <c r="Q46" s="15" t="e">
        <v>#VALUE!</v>
      </c>
      <c r="R46" s="15" t="e">
        <v>#VALUE!</v>
      </c>
      <c r="S46" s="15" t="e">
        <v>#VALUE!</v>
      </c>
      <c r="T46" s="129">
        <v>0.12425795138629764</v>
      </c>
      <c r="U46" s="130" t="e">
        <f t="shared" si="3"/>
        <v>#VALUE!</v>
      </c>
      <c r="V46" s="129">
        <v>0.12425795138629764</v>
      </c>
      <c r="W46" s="130" t="e">
        <f t="shared" si="0"/>
        <v>#VALUE!</v>
      </c>
      <c r="X46" s="129">
        <v>0.12425795138629764</v>
      </c>
      <c r="Y46" s="130" t="e">
        <f t="shared" si="1"/>
        <v>#VALUE!</v>
      </c>
      <c r="Z46" s="129">
        <v>0.12425795138629764</v>
      </c>
      <c r="AA46" s="130" t="e">
        <f t="shared" si="2"/>
        <v>#VALUE!</v>
      </c>
    </row>
    <row r="47" spans="1:27" x14ac:dyDescent="0.3">
      <c r="A47">
        <v>40600</v>
      </c>
      <c r="B47">
        <v>17031040600</v>
      </c>
      <c r="C47">
        <v>17031</v>
      </c>
      <c r="D47">
        <v>2010</v>
      </c>
      <c r="E47">
        <v>4</v>
      </c>
      <c r="F47">
        <v>3565481.5581336701</v>
      </c>
      <c r="G47" s="43">
        <v>0.12789405267639714</v>
      </c>
      <c r="H47" s="58" t="str">
        <f>_xlfn.IFNA(
INDEX(CA!B$2:B$78,MATCH($E47,CA!$A$2:$A$78,0)),
"")</f>
        <v>LINCOLN SQUARE</v>
      </c>
      <c r="I47" s="60" t="str">
        <f>_xlfn.IFNA(
INDEX(CA!C$2:C$78,MATCH($E47,CA!$A$2:$A$78,0)),
"")</f>
        <v>1-A</v>
      </c>
      <c r="J47" s="60">
        <f>_xlfn.IFNA(
INDEX(CA!D$2:D$78,MATCH($E47,CA!$A$2:$A$78,0)),
"")</f>
        <v>1</v>
      </c>
      <c r="K47" s="58" t="str">
        <f>_xlfn.IFNA(
INDEX(CA!E$2:E$78,MATCH($E47,CA!$A$2:$A$78,0)),
"")</f>
        <v>NORTH</v>
      </c>
      <c r="L47" s="15" t="e">
        <v>#VALUE!</v>
      </c>
      <c r="M47" s="15" t="e">
        <v>#VALUE!</v>
      </c>
      <c r="N47" s="15" t="e">
        <v>#VALUE!</v>
      </c>
      <c r="O47" s="15" t="e">
        <v>#VALUE!</v>
      </c>
      <c r="P47" s="15" t="e">
        <v>#VALUE!</v>
      </c>
      <c r="Q47" s="15" t="e">
        <v>#VALUE!</v>
      </c>
      <c r="R47" s="15" t="e">
        <v>#VALUE!</v>
      </c>
      <c r="S47" s="15" t="e">
        <v>#VALUE!</v>
      </c>
      <c r="T47" s="129">
        <v>0.12789404927672607</v>
      </c>
      <c r="U47" s="130" t="e">
        <f t="shared" si="3"/>
        <v>#VALUE!</v>
      </c>
      <c r="V47" s="129">
        <v>0.12789404927672607</v>
      </c>
      <c r="W47" s="130" t="e">
        <f t="shared" si="0"/>
        <v>#VALUE!</v>
      </c>
      <c r="X47" s="129">
        <v>0.12789404927672607</v>
      </c>
      <c r="Y47" s="130" t="e">
        <f t="shared" si="1"/>
        <v>#VALUE!</v>
      </c>
      <c r="Z47" s="129">
        <v>0.12789404927672607</v>
      </c>
      <c r="AA47" s="130" t="e">
        <f t="shared" si="2"/>
        <v>#VALUE!</v>
      </c>
    </row>
    <row r="48" spans="1:27" x14ac:dyDescent="0.3">
      <c r="A48">
        <v>40402</v>
      </c>
      <c r="B48">
        <v>17031040402</v>
      </c>
      <c r="C48">
        <v>17031</v>
      </c>
      <c r="D48">
        <v>2010</v>
      </c>
      <c r="E48">
        <v>4</v>
      </c>
      <c r="F48">
        <v>6521020.0233904002</v>
      </c>
      <c r="G48" s="43">
        <v>0.23390940740467173</v>
      </c>
      <c r="H48" s="58" t="str">
        <f>_xlfn.IFNA(
INDEX(CA!B$2:B$78,MATCH($E48,CA!$A$2:$A$78,0)),
"")</f>
        <v>LINCOLN SQUARE</v>
      </c>
      <c r="I48" s="60" t="str">
        <f>_xlfn.IFNA(
INDEX(CA!C$2:C$78,MATCH($E48,CA!$A$2:$A$78,0)),
"")</f>
        <v>1-A</v>
      </c>
      <c r="J48" s="60">
        <f>_xlfn.IFNA(
INDEX(CA!D$2:D$78,MATCH($E48,CA!$A$2:$A$78,0)),
"")</f>
        <v>1</v>
      </c>
      <c r="K48" s="58" t="str">
        <f>_xlfn.IFNA(
INDEX(CA!E$2:E$78,MATCH($E48,CA!$A$2:$A$78,0)),
"")</f>
        <v>NORTH</v>
      </c>
      <c r="L48" s="15" t="e">
        <v>#VALUE!</v>
      </c>
      <c r="M48" s="15" t="e">
        <v>#VALUE!</v>
      </c>
      <c r="N48" s="15" t="e">
        <v>#VALUE!</v>
      </c>
      <c r="O48" s="15" t="e">
        <v>#VALUE!</v>
      </c>
      <c r="P48" s="15" t="e">
        <v>#VALUE!</v>
      </c>
      <c r="Q48" s="15" t="e">
        <v>#VALUE!</v>
      </c>
      <c r="R48" s="15" t="e">
        <v>#VALUE!</v>
      </c>
      <c r="S48" s="15" t="e">
        <v>#VALUE!</v>
      </c>
      <c r="T48" s="129">
        <v>0.23390940821105227</v>
      </c>
      <c r="U48" s="130" t="e">
        <f t="shared" si="3"/>
        <v>#VALUE!</v>
      </c>
      <c r="V48" s="129">
        <v>0.23390940821105227</v>
      </c>
      <c r="W48" s="130" t="e">
        <f t="shared" si="0"/>
        <v>#VALUE!</v>
      </c>
      <c r="X48" s="129">
        <v>0.23390940821105227</v>
      </c>
      <c r="Y48" s="130" t="e">
        <f t="shared" si="1"/>
        <v>#VALUE!</v>
      </c>
      <c r="Z48" s="129">
        <v>0.23390940821105227</v>
      </c>
      <c r="AA48" s="130" t="e">
        <f t="shared" si="2"/>
        <v>#VALUE!</v>
      </c>
    </row>
    <row r="49" spans="1:27" x14ac:dyDescent="0.3">
      <c r="A49">
        <v>830800</v>
      </c>
      <c r="B49">
        <v>17031830800</v>
      </c>
      <c r="C49">
        <v>17031</v>
      </c>
      <c r="D49">
        <v>2010</v>
      </c>
      <c r="E49">
        <v>4</v>
      </c>
      <c r="F49">
        <v>3622478.9243036699</v>
      </c>
      <c r="G49" s="43">
        <v>0.12993855186465758</v>
      </c>
      <c r="H49" s="58" t="str">
        <f>_xlfn.IFNA(
INDEX(CA!B$2:B$78,MATCH($E49,CA!$A$2:$A$78,0)),
"")</f>
        <v>LINCOLN SQUARE</v>
      </c>
      <c r="I49" s="60" t="str">
        <f>_xlfn.IFNA(
INDEX(CA!C$2:C$78,MATCH($E49,CA!$A$2:$A$78,0)),
"")</f>
        <v>1-A</v>
      </c>
      <c r="J49" s="60">
        <f>_xlfn.IFNA(
INDEX(CA!D$2:D$78,MATCH($E49,CA!$A$2:$A$78,0)),
"")</f>
        <v>1</v>
      </c>
      <c r="K49" s="58" t="str">
        <f>_xlfn.IFNA(
INDEX(CA!E$2:E$78,MATCH($E49,CA!$A$2:$A$78,0)),
"")</f>
        <v>NORTH</v>
      </c>
      <c r="L49" s="15" t="e">
        <v>#VALUE!</v>
      </c>
      <c r="M49" s="15" t="e">
        <v>#VALUE!</v>
      </c>
      <c r="N49" s="15" t="e">
        <v>#VALUE!</v>
      </c>
      <c r="O49" s="15" t="e">
        <v>#VALUE!</v>
      </c>
      <c r="P49" s="15" t="e">
        <v>#VALUE!</v>
      </c>
      <c r="Q49" s="15" t="e">
        <v>#VALUE!</v>
      </c>
      <c r="R49" s="15" t="e">
        <v>#VALUE!</v>
      </c>
      <c r="S49" s="15" t="e">
        <v>#VALUE!</v>
      </c>
      <c r="T49" s="129">
        <v>0.12993855401326762</v>
      </c>
      <c r="U49" s="130" t="e">
        <f t="shared" si="3"/>
        <v>#VALUE!</v>
      </c>
      <c r="V49" s="129">
        <v>0.12993855401326762</v>
      </c>
      <c r="W49" s="130" t="e">
        <f t="shared" si="0"/>
        <v>#VALUE!</v>
      </c>
      <c r="X49" s="129">
        <v>0.12993855401326762</v>
      </c>
      <c r="Y49" s="130" t="e">
        <f t="shared" si="1"/>
        <v>#VALUE!</v>
      </c>
      <c r="Z49" s="129">
        <v>0.12993855401326762</v>
      </c>
      <c r="AA49" s="130" t="e">
        <f t="shared" si="2"/>
        <v>#VALUE!</v>
      </c>
    </row>
    <row r="50" spans="1:27" x14ac:dyDescent="0.3">
      <c r="A50">
        <v>40401</v>
      </c>
      <c r="B50">
        <v>17031040401</v>
      </c>
      <c r="C50">
        <v>17031</v>
      </c>
      <c r="D50">
        <v>2010</v>
      </c>
      <c r="E50">
        <v>4</v>
      </c>
      <c r="F50">
        <v>4118151.4362222501</v>
      </c>
      <c r="G50" s="43">
        <v>0.14771835672858738</v>
      </c>
      <c r="H50" s="58" t="str">
        <f>_xlfn.IFNA(
INDEX(CA!B$2:B$78,MATCH($E50,CA!$A$2:$A$78,0)),
"")</f>
        <v>LINCOLN SQUARE</v>
      </c>
      <c r="I50" s="60" t="str">
        <f>_xlfn.IFNA(
INDEX(CA!C$2:C$78,MATCH($E50,CA!$A$2:$A$78,0)),
"")</f>
        <v>1-A</v>
      </c>
      <c r="J50" s="60">
        <f>_xlfn.IFNA(
INDEX(CA!D$2:D$78,MATCH($E50,CA!$A$2:$A$78,0)),
"")</f>
        <v>1</v>
      </c>
      <c r="K50" s="58" t="str">
        <f>_xlfn.IFNA(
INDEX(CA!E$2:E$78,MATCH($E50,CA!$A$2:$A$78,0)),
"")</f>
        <v>NORTH</v>
      </c>
      <c r="L50" s="15" t="e">
        <v>#VALUE!</v>
      </c>
      <c r="M50" s="15" t="e">
        <v>#VALUE!</v>
      </c>
      <c r="N50" s="15" t="e">
        <v>#VALUE!</v>
      </c>
      <c r="O50" s="15" t="e">
        <v>#VALUE!</v>
      </c>
      <c r="P50" s="15" t="e">
        <v>#VALUE!</v>
      </c>
      <c r="Q50" s="15" t="e">
        <v>#VALUE!</v>
      </c>
      <c r="R50" s="15" t="e">
        <v>#VALUE!</v>
      </c>
      <c r="S50" s="15" t="e">
        <v>#VALUE!</v>
      </c>
      <c r="T50" s="129">
        <v>0.14771531440156538</v>
      </c>
      <c r="U50" s="130" t="e">
        <f t="shared" si="3"/>
        <v>#VALUE!</v>
      </c>
      <c r="V50" s="129">
        <v>0.14771513951612897</v>
      </c>
      <c r="W50" s="130" t="e">
        <f t="shared" si="0"/>
        <v>#VALUE!</v>
      </c>
      <c r="X50" s="129">
        <v>0.14771513951612897</v>
      </c>
      <c r="Y50" s="130" t="e">
        <f t="shared" si="1"/>
        <v>#VALUE!</v>
      </c>
      <c r="Z50" s="129">
        <v>0.14771513951612897</v>
      </c>
      <c r="AA50" s="130" t="e">
        <f t="shared" si="2"/>
        <v>#VALUE!</v>
      </c>
    </row>
    <row r="51" spans="1:27" x14ac:dyDescent="0.3">
      <c r="A51">
        <v>40202</v>
      </c>
      <c r="B51">
        <v>17031040202</v>
      </c>
      <c r="C51">
        <v>17031</v>
      </c>
      <c r="D51">
        <v>2010</v>
      </c>
      <c r="E51">
        <v>4</v>
      </c>
      <c r="F51">
        <v>6336751.4003361696</v>
      </c>
      <c r="G51" s="43">
        <v>0.22729968005108506</v>
      </c>
      <c r="H51" s="58" t="str">
        <f>_xlfn.IFNA(
INDEX(CA!B$2:B$78,MATCH($E51,CA!$A$2:$A$78,0)),
"")</f>
        <v>LINCOLN SQUARE</v>
      </c>
      <c r="I51" s="60" t="str">
        <f>_xlfn.IFNA(
INDEX(CA!C$2:C$78,MATCH($E51,CA!$A$2:$A$78,0)),
"")</f>
        <v>1-A</v>
      </c>
      <c r="J51" s="60">
        <f>_xlfn.IFNA(
INDEX(CA!D$2:D$78,MATCH($E51,CA!$A$2:$A$78,0)),
"")</f>
        <v>1</v>
      </c>
      <c r="K51" s="58" t="str">
        <f>_xlfn.IFNA(
INDEX(CA!E$2:E$78,MATCH($E51,CA!$A$2:$A$78,0)),
"")</f>
        <v>NORTH</v>
      </c>
      <c r="L51" s="15" t="e">
        <v>#VALUE!</v>
      </c>
      <c r="M51" s="15" t="e">
        <v>#VALUE!</v>
      </c>
      <c r="N51" s="15" t="e">
        <v>#VALUE!</v>
      </c>
      <c r="O51" s="15" t="e">
        <v>#VALUE!</v>
      </c>
      <c r="P51" s="15" t="e">
        <v>#VALUE!</v>
      </c>
      <c r="Q51" s="15" t="e">
        <v>#VALUE!</v>
      </c>
      <c r="R51" s="15" t="e">
        <v>#VALUE!</v>
      </c>
      <c r="S51" s="15" t="e">
        <v>#VALUE!</v>
      </c>
      <c r="T51" s="129">
        <v>0.22687284422318929</v>
      </c>
      <c r="U51" s="130" t="e">
        <f t="shared" si="3"/>
        <v>#VALUE!</v>
      </c>
      <c r="V51" s="129">
        <v>0.22687284422318929</v>
      </c>
      <c r="W51" s="130" t="e">
        <f t="shared" si="0"/>
        <v>#VALUE!</v>
      </c>
      <c r="X51" s="129">
        <v>0.22687284422318929</v>
      </c>
      <c r="Y51" s="130" t="e">
        <f t="shared" si="1"/>
        <v>#VALUE!</v>
      </c>
      <c r="Z51" s="129">
        <v>0.22687284422318929</v>
      </c>
      <c r="AA51" s="130" t="e">
        <f t="shared" si="2"/>
        <v>#VALUE!</v>
      </c>
    </row>
    <row r="52" spans="1:27" x14ac:dyDescent="0.3">
      <c r="A52">
        <v>40800</v>
      </c>
      <c r="B52">
        <v>17031040800</v>
      </c>
      <c r="C52">
        <v>17031</v>
      </c>
      <c r="D52">
        <v>2010</v>
      </c>
      <c r="E52">
        <v>4</v>
      </c>
      <c r="F52">
        <v>2450107.6949073798</v>
      </c>
      <c r="G52" s="43">
        <v>8.7885520507180459E-2</v>
      </c>
      <c r="H52" s="58" t="str">
        <f>_xlfn.IFNA(
INDEX(CA!B$2:B$78,MATCH($E52,CA!$A$2:$A$78,0)),
"")</f>
        <v>LINCOLN SQUARE</v>
      </c>
      <c r="I52" s="60" t="str">
        <f>_xlfn.IFNA(
INDEX(CA!C$2:C$78,MATCH($E52,CA!$A$2:$A$78,0)),
"")</f>
        <v>1-A</v>
      </c>
      <c r="J52" s="60">
        <f>_xlfn.IFNA(
INDEX(CA!D$2:D$78,MATCH($E52,CA!$A$2:$A$78,0)),
"")</f>
        <v>1</v>
      </c>
      <c r="K52" s="58" t="str">
        <f>_xlfn.IFNA(
INDEX(CA!E$2:E$78,MATCH($E52,CA!$A$2:$A$78,0)),
"")</f>
        <v>NORTH</v>
      </c>
      <c r="L52" s="15" t="e">
        <v>#VALUE!</v>
      </c>
      <c r="M52" s="15" t="e">
        <v>#VALUE!</v>
      </c>
      <c r="N52" s="15" t="e">
        <v>#VALUE!</v>
      </c>
      <c r="O52" s="15" t="e">
        <v>#VALUE!</v>
      </c>
      <c r="P52" s="15" t="e">
        <v>#VALUE!</v>
      </c>
      <c r="Q52" s="15" t="e">
        <v>#VALUE!</v>
      </c>
      <c r="R52" s="15" t="e">
        <v>#VALUE!</v>
      </c>
      <c r="S52" s="15" t="e">
        <v>#VALUE!</v>
      </c>
      <c r="T52" s="129">
        <v>8.7885524043970958E-2</v>
      </c>
      <c r="U52" s="130" t="e">
        <f t="shared" si="3"/>
        <v>#VALUE!</v>
      </c>
      <c r="V52" s="129">
        <v>8.7885524043970958E-2</v>
      </c>
      <c r="W52" s="130" t="e">
        <f t="shared" si="0"/>
        <v>#VALUE!</v>
      </c>
      <c r="X52" s="129">
        <v>8.7885524043970958E-2</v>
      </c>
      <c r="Y52" s="130" t="e">
        <f t="shared" si="1"/>
        <v>#VALUE!</v>
      </c>
      <c r="Z52" s="129">
        <v>8.7885524043970958E-2</v>
      </c>
      <c r="AA52" s="130" t="e">
        <f t="shared" si="2"/>
        <v>#VALUE!</v>
      </c>
    </row>
    <row r="53" spans="1:27" x14ac:dyDescent="0.3">
      <c r="A53">
        <v>400300</v>
      </c>
      <c r="B53">
        <v>17031400300</v>
      </c>
      <c r="C53">
        <v>17031</v>
      </c>
      <c r="D53">
        <v>2010</v>
      </c>
      <c r="E53">
        <v>40</v>
      </c>
      <c r="F53">
        <v>15747612.788386701</v>
      </c>
      <c r="G53" s="43">
        <v>0.5648678829626772</v>
      </c>
      <c r="H53" s="58" t="str">
        <f>_xlfn.IFNA(
INDEX(CA!B$2:B$78,MATCH($E53,CA!$A$2:$A$78,0)),
"")</f>
        <v>WASHINGTON PARK</v>
      </c>
      <c r="I53" s="60" t="str">
        <f>_xlfn.IFNA(
INDEX(CA!C$2:C$78,MATCH($E53,CA!$A$2:$A$78,0)),
"")</f>
        <v>6-B</v>
      </c>
      <c r="J53" s="60">
        <f>_xlfn.IFNA(
INDEX(CA!D$2:D$78,MATCH($E53,CA!$A$2:$A$78,0)),
"")</f>
        <v>6</v>
      </c>
      <c r="K53" s="58" t="str">
        <f>_xlfn.IFNA(
INDEX(CA!E$2:E$78,MATCH($E53,CA!$A$2:$A$78,0)),
"")</f>
        <v>SOUTH</v>
      </c>
      <c r="L53" s="15" t="e">
        <v>#VALUE!</v>
      </c>
      <c r="M53" s="15" t="e">
        <v>#VALUE!</v>
      </c>
      <c r="N53" s="15" t="e">
        <v>#VALUE!</v>
      </c>
      <c r="O53" s="15" t="e">
        <v>#VALUE!</v>
      </c>
      <c r="P53" s="15" t="e">
        <v>#VALUE!</v>
      </c>
      <c r="Q53" s="15" t="e">
        <v>#VALUE!</v>
      </c>
      <c r="R53" s="15" t="e">
        <v>#VALUE!</v>
      </c>
      <c r="S53" s="15" t="e">
        <v>#VALUE!</v>
      </c>
      <c r="T53" s="129">
        <v>0.5642180246492553</v>
      </c>
      <c r="U53" s="130" t="e">
        <f t="shared" si="3"/>
        <v>#VALUE!</v>
      </c>
      <c r="V53" s="129">
        <v>0.5642180246492553</v>
      </c>
      <c r="W53" s="130" t="e">
        <f t="shared" si="0"/>
        <v>#VALUE!</v>
      </c>
      <c r="X53" s="129">
        <v>0.5642180246492553</v>
      </c>
      <c r="Y53" s="130" t="e">
        <f t="shared" si="1"/>
        <v>#VALUE!</v>
      </c>
      <c r="Z53" s="129">
        <v>0.5642180246492553</v>
      </c>
      <c r="AA53" s="130" t="e">
        <f t="shared" si="2"/>
        <v>#VALUE!</v>
      </c>
    </row>
    <row r="54" spans="1:27" x14ac:dyDescent="0.3">
      <c r="A54">
        <v>400500</v>
      </c>
      <c r="B54">
        <v>17031400500</v>
      </c>
      <c r="C54">
        <v>17031</v>
      </c>
      <c r="D54">
        <v>2010</v>
      </c>
      <c r="E54">
        <v>40</v>
      </c>
      <c r="F54">
        <v>3510729.2834389601</v>
      </c>
      <c r="G54" s="43">
        <v>0.12593008506366793</v>
      </c>
      <c r="H54" s="58" t="str">
        <f>_xlfn.IFNA(
INDEX(CA!B$2:B$78,MATCH($E54,CA!$A$2:$A$78,0)),
"")</f>
        <v>WASHINGTON PARK</v>
      </c>
      <c r="I54" s="60" t="str">
        <f>_xlfn.IFNA(
INDEX(CA!C$2:C$78,MATCH($E54,CA!$A$2:$A$78,0)),
"")</f>
        <v>6-B</v>
      </c>
      <c r="J54" s="60">
        <f>_xlfn.IFNA(
INDEX(CA!D$2:D$78,MATCH($E54,CA!$A$2:$A$78,0)),
"")</f>
        <v>6</v>
      </c>
      <c r="K54" s="58" t="str">
        <f>_xlfn.IFNA(
INDEX(CA!E$2:E$78,MATCH($E54,CA!$A$2:$A$78,0)),
"")</f>
        <v>SOUTH</v>
      </c>
      <c r="L54" s="15" t="e">
        <v>#VALUE!</v>
      </c>
      <c r="M54" s="15" t="e">
        <v>#VALUE!</v>
      </c>
      <c r="N54" s="15" t="e">
        <v>#VALUE!</v>
      </c>
      <c r="O54" s="15" t="e">
        <v>#VALUE!</v>
      </c>
      <c r="P54" s="15" t="e">
        <v>#VALUE!</v>
      </c>
      <c r="Q54" s="15" t="e">
        <v>#VALUE!</v>
      </c>
      <c r="R54" s="15" t="e">
        <v>#VALUE!</v>
      </c>
      <c r="S54" s="15" t="e">
        <v>#VALUE!</v>
      </c>
      <c r="T54" s="129">
        <v>0.124947194567812</v>
      </c>
      <c r="U54" s="130" t="e">
        <f t="shared" si="3"/>
        <v>#VALUE!</v>
      </c>
      <c r="V54" s="129">
        <v>0.124947194567812</v>
      </c>
      <c r="W54" s="130" t="e">
        <f t="shared" si="0"/>
        <v>#VALUE!</v>
      </c>
      <c r="X54" s="129">
        <v>0.124947194567812</v>
      </c>
      <c r="Y54" s="130" t="e">
        <f t="shared" si="1"/>
        <v>#VALUE!</v>
      </c>
      <c r="Z54" s="129">
        <v>0.124947194567812</v>
      </c>
      <c r="AA54" s="130" t="e">
        <f t="shared" si="2"/>
        <v>#VALUE!</v>
      </c>
    </row>
    <row r="55" spans="1:27" x14ac:dyDescent="0.3">
      <c r="A55">
        <v>836100</v>
      </c>
      <c r="B55">
        <v>17031836100</v>
      </c>
      <c r="C55">
        <v>17031</v>
      </c>
      <c r="D55">
        <v>2010</v>
      </c>
      <c r="E55">
        <v>40</v>
      </c>
      <c r="F55">
        <v>9283256.5808077306</v>
      </c>
      <c r="G55" s="43">
        <v>0.33299101027346373</v>
      </c>
      <c r="H55" s="58" t="str">
        <f>_xlfn.IFNA(
INDEX(CA!B$2:B$78,MATCH($E55,CA!$A$2:$A$78,0)),
"")</f>
        <v>WASHINGTON PARK</v>
      </c>
      <c r="I55" s="60" t="str">
        <f>_xlfn.IFNA(
INDEX(CA!C$2:C$78,MATCH($E55,CA!$A$2:$A$78,0)),
"")</f>
        <v>6-B</v>
      </c>
      <c r="J55" s="60">
        <f>_xlfn.IFNA(
INDEX(CA!D$2:D$78,MATCH($E55,CA!$A$2:$A$78,0)),
"")</f>
        <v>6</v>
      </c>
      <c r="K55" s="58" t="str">
        <f>_xlfn.IFNA(
INDEX(CA!E$2:E$78,MATCH($E55,CA!$A$2:$A$78,0)),
"")</f>
        <v>SOUTH</v>
      </c>
      <c r="L55" s="15" t="e">
        <v>#VALUE!</v>
      </c>
      <c r="M55" s="15" t="e">
        <v>#VALUE!</v>
      </c>
      <c r="N55" s="15" t="e">
        <v>#VALUE!</v>
      </c>
      <c r="O55" s="15" t="e">
        <v>#VALUE!</v>
      </c>
      <c r="P55" s="15" t="e">
        <v>#VALUE!</v>
      </c>
      <c r="Q55" s="15" t="e">
        <v>#VALUE!</v>
      </c>
      <c r="R55" s="15" t="e">
        <v>#VALUE!</v>
      </c>
      <c r="S55" s="15" t="e">
        <v>#VALUE!</v>
      </c>
      <c r="T55" s="129">
        <v>0.25709781236901547</v>
      </c>
      <c r="U55" s="130" t="e">
        <f t="shared" si="3"/>
        <v>#VALUE!</v>
      </c>
      <c r="V55" s="129">
        <v>0.25709781236901547</v>
      </c>
      <c r="W55" s="130" t="e">
        <f t="shared" si="0"/>
        <v>#VALUE!</v>
      </c>
      <c r="X55" s="129">
        <v>0.25709781236901547</v>
      </c>
      <c r="Y55" s="130" t="e">
        <f t="shared" si="1"/>
        <v>#VALUE!</v>
      </c>
      <c r="Z55" s="129">
        <v>0.25709781236901547</v>
      </c>
      <c r="AA55" s="130" t="e">
        <f t="shared" si="2"/>
        <v>#VALUE!</v>
      </c>
    </row>
    <row r="56" spans="1:27" x14ac:dyDescent="0.3">
      <c r="A56">
        <v>400400</v>
      </c>
      <c r="B56">
        <v>17031400400</v>
      </c>
      <c r="C56">
        <v>17031</v>
      </c>
      <c r="D56">
        <v>2010</v>
      </c>
      <c r="E56">
        <v>40</v>
      </c>
      <c r="F56">
        <v>3519116.8112254501</v>
      </c>
      <c r="G56" s="43">
        <v>0.12623094622451253</v>
      </c>
      <c r="H56" s="58" t="str">
        <f>_xlfn.IFNA(
INDEX(CA!B$2:B$78,MATCH($E56,CA!$A$2:$A$78,0)),
"")</f>
        <v>WASHINGTON PARK</v>
      </c>
      <c r="I56" s="60" t="str">
        <f>_xlfn.IFNA(
INDEX(CA!C$2:C$78,MATCH($E56,CA!$A$2:$A$78,0)),
"")</f>
        <v>6-B</v>
      </c>
      <c r="J56" s="60">
        <f>_xlfn.IFNA(
INDEX(CA!D$2:D$78,MATCH($E56,CA!$A$2:$A$78,0)),
"")</f>
        <v>6</v>
      </c>
      <c r="K56" s="58" t="str">
        <f>_xlfn.IFNA(
INDEX(CA!E$2:E$78,MATCH($E56,CA!$A$2:$A$78,0)),
"")</f>
        <v>SOUTH</v>
      </c>
      <c r="L56" s="15" t="e">
        <v>#VALUE!</v>
      </c>
      <c r="M56" s="15" t="e">
        <v>#VALUE!</v>
      </c>
      <c r="N56" s="15" t="e">
        <v>#VALUE!</v>
      </c>
      <c r="O56" s="15" t="e">
        <v>#VALUE!</v>
      </c>
      <c r="P56" s="15" t="e">
        <v>#VALUE!</v>
      </c>
      <c r="Q56" s="15" t="e">
        <v>#VALUE!</v>
      </c>
      <c r="R56" s="15" t="e">
        <v>#VALUE!</v>
      </c>
      <c r="S56" s="15" t="e">
        <v>#VALUE!</v>
      </c>
      <c r="T56" s="129">
        <v>0.12623095218619648</v>
      </c>
      <c r="U56" s="130" t="e">
        <f t="shared" si="3"/>
        <v>#VALUE!</v>
      </c>
      <c r="V56" s="129">
        <v>0.12623095218619648</v>
      </c>
      <c r="W56" s="130" t="e">
        <f t="shared" si="0"/>
        <v>#VALUE!</v>
      </c>
      <c r="X56" s="129">
        <v>0.12623095218619648</v>
      </c>
      <c r="Y56" s="130" t="e">
        <f t="shared" si="1"/>
        <v>#VALUE!</v>
      </c>
      <c r="Z56" s="129">
        <v>0.12623095218619648</v>
      </c>
      <c r="AA56" s="130" t="e">
        <f t="shared" si="2"/>
        <v>#VALUE!</v>
      </c>
    </row>
    <row r="57" spans="1:27" x14ac:dyDescent="0.3">
      <c r="A57">
        <v>400800</v>
      </c>
      <c r="B57">
        <v>17031400800</v>
      </c>
      <c r="C57">
        <v>17031</v>
      </c>
      <c r="D57">
        <v>2010</v>
      </c>
      <c r="E57">
        <v>40</v>
      </c>
      <c r="F57">
        <v>5309752.8397975201</v>
      </c>
      <c r="G57" s="43">
        <v>0.19046117566996384</v>
      </c>
      <c r="H57" s="58" t="str">
        <f>_xlfn.IFNA(
INDEX(CA!B$2:B$78,MATCH($E57,CA!$A$2:$A$78,0)),
"")</f>
        <v>WASHINGTON PARK</v>
      </c>
      <c r="I57" s="60" t="str">
        <f>_xlfn.IFNA(
INDEX(CA!C$2:C$78,MATCH($E57,CA!$A$2:$A$78,0)),
"")</f>
        <v>6-B</v>
      </c>
      <c r="J57" s="60">
        <f>_xlfn.IFNA(
INDEX(CA!D$2:D$78,MATCH($E57,CA!$A$2:$A$78,0)),
"")</f>
        <v>6</v>
      </c>
      <c r="K57" s="58" t="str">
        <f>_xlfn.IFNA(
INDEX(CA!E$2:E$78,MATCH($E57,CA!$A$2:$A$78,0)),
"")</f>
        <v>SOUTH</v>
      </c>
      <c r="L57" s="15" t="e">
        <v>#VALUE!</v>
      </c>
      <c r="M57" s="15" t="e">
        <v>#VALUE!</v>
      </c>
      <c r="N57" s="15" t="e">
        <v>#VALUE!</v>
      </c>
      <c r="O57" s="15" t="e">
        <v>#VALUE!</v>
      </c>
      <c r="P57" s="15" t="e">
        <v>#VALUE!</v>
      </c>
      <c r="Q57" s="15" t="e">
        <v>#VALUE!</v>
      </c>
      <c r="R57" s="15" t="e">
        <v>#VALUE!</v>
      </c>
      <c r="S57" s="15" t="e">
        <v>#VALUE!</v>
      </c>
      <c r="T57" s="129">
        <v>0.18986775131361375</v>
      </c>
      <c r="U57" s="130" t="e">
        <f t="shared" si="3"/>
        <v>#VALUE!</v>
      </c>
      <c r="V57" s="129">
        <v>0.18523500773405646</v>
      </c>
      <c r="W57" s="130" t="e">
        <f t="shared" si="0"/>
        <v>#VALUE!</v>
      </c>
      <c r="X57" s="129">
        <v>0.18523500773405646</v>
      </c>
      <c r="Y57" s="130" t="e">
        <f t="shared" si="1"/>
        <v>#VALUE!</v>
      </c>
      <c r="Z57" s="129">
        <v>0.18523500773405646</v>
      </c>
      <c r="AA57" s="130" t="e">
        <f t="shared" si="2"/>
        <v>#VALUE!</v>
      </c>
    </row>
    <row r="58" spans="1:27" x14ac:dyDescent="0.3">
      <c r="A58">
        <v>834500</v>
      </c>
      <c r="B58">
        <v>17031834500</v>
      </c>
      <c r="C58">
        <v>17031</v>
      </c>
      <c r="D58">
        <v>2010</v>
      </c>
      <c r="E58">
        <v>40</v>
      </c>
      <c r="F58">
        <v>5003413.18061567</v>
      </c>
      <c r="G58" s="43">
        <v>0.17947275240385641</v>
      </c>
      <c r="H58" s="58" t="str">
        <f>_xlfn.IFNA(
INDEX(CA!B$2:B$78,MATCH($E58,CA!$A$2:$A$78,0)),
"")</f>
        <v>WASHINGTON PARK</v>
      </c>
      <c r="I58" s="60" t="str">
        <f>_xlfn.IFNA(
INDEX(CA!C$2:C$78,MATCH($E58,CA!$A$2:$A$78,0)),
"")</f>
        <v>6-B</v>
      </c>
      <c r="J58" s="60">
        <f>_xlfn.IFNA(
INDEX(CA!D$2:D$78,MATCH($E58,CA!$A$2:$A$78,0)),
"")</f>
        <v>6</v>
      </c>
      <c r="K58" s="58" t="str">
        <f>_xlfn.IFNA(
INDEX(CA!E$2:E$78,MATCH($E58,CA!$A$2:$A$78,0)),
"")</f>
        <v>SOUTH</v>
      </c>
      <c r="L58" s="15" t="e">
        <v>#VALUE!</v>
      </c>
      <c r="M58" s="15" t="e">
        <v>#VALUE!</v>
      </c>
      <c r="N58" s="15" t="e">
        <v>#VALUE!</v>
      </c>
      <c r="O58" s="15" t="e">
        <v>#VALUE!</v>
      </c>
      <c r="P58" s="15" t="e">
        <v>#VALUE!</v>
      </c>
      <c r="Q58" s="15" t="e">
        <v>#VALUE!</v>
      </c>
      <c r="R58" s="15" t="e">
        <v>#VALUE!</v>
      </c>
      <c r="S58" s="15" t="e">
        <v>#VALUE!</v>
      </c>
      <c r="T58" s="129">
        <v>6.3136335413461669E-2</v>
      </c>
      <c r="U58" s="130" t="e">
        <f t="shared" si="3"/>
        <v>#VALUE!</v>
      </c>
      <c r="V58" s="129">
        <v>6.3136315899749273E-2</v>
      </c>
      <c r="W58" s="130" t="e">
        <f t="shared" si="0"/>
        <v>#VALUE!</v>
      </c>
      <c r="X58" s="129">
        <v>6.3136315899749273E-2</v>
      </c>
      <c r="Y58" s="130" t="e">
        <f t="shared" si="1"/>
        <v>#VALUE!</v>
      </c>
      <c r="Z58" s="129">
        <v>6.3136315899749273E-2</v>
      </c>
      <c r="AA58" s="130" t="e">
        <f t="shared" si="2"/>
        <v>#VALUE!</v>
      </c>
    </row>
    <row r="59" spans="1:27" x14ac:dyDescent="0.3">
      <c r="A59">
        <v>411000</v>
      </c>
      <c r="B59">
        <v>17031411000</v>
      </c>
      <c r="C59">
        <v>17031</v>
      </c>
      <c r="D59">
        <v>2010</v>
      </c>
      <c r="E59">
        <v>41</v>
      </c>
      <c r="F59">
        <v>8998191.3578475099</v>
      </c>
      <c r="G59" s="43">
        <v>0.32276570240212887</v>
      </c>
      <c r="H59" s="58" t="str">
        <f>_xlfn.IFNA(
INDEX(CA!B$2:B$78,MATCH($E59,CA!$A$2:$A$78,0)),
"")</f>
        <v>HYDE PARK</v>
      </c>
      <c r="I59" s="60" t="str">
        <f>_xlfn.IFNA(
INDEX(CA!C$2:C$78,MATCH($E59,CA!$A$2:$A$78,0)),
"")</f>
        <v>6-B</v>
      </c>
      <c r="J59" s="60">
        <f>_xlfn.IFNA(
INDEX(CA!D$2:D$78,MATCH($E59,CA!$A$2:$A$78,0)),
"")</f>
        <v>6</v>
      </c>
      <c r="K59" s="58" t="str">
        <f>_xlfn.IFNA(
INDEX(CA!E$2:E$78,MATCH($E59,CA!$A$2:$A$78,0)),
"")</f>
        <v>SOUTH</v>
      </c>
      <c r="L59" s="15" t="e">
        <v>#VALUE!</v>
      </c>
      <c r="M59" s="15" t="e">
        <v>#VALUE!</v>
      </c>
      <c r="N59" s="15" t="e">
        <v>#VALUE!</v>
      </c>
      <c r="O59" s="15" t="e">
        <v>#VALUE!</v>
      </c>
      <c r="P59" s="15" t="e">
        <v>#VALUE!</v>
      </c>
      <c r="Q59" s="15" t="e">
        <v>#VALUE!</v>
      </c>
      <c r="R59" s="15" t="e">
        <v>#VALUE!</v>
      </c>
      <c r="S59" s="15" t="e">
        <v>#VALUE!</v>
      </c>
      <c r="T59" s="129">
        <v>0.32276570107691438</v>
      </c>
      <c r="U59" s="130" t="e">
        <f t="shared" si="3"/>
        <v>#VALUE!</v>
      </c>
      <c r="V59" s="129">
        <v>0.32276570107691438</v>
      </c>
      <c r="W59" s="130" t="e">
        <f t="shared" si="0"/>
        <v>#VALUE!</v>
      </c>
      <c r="X59" s="129">
        <v>0.32276570107691438</v>
      </c>
      <c r="Y59" s="130" t="e">
        <f t="shared" si="1"/>
        <v>#VALUE!</v>
      </c>
      <c r="Z59" s="129">
        <v>0.32276570107691438</v>
      </c>
      <c r="AA59" s="130" t="e">
        <f t="shared" si="2"/>
        <v>#VALUE!</v>
      </c>
    </row>
    <row r="60" spans="1:27" x14ac:dyDescent="0.3">
      <c r="A60">
        <v>836200</v>
      </c>
      <c r="B60">
        <v>17031836200</v>
      </c>
      <c r="C60">
        <v>17031</v>
      </c>
      <c r="D60">
        <v>2010</v>
      </c>
      <c r="E60">
        <v>41</v>
      </c>
      <c r="F60">
        <v>8757872.4141925499</v>
      </c>
      <c r="G60" s="43">
        <v>0.31414544644572678</v>
      </c>
      <c r="H60" s="58" t="str">
        <f>_xlfn.IFNA(
INDEX(CA!B$2:B$78,MATCH($E60,CA!$A$2:$A$78,0)),
"")</f>
        <v>HYDE PARK</v>
      </c>
      <c r="I60" s="60" t="str">
        <f>_xlfn.IFNA(
INDEX(CA!C$2:C$78,MATCH($E60,CA!$A$2:$A$78,0)),
"")</f>
        <v>6-B</v>
      </c>
      <c r="J60" s="60">
        <f>_xlfn.IFNA(
INDEX(CA!D$2:D$78,MATCH($E60,CA!$A$2:$A$78,0)),
"")</f>
        <v>6</v>
      </c>
      <c r="K60" s="58" t="str">
        <f>_xlfn.IFNA(
INDEX(CA!E$2:E$78,MATCH($E60,CA!$A$2:$A$78,0)),
"")</f>
        <v>SOUTH</v>
      </c>
      <c r="L60" s="15" t="e">
        <v>#VALUE!</v>
      </c>
      <c r="M60" s="15" t="e">
        <v>#VALUE!</v>
      </c>
      <c r="N60" s="15" t="e">
        <v>#VALUE!</v>
      </c>
      <c r="O60" s="15" t="e">
        <v>#VALUE!</v>
      </c>
      <c r="P60" s="15" t="e">
        <v>#VALUE!</v>
      </c>
      <c r="Q60" s="15" t="e">
        <v>#VALUE!</v>
      </c>
      <c r="R60" s="15" t="e">
        <v>#VALUE!</v>
      </c>
      <c r="S60" s="15" t="e">
        <v>#VALUE!</v>
      </c>
      <c r="T60" s="129">
        <v>0.2565440642598345</v>
      </c>
      <c r="U60" s="130" t="e">
        <f t="shared" si="3"/>
        <v>#VALUE!</v>
      </c>
      <c r="V60" s="129">
        <v>0.2565440642598345</v>
      </c>
      <c r="W60" s="130" t="e">
        <f t="shared" si="0"/>
        <v>#VALUE!</v>
      </c>
      <c r="X60" s="129">
        <v>0.2565440642598345</v>
      </c>
      <c r="Y60" s="130" t="e">
        <f t="shared" si="1"/>
        <v>#VALUE!</v>
      </c>
      <c r="Z60" s="129">
        <v>0.2565440642598345</v>
      </c>
      <c r="AA60" s="130" t="e">
        <f t="shared" si="2"/>
        <v>#VALUE!</v>
      </c>
    </row>
    <row r="61" spans="1:27" x14ac:dyDescent="0.3">
      <c r="A61">
        <v>836300</v>
      </c>
      <c r="B61">
        <v>17031836300</v>
      </c>
      <c r="C61">
        <v>17031</v>
      </c>
      <c r="D61">
        <v>2010</v>
      </c>
      <c r="E61">
        <v>41</v>
      </c>
      <c r="F61">
        <v>1480287.98335286</v>
      </c>
      <c r="G61" s="43">
        <v>5.3098025114528095E-2</v>
      </c>
      <c r="H61" s="58" t="str">
        <f>_xlfn.IFNA(
INDEX(CA!B$2:B$78,MATCH($E61,CA!$A$2:$A$78,0)),
"")</f>
        <v>HYDE PARK</v>
      </c>
      <c r="I61" s="60" t="str">
        <f>_xlfn.IFNA(
INDEX(CA!C$2:C$78,MATCH($E61,CA!$A$2:$A$78,0)),
"")</f>
        <v>6-B</v>
      </c>
      <c r="J61" s="60">
        <f>_xlfn.IFNA(
INDEX(CA!D$2:D$78,MATCH($E61,CA!$A$2:$A$78,0)),
"")</f>
        <v>6</v>
      </c>
      <c r="K61" s="58" t="str">
        <f>_xlfn.IFNA(
INDEX(CA!E$2:E$78,MATCH($E61,CA!$A$2:$A$78,0)),
"")</f>
        <v>SOUTH</v>
      </c>
      <c r="L61" s="15" t="e">
        <v>#VALUE!</v>
      </c>
      <c r="M61" s="15" t="e">
        <v>#VALUE!</v>
      </c>
      <c r="N61" s="15" t="e">
        <v>#VALUE!</v>
      </c>
      <c r="O61" s="15" t="e">
        <v>#VALUE!</v>
      </c>
      <c r="P61" s="15" t="e">
        <v>#VALUE!</v>
      </c>
      <c r="Q61" s="15" t="e">
        <v>#VALUE!</v>
      </c>
      <c r="R61" s="15" t="e">
        <v>#VALUE!</v>
      </c>
      <c r="S61" s="15" t="e">
        <v>#VALUE!</v>
      </c>
      <c r="T61" s="129">
        <v>5.3098025859157627E-2</v>
      </c>
      <c r="U61" s="130" t="e">
        <f t="shared" si="3"/>
        <v>#VALUE!</v>
      </c>
      <c r="V61" s="129">
        <v>5.3098025859157627E-2</v>
      </c>
      <c r="W61" s="130" t="e">
        <f t="shared" si="0"/>
        <v>#VALUE!</v>
      </c>
      <c r="X61" s="129">
        <v>5.3098025859157627E-2</v>
      </c>
      <c r="Y61" s="130" t="e">
        <f t="shared" si="1"/>
        <v>#VALUE!</v>
      </c>
      <c r="Z61" s="129">
        <v>5.3098025859157627E-2</v>
      </c>
      <c r="AA61" s="130" t="e">
        <f t="shared" si="2"/>
        <v>#VALUE!</v>
      </c>
    </row>
    <row r="62" spans="1:27" x14ac:dyDescent="0.3">
      <c r="A62">
        <v>410700</v>
      </c>
      <c r="B62">
        <v>17031410700</v>
      </c>
      <c r="C62">
        <v>17031</v>
      </c>
      <c r="D62">
        <v>2010</v>
      </c>
      <c r="E62">
        <v>41</v>
      </c>
      <c r="F62">
        <v>2805419.5038999799</v>
      </c>
      <c r="G62" s="43">
        <v>0.10063057793488794</v>
      </c>
      <c r="H62" s="58" t="str">
        <f>_xlfn.IFNA(
INDEX(CA!B$2:B$78,MATCH($E62,CA!$A$2:$A$78,0)),
"")</f>
        <v>HYDE PARK</v>
      </c>
      <c r="I62" s="60" t="str">
        <f>_xlfn.IFNA(
INDEX(CA!C$2:C$78,MATCH($E62,CA!$A$2:$A$78,0)),
"")</f>
        <v>6-B</v>
      </c>
      <c r="J62" s="60">
        <f>_xlfn.IFNA(
INDEX(CA!D$2:D$78,MATCH($E62,CA!$A$2:$A$78,0)),
"")</f>
        <v>6</v>
      </c>
      <c r="K62" s="58" t="str">
        <f>_xlfn.IFNA(
INDEX(CA!E$2:E$78,MATCH($E62,CA!$A$2:$A$78,0)),
"")</f>
        <v>SOUTH</v>
      </c>
      <c r="L62" s="15" t="e">
        <v>#VALUE!</v>
      </c>
      <c r="M62" s="15" t="e">
        <v>#VALUE!</v>
      </c>
      <c r="N62" s="15" t="e">
        <v>#VALUE!</v>
      </c>
      <c r="O62" s="15" t="e">
        <v>#VALUE!</v>
      </c>
      <c r="P62" s="15" t="e">
        <v>#VALUE!</v>
      </c>
      <c r="Q62" s="15" t="e">
        <v>#VALUE!</v>
      </c>
      <c r="R62" s="15" t="e">
        <v>#VALUE!</v>
      </c>
      <c r="S62" s="15" t="e">
        <v>#VALUE!</v>
      </c>
      <c r="T62" s="129">
        <v>0.10063057485075542</v>
      </c>
      <c r="U62" s="130" t="e">
        <f t="shared" si="3"/>
        <v>#VALUE!</v>
      </c>
      <c r="V62" s="129">
        <v>0.10063057485075542</v>
      </c>
      <c r="W62" s="130" t="e">
        <f t="shared" si="0"/>
        <v>#VALUE!</v>
      </c>
      <c r="X62" s="129">
        <v>0.10063057485075542</v>
      </c>
      <c r="Y62" s="130" t="e">
        <f t="shared" si="1"/>
        <v>#VALUE!</v>
      </c>
      <c r="Z62" s="129">
        <v>0.10063057485075542</v>
      </c>
      <c r="AA62" s="130" t="e">
        <f t="shared" si="2"/>
        <v>#VALUE!</v>
      </c>
    </row>
    <row r="63" spans="1:27" x14ac:dyDescent="0.3">
      <c r="A63">
        <v>410900</v>
      </c>
      <c r="B63">
        <v>17031410900</v>
      </c>
      <c r="C63">
        <v>17031</v>
      </c>
      <c r="D63">
        <v>2010</v>
      </c>
      <c r="E63">
        <v>41</v>
      </c>
      <c r="F63">
        <v>4108766.36342414</v>
      </c>
      <c r="G63" s="43">
        <v>0.14738171356405461</v>
      </c>
      <c r="H63" s="58" t="str">
        <f>_xlfn.IFNA(
INDEX(CA!B$2:B$78,MATCH($E63,CA!$A$2:$A$78,0)),
"")</f>
        <v>HYDE PARK</v>
      </c>
      <c r="I63" s="60" t="str">
        <f>_xlfn.IFNA(
INDEX(CA!C$2:C$78,MATCH($E63,CA!$A$2:$A$78,0)),
"")</f>
        <v>6-B</v>
      </c>
      <c r="J63" s="60">
        <f>_xlfn.IFNA(
INDEX(CA!D$2:D$78,MATCH($E63,CA!$A$2:$A$78,0)),
"")</f>
        <v>6</v>
      </c>
      <c r="K63" s="58" t="str">
        <f>_xlfn.IFNA(
INDEX(CA!E$2:E$78,MATCH($E63,CA!$A$2:$A$78,0)),
"")</f>
        <v>SOUTH</v>
      </c>
      <c r="L63" s="15" t="e">
        <v>#VALUE!</v>
      </c>
      <c r="M63" s="15" t="e">
        <v>#VALUE!</v>
      </c>
      <c r="N63" s="15" t="e">
        <v>#VALUE!</v>
      </c>
      <c r="O63" s="15" t="e">
        <v>#VALUE!</v>
      </c>
      <c r="P63" s="15" t="e">
        <v>#VALUE!</v>
      </c>
      <c r="Q63" s="15" t="e">
        <v>#VALUE!</v>
      </c>
      <c r="R63" s="15" t="e">
        <v>#VALUE!</v>
      </c>
      <c r="S63" s="15" t="e">
        <v>#VALUE!</v>
      </c>
      <c r="T63" s="129">
        <v>0.14738171761038474</v>
      </c>
      <c r="U63" s="130" t="e">
        <f t="shared" si="3"/>
        <v>#VALUE!</v>
      </c>
      <c r="V63" s="129">
        <v>0.14738171761038474</v>
      </c>
      <c r="W63" s="130" t="e">
        <f t="shared" si="0"/>
        <v>#VALUE!</v>
      </c>
      <c r="X63" s="129">
        <v>0.14738171761038474</v>
      </c>
      <c r="Y63" s="130" t="e">
        <f t="shared" si="1"/>
        <v>#VALUE!</v>
      </c>
      <c r="Z63" s="129">
        <v>0.14738171761038474</v>
      </c>
      <c r="AA63" s="130" t="e">
        <f t="shared" si="2"/>
        <v>#VALUE!</v>
      </c>
    </row>
    <row r="64" spans="1:27" x14ac:dyDescent="0.3">
      <c r="A64">
        <v>410800</v>
      </c>
      <c r="B64">
        <v>17031410800</v>
      </c>
      <c r="C64">
        <v>17031</v>
      </c>
      <c r="D64">
        <v>2010</v>
      </c>
      <c r="E64">
        <v>41</v>
      </c>
      <c r="F64">
        <v>2682843.96377538</v>
      </c>
      <c r="G64" s="43">
        <v>9.6233785431566382E-2</v>
      </c>
      <c r="H64" s="58" t="str">
        <f>_xlfn.IFNA(
INDEX(CA!B$2:B$78,MATCH($E64,CA!$A$2:$A$78,0)),
"")</f>
        <v>HYDE PARK</v>
      </c>
      <c r="I64" s="60" t="str">
        <f>_xlfn.IFNA(
INDEX(CA!C$2:C$78,MATCH($E64,CA!$A$2:$A$78,0)),
"")</f>
        <v>6-B</v>
      </c>
      <c r="J64" s="60">
        <f>_xlfn.IFNA(
INDEX(CA!D$2:D$78,MATCH($E64,CA!$A$2:$A$78,0)),
"")</f>
        <v>6</v>
      </c>
      <c r="K64" s="58" t="str">
        <f>_xlfn.IFNA(
INDEX(CA!E$2:E$78,MATCH($E64,CA!$A$2:$A$78,0)),
"")</f>
        <v>SOUTH</v>
      </c>
      <c r="L64" s="15" t="e">
        <v>#VALUE!</v>
      </c>
      <c r="M64" s="15" t="e">
        <v>#VALUE!</v>
      </c>
      <c r="N64" s="15" t="e">
        <v>#VALUE!</v>
      </c>
      <c r="O64" s="15" t="e">
        <v>#VALUE!</v>
      </c>
      <c r="P64" s="15" t="e">
        <v>#VALUE!</v>
      </c>
      <c r="Q64" s="15" t="e">
        <v>#VALUE!</v>
      </c>
      <c r="R64" s="15" t="e">
        <v>#VALUE!</v>
      </c>
      <c r="S64" s="15" t="e">
        <v>#VALUE!</v>
      </c>
      <c r="T64" s="129">
        <v>9.6233787227662987E-2</v>
      </c>
      <c r="U64" s="130" t="e">
        <f t="shared" si="3"/>
        <v>#VALUE!</v>
      </c>
      <c r="V64" s="129">
        <v>9.6233787227662987E-2</v>
      </c>
      <c r="W64" s="130" t="e">
        <f t="shared" si="0"/>
        <v>#VALUE!</v>
      </c>
      <c r="X64" s="129">
        <v>9.6233787227662987E-2</v>
      </c>
      <c r="Y64" s="130" t="e">
        <f t="shared" si="1"/>
        <v>#VALUE!</v>
      </c>
      <c r="Z64" s="129">
        <v>9.6233787227662987E-2</v>
      </c>
      <c r="AA64" s="130" t="e">
        <f t="shared" si="2"/>
        <v>#VALUE!</v>
      </c>
    </row>
    <row r="65" spans="1:27" x14ac:dyDescent="0.3">
      <c r="A65">
        <v>411100</v>
      </c>
      <c r="B65">
        <v>17031411100</v>
      </c>
      <c r="C65">
        <v>17031</v>
      </c>
      <c r="D65">
        <v>2010</v>
      </c>
      <c r="E65">
        <v>41</v>
      </c>
      <c r="F65">
        <v>3041434.5695413798</v>
      </c>
      <c r="G65" s="43">
        <v>0.10909645351029398</v>
      </c>
      <c r="H65" s="58" t="str">
        <f>_xlfn.IFNA(
INDEX(CA!B$2:B$78,MATCH($E65,CA!$A$2:$A$78,0)),
"")</f>
        <v>HYDE PARK</v>
      </c>
      <c r="I65" s="60" t="str">
        <f>_xlfn.IFNA(
INDEX(CA!C$2:C$78,MATCH($E65,CA!$A$2:$A$78,0)),
"")</f>
        <v>6-B</v>
      </c>
      <c r="J65" s="60">
        <f>_xlfn.IFNA(
INDEX(CA!D$2:D$78,MATCH($E65,CA!$A$2:$A$78,0)),
"")</f>
        <v>6</v>
      </c>
      <c r="K65" s="58" t="str">
        <f>_xlfn.IFNA(
INDEX(CA!E$2:E$78,MATCH($E65,CA!$A$2:$A$78,0)),
"")</f>
        <v>SOUTH</v>
      </c>
      <c r="L65" s="15" t="e">
        <v>#VALUE!</v>
      </c>
      <c r="M65" s="15" t="e">
        <v>#VALUE!</v>
      </c>
      <c r="N65" s="15" t="e">
        <v>#VALUE!</v>
      </c>
      <c r="O65" s="15" t="e">
        <v>#VALUE!</v>
      </c>
      <c r="P65" s="15" t="e">
        <v>#VALUE!</v>
      </c>
      <c r="Q65" s="15" t="e">
        <v>#VALUE!</v>
      </c>
      <c r="R65" s="15" t="e">
        <v>#VALUE!</v>
      </c>
      <c r="S65" s="15" t="e">
        <v>#VALUE!</v>
      </c>
      <c r="T65" s="129">
        <v>0.1090964530161566</v>
      </c>
      <c r="U65" s="130" t="e">
        <f t="shared" si="3"/>
        <v>#VALUE!</v>
      </c>
      <c r="V65" s="129">
        <v>0.1090964530161566</v>
      </c>
      <c r="W65" s="130" t="e">
        <f t="shared" si="0"/>
        <v>#VALUE!</v>
      </c>
      <c r="X65" s="129">
        <v>0.1090964530161566</v>
      </c>
      <c r="Y65" s="130" t="e">
        <f t="shared" si="1"/>
        <v>#VALUE!</v>
      </c>
      <c r="Z65" s="129">
        <v>0.1090964530161566</v>
      </c>
      <c r="AA65" s="130" t="e">
        <f t="shared" si="2"/>
        <v>#VALUE!</v>
      </c>
    </row>
    <row r="66" spans="1:27" x14ac:dyDescent="0.3">
      <c r="A66">
        <v>410600</v>
      </c>
      <c r="B66">
        <v>17031410600</v>
      </c>
      <c r="C66">
        <v>17031</v>
      </c>
      <c r="D66">
        <v>2010</v>
      </c>
      <c r="E66">
        <v>41</v>
      </c>
      <c r="F66">
        <v>2718067.1689149602</v>
      </c>
      <c r="G66" s="43">
        <v>9.7497244064040992E-2</v>
      </c>
      <c r="H66" s="58" t="str">
        <f>_xlfn.IFNA(
INDEX(CA!B$2:B$78,MATCH($E66,CA!$A$2:$A$78,0)),
"")</f>
        <v>HYDE PARK</v>
      </c>
      <c r="I66" s="60" t="str">
        <f>_xlfn.IFNA(
INDEX(CA!C$2:C$78,MATCH($E66,CA!$A$2:$A$78,0)),
"")</f>
        <v>6-B</v>
      </c>
      <c r="J66" s="60">
        <f>_xlfn.IFNA(
INDEX(CA!D$2:D$78,MATCH($E66,CA!$A$2:$A$78,0)),
"")</f>
        <v>6</v>
      </c>
      <c r="K66" s="58" t="str">
        <f>_xlfn.IFNA(
INDEX(CA!E$2:E$78,MATCH($E66,CA!$A$2:$A$78,0)),
"")</f>
        <v>SOUTH</v>
      </c>
      <c r="L66" s="15" t="e">
        <v>#VALUE!</v>
      </c>
      <c r="M66" s="15" t="e">
        <v>#VALUE!</v>
      </c>
      <c r="N66" s="15" t="e">
        <v>#VALUE!</v>
      </c>
      <c r="O66" s="15" t="e">
        <v>#VALUE!</v>
      </c>
      <c r="P66" s="15" t="e">
        <v>#VALUE!</v>
      </c>
      <c r="Q66" s="15" t="e">
        <v>#VALUE!</v>
      </c>
      <c r="R66" s="15" t="e">
        <v>#VALUE!</v>
      </c>
      <c r="S66" s="15" t="e">
        <v>#VALUE!</v>
      </c>
      <c r="T66" s="129">
        <v>9.7497244750462009E-2</v>
      </c>
      <c r="U66" s="130" t="e">
        <f t="shared" si="3"/>
        <v>#VALUE!</v>
      </c>
      <c r="V66" s="129">
        <v>9.7497244750462009E-2</v>
      </c>
      <c r="W66" s="130" t="e">
        <f t="shared" si="0"/>
        <v>#VALUE!</v>
      </c>
      <c r="X66" s="129">
        <v>9.7497244750462009E-2</v>
      </c>
      <c r="Y66" s="130" t="e">
        <f t="shared" si="1"/>
        <v>#VALUE!</v>
      </c>
      <c r="Z66" s="129">
        <v>9.7497244750462009E-2</v>
      </c>
      <c r="AA66" s="130" t="e">
        <f t="shared" si="2"/>
        <v>#VALUE!</v>
      </c>
    </row>
    <row r="67" spans="1:27" x14ac:dyDescent="0.3">
      <c r="A67">
        <v>410200</v>
      </c>
      <c r="B67">
        <v>17031410200</v>
      </c>
      <c r="C67">
        <v>17031</v>
      </c>
      <c r="D67">
        <v>2010</v>
      </c>
      <c r="E67">
        <v>41</v>
      </c>
      <c r="F67">
        <v>697941.31742076296</v>
      </c>
      <c r="G67" s="43">
        <v>2.5035199918961023E-2</v>
      </c>
      <c r="H67" s="58" t="str">
        <f>_xlfn.IFNA(
INDEX(CA!B$2:B$78,MATCH($E67,CA!$A$2:$A$78,0)),
"")</f>
        <v>HYDE PARK</v>
      </c>
      <c r="I67" s="60" t="str">
        <f>_xlfn.IFNA(
INDEX(CA!C$2:C$78,MATCH($E67,CA!$A$2:$A$78,0)),
"")</f>
        <v>6-B</v>
      </c>
      <c r="J67" s="60">
        <f>_xlfn.IFNA(
INDEX(CA!D$2:D$78,MATCH($E67,CA!$A$2:$A$78,0)),
"")</f>
        <v>6</v>
      </c>
      <c r="K67" s="58" t="str">
        <f>_xlfn.IFNA(
INDEX(CA!E$2:E$78,MATCH($E67,CA!$A$2:$A$78,0)),
"")</f>
        <v>SOUTH</v>
      </c>
      <c r="L67" s="15" t="e">
        <v>#VALUE!</v>
      </c>
      <c r="M67" s="15" t="e">
        <v>#VALUE!</v>
      </c>
      <c r="N67" s="15" t="e">
        <v>#VALUE!</v>
      </c>
      <c r="O67" s="15" t="e">
        <v>#VALUE!</v>
      </c>
      <c r="P67" s="15" t="e">
        <v>#VALUE!</v>
      </c>
      <c r="Q67" s="15" t="e">
        <v>#VALUE!</v>
      </c>
      <c r="R67" s="15" t="e">
        <v>#VALUE!</v>
      </c>
      <c r="S67" s="15" t="e">
        <v>#VALUE!</v>
      </c>
      <c r="T67" s="129">
        <v>2.5035201208177409E-2</v>
      </c>
      <c r="U67" s="130" t="e">
        <f t="shared" si="3"/>
        <v>#VALUE!</v>
      </c>
      <c r="V67" s="129">
        <v>2.5035201208177409E-2</v>
      </c>
      <c r="W67" s="130" t="e">
        <f t="shared" si="0"/>
        <v>#VALUE!</v>
      </c>
      <c r="X67" s="129">
        <v>2.5035201208177409E-2</v>
      </c>
      <c r="Y67" s="130" t="e">
        <f t="shared" si="1"/>
        <v>#VALUE!</v>
      </c>
      <c r="Z67" s="129">
        <v>2.5035201208177409E-2</v>
      </c>
      <c r="AA67" s="130" t="e">
        <f t="shared" si="2"/>
        <v>#VALUE!</v>
      </c>
    </row>
    <row r="68" spans="1:27" x14ac:dyDescent="0.3">
      <c r="A68">
        <v>410100</v>
      </c>
      <c r="B68">
        <v>17031410100</v>
      </c>
      <c r="C68">
        <v>17031</v>
      </c>
      <c r="D68">
        <v>2010</v>
      </c>
      <c r="E68">
        <v>41</v>
      </c>
      <c r="F68">
        <v>2640910.15871504</v>
      </c>
      <c r="G68" s="43">
        <v>9.4729617148582412E-2</v>
      </c>
      <c r="H68" s="58" t="str">
        <f>_xlfn.IFNA(
INDEX(CA!B$2:B$78,MATCH($E68,CA!$A$2:$A$78,0)),
"")</f>
        <v>HYDE PARK</v>
      </c>
      <c r="I68" s="60" t="str">
        <f>_xlfn.IFNA(
INDEX(CA!C$2:C$78,MATCH($E68,CA!$A$2:$A$78,0)),
"")</f>
        <v>6-B</v>
      </c>
      <c r="J68" s="60">
        <f>_xlfn.IFNA(
INDEX(CA!D$2:D$78,MATCH($E68,CA!$A$2:$A$78,0)),
"")</f>
        <v>6</v>
      </c>
      <c r="K68" s="58" t="str">
        <f>_xlfn.IFNA(
INDEX(CA!E$2:E$78,MATCH($E68,CA!$A$2:$A$78,0)),
"")</f>
        <v>SOUTH</v>
      </c>
      <c r="L68" s="15" t="e">
        <v>#VALUE!</v>
      </c>
      <c r="M68" s="15" t="e">
        <v>#VALUE!</v>
      </c>
      <c r="N68" s="15" t="e">
        <v>#VALUE!</v>
      </c>
      <c r="O68" s="15" t="e">
        <v>#VALUE!</v>
      </c>
      <c r="P68" s="15" t="e">
        <v>#VALUE!</v>
      </c>
      <c r="Q68" s="15" t="e">
        <v>#VALUE!</v>
      </c>
      <c r="R68" s="15" t="e">
        <v>#VALUE!</v>
      </c>
      <c r="S68" s="15" t="e">
        <v>#VALUE!</v>
      </c>
      <c r="T68" s="129">
        <v>9.4729617644958811E-2</v>
      </c>
      <c r="U68" s="130" t="e">
        <f t="shared" si="3"/>
        <v>#VALUE!</v>
      </c>
      <c r="V68" s="129">
        <v>9.4729617644958811E-2</v>
      </c>
      <c r="W68" s="130" t="e">
        <f t="shared" si="0"/>
        <v>#VALUE!</v>
      </c>
      <c r="X68" s="129">
        <v>9.4729617644958811E-2</v>
      </c>
      <c r="Y68" s="130" t="e">
        <f t="shared" si="1"/>
        <v>#VALUE!</v>
      </c>
      <c r="Z68" s="129">
        <v>9.4729617644958811E-2</v>
      </c>
      <c r="AA68" s="130" t="e">
        <f t="shared" si="2"/>
        <v>#VALUE!</v>
      </c>
    </row>
    <row r="69" spans="1:27" x14ac:dyDescent="0.3">
      <c r="A69">
        <v>411200</v>
      </c>
      <c r="B69">
        <v>17031411200</v>
      </c>
      <c r="C69">
        <v>17031</v>
      </c>
      <c r="D69">
        <v>2010</v>
      </c>
      <c r="E69">
        <v>41</v>
      </c>
      <c r="F69">
        <v>4343092.66323986</v>
      </c>
      <c r="G69" s="43">
        <v>0.15578701300074108</v>
      </c>
      <c r="H69" s="58" t="str">
        <f>_xlfn.IFNA(
INDEX(CA!B$2:B$78,MATCH($E69,CA!$A$2:$A$78,0)),
"")</f>
        <v>HYDE PARK</v>
      </c>
      <c r="I69" s="60" t="str">
        <f>_xlfn.IFNA(
INDEX(CA!C$2:C$78,MATCH($E69,CA!$A$2:$A$78,0)),
"")</f>
        <v>6-B</v>
      </c>
      <c r="J69" s="60">
        <f>_xlfn.IFNA(
INDEX(CA!D$2:D$78,MATCH($E69,CA!$A$2:$A$78,0)),
"")</f>
        <v>6</v>
      </c>
      <c r="K69" s="58" t="str">
        <f>_xlfn.IFNA(
INDEX(CA!E$2:E$78,MATCH($E69,CA!$A$2:$A$78,0)),
"")</f>
        <v>SOUTH</v>
      </c>
      <c r="L69" s="15" t="e">
        <v>#VALUE!</v>
      </c>
      <c r="M69" s="15" t="e">
        <v>#VALUE!</v>
      </c>
      <c r="N69" s="15" t="e">
        <v>#VALUE!</v>
      </c>
      <c r="O69" s="15" t="e">
        <v>#VALUE!</v>
      </c>
      <c r="P69" s="15" t="e">
        <v>#VALUE!</v>
      </c>
      <c r="Q69" s="15" t="e">
        <v>#VALUE!</v>
      </c>
      <c r="R69" s="15" t="e">
        <v>#VALUE!</v>
      </c>
      <c r="S69" s="15" t="e">
        <v>#VALUE!</v>
      </c>
      <c r="T69" s="129">
        <v>0.15246502697005782</v>
      </c>
      <c r="U69" s="130" t="e">
        <f t="shared" si="3"/>
        <v>#VALUE!</v>
      </c>
      <c r="V69" s="129">
        <v>0.15246502697005782</v>
      </c>
      <c r="W69" s="130" t="e">
        <f t="shared" si="0"/>
        <v>#VALUE!</v>
      </c>
      <c r="X69" s="129">
        <v>0.15246502697005782</v>
      </c>
      <c r="Y69" s="130" t="e">
        <f t="shared" si="1"/>
        <v>#VALUE!</v>
      </c>
      <c r="Z69" s="129">
        <v>0.15246502697005782</v>
      </c>
      <c r="AA69" s="130" t="e">
        <f t="shared" si="2"/>
        <v>#VALUE!</v>
      </c>
    </row>
    <row r="70" spans="1:27" x14ac:dyDescent="0.3">
      <c r="A70">
        <v>410500</v>
      </c>
      <c r="B70">
        <v>17031410500</v>
      </c>
      <c r="C70">
        <v>17031</v>
      </c>
      <c r="D70">
        <v>2010</v>
      </c>
      <c r="E70">
        <v>41</v>
      </c>
      <c r="F70">
        <v>2830552.76562683</v>
      </c>
      <c r="G70" s="43">
        <v>0.10153210964857488</v>
      </c>
      <c r="H70" s="58" t="str">
        <f>_xlfn.IFNA(
INDEX(CA!B$2:B$78,MATCH($E70,CA!$A$2:$A$78,0)),
"")</f>
        <v>HYDE PARK</v>
      </c>
      <c r="I70" s="60" t="str">
        <f>_xlfn.IFNA(
INDEX(CA!C$2:C$78,MATCH($E70,CA!$A$2:$A$78,0)),
"")</f>
        <v>6-B</v>
      </c>
      <c r="J70" s="60">
        <f>_xlfn.IFNA(
INDEX(CA!D$2:D$78,MATCH($E70,CA!$A$2:$A$78,0)),
"")</f>
        <v>6</v>
      </c>
      <c r="K70" s="58" t="str">
        <f>_xlfn.IFNA(
INDEX(CA!E$2:E$78,MATCH($E70,CA!$A$2:$A$78,0)),
"")</f>
        <v>SOUTH</v>
      </c>
      <c r="L70" s="15" t="e">
        <v>#VALUE!</v>
      </c>
      <c r="M70" s="15" t="e">
        <v>#VALUE!</v>
      </c>
      <c r="N70" s="15" t="e">
        <v>#VALUE!</v>
      </c>
      <c r="O70" s="15" t="e">
        <v>#VALUE!</v>
      </c>
      <c r="P70" s="15" t="e">
        <v>#VALUE!</v>
      </c>
      <c r="Q70" s="15" t="e">
        <v>#VALUE!</v>
      </c>
      <c r="R70" s="15" t="e">
        <v>#VALUE!</v>
      </c>
      <c r="S70" s="15" t="e">
        <v>#VALUE!</v>
      </c>
      <c r="T70" s="129">
        <v>0.1015321088161401</v>
      </c>
      <c r="U70" s="130" t="e">
        <f t="shared" si="3"/>
        <v>#VALUE!</v>
      </c>
      <c r="V70" s="129">
        <v>0.1015321088161401</v>
      </c>
      <c r="W70" s="130" t="e">
        <f t="shared" ref="W70:W133" si="4">(V70/$G70)*$L70</f>
        <v>#VALUE!</v>
      </c>
      <c r="X70" s="129">
        <v>0.1015321088161401</v>
      </c>
      <c r="Y70" s="130" t="e">
        <f t="shared" ref="Y70:Y133" si="5">(X70/$G70)*$L70</f>
        <v>#VALUE!</v>
      </c>
      <c r="Z70" s="129">
        <v>0.1015321088161401</v>
      </c>
      <c r="AA70" s="130" t="e">
        <f t="shared" ref="AA70:AA133" si="6">(Z70/$G70)*$L70</f>
        <v>#VALUE!</v>
      </c>
    </row>
    <row r="71" spans="1:27" x14ac:dyDescent="0.3">
      <c r="A71">
        <v>420800</v>
      </c>
      <c r="B71">
        <v>17031420800</v>
      </c>
      <c r="C71">
        <v>17031</v>
      </c>
      <c r="D71">
        <v>2010</v>
      </c>
      <c r="E71">
        <v>42</v>
      </c>
      <c r="F71">
        <v>3741634.9054544801</v>
      </c>
      <c r="G71" s="43">
        <v>0.13421268456778296</v>
      </c>
      <c r="H71" s="58" t="str">
        <f>_xlfn.IFNA(
INDEX(CA!B$2:B$78,MATCH($E71,CA!$A$2:$A$78,0)),
"")</f>
        <v>WOODLAWN</v>
      </c>
      <c r="I71" s="60" t="str">
        <f>_xlfn.IFNA(
INDEX(CA!C$2:C$78,MATCH($E71,CA!$A$2:$A$78,0)),
"")</f>
        <v>6-B</v>
      </c>
      <c r="J71" s="60">
        <f>_xlfn.IFNA(
INDEX(CA!D$2:D$78,MATCH($E71,CA!$A$2:$A$78,0)),
"")</f>
        <v>6</v>
      </c>
      <c r="K71" s="58" t="str">
        <f>_xlfn.IFNA(
INDEX(CA!E$2:E$78,MATCH($E71,CA!$A$2:$A$78,0)),
"")</f>
        <v>SOUTH</v>
      </c>
      <c r="L71" s="15" t="e">
        <v>#VALUE!</v>
      </c>
      <c r="M71" s="15" t="e">
        <v>#VALUE!</v>
      </c>
      <c r="N71" s="15" t="e">
        <v>#VALUE!</v>
      </c>
      <c r="O71" s="15" t="e">
        <v>#VALUE!</v>
      </c>
      <c r="P71" s="15" t="e">
        <v>#VALUE!</v>
      </c>
      <c r="Q71" s="15" t="e">
        <v>#VALUE!</v>
      </c>
      <c r="R71" s="15" t="e">
        <v>#VALUE!</v>
      </c>
      <c r="S71" s="15" t="e">
        <v>#VALUE!</v>
      </c>
      <c r="T71" s="129">
        <v>0.13421268297473063</v>
      </c>
      <c r="U71" s="130" t="e">
        <f t="shared" ref="U71:U134" si="7">(T71/$G71)*$L71</f>
        <v>#VALUE!</v>
      </c>
      <c r="V71" s="129">
        <v>0.13421268297473063</v>
      </c>
      <c r="W71" s="130" t="e">
        <f t="shared" si="4"/>
        <v>#VALUE!</v>
      </c>
      <c r="X71" s="129">
        <v>0.13421268297473063</v>
      </c>
      <c r="Y71" s="130" t="e">
        <f t="shared" si="5"/>
        <v>#VALUE!</v>
      </c>
      <c r="Z71" s="129">
        <v>0.13421268297473063</v>
      </c>
      <c r="AA71" s="130" t="e">
        <f t="shared" si="6"/>
        <v>#VALUE!</v>
      </c>
    </row>
    <row r="72" spans="1:27" x14ac:dyDescent="0.3">
      <c r="A72">
        <v>420300</v>
      </c>
      <c r="B72">
        <v>17031420300</v>
      </c>
      <c r="C72">
        <v>17031</v>
      </c>
      <c r="D72">
        <v>2010</v>
      </c>
      <c r="E72">
        <v>42</v>
      </c>
      <c r="F72">
        <v>2638410.7422330701</v>
      </c>
      <c r="G72" s="43">
        <v>9.463996291871378E-2</v>
      </c>
      <c r="H72" s="58" t="str">
        <f>_xlfn.IFNA(
INDEX(CA!B$2:B$78,MATCH($E72,CA!$A$2:$A$78,0)),
"")</f>
        <v>WOODLAWN</v>
      </c>
      <c r="I72" s="60" t="str">
        <f>_xlfn.IFNA(
INDEX(CA!C$2:C$78,MATCH($E72,CA!$A$2:$A$78,0)),
"")</f>
        <v>6-B</v>
      </c>
      <c r="J72" s="60">
        <f>_xlfn.IFNA(
INDEX(CA!D$2:D$78,MATCH($E72,CA!$A$2:$A$78,0)),
"")</f>
        <v>6</v>
      </c>
      <c r="K72" s="58" t="str">
        <f>_xlfn.IFNA(
INDEX(CA!E$2:E$78,MATCH($E72,CA!$A$2:$A$78,0)),
"")</f>
        <v>SOUTH</v>
      </c>
      <c r="L72" s="15" t="e">
        <v>#VALUE!</v>
      </c>
      <c r="M72" s="15" t="e">
        <v>#VALUE!</v>
      </c>
      <c r="N72" s="15" t="e">
        <v>#VALUE!</v>
      </c>
      <c r="O72" s="15" t="e">
        <v>#VALUE!</v>
      </c>
      <c r="P72" s="15" t="e">
        <v>#VALUE!</v>
      </c>
      <c r="Q72" s="15" t="e">
        <v>#VALUE!</v>
      </c>
      <c r="R72" s="15" t="e">
        <v>#VALUE!</v>
      </c>
      <c r="S72" s="15" t="e">
        <v>#VALUE!</v>
      </c>
      <c r="T72" s="129">
        <v>3.0943801640888717E-2</v>
      </c>
      <c r="U72" s="130" t="e">
        <f t="shared" si="7"/>
        <v>#VALUE!</v>
      </c>
      <c r="V72" s="129">
        <v>3.0943801640888717E-2</v>
      </c>
      <c r="W72" s="130" t="e">
        <f t="shared" si="4"/>
        <v>#VALUE!</v>
      </c>
      <c r="X72" s="129">
        <v>3.0943801640888717E-2</v>
      </c>
      <c r="Y72" s="130" t="e">
        <f t="shared" si="5"/>
        <v>#VALUE!</v>
      </c>
      <c r="Z72" s="129">
        <v>3.0943801640888717E-2</v>
      </c>
      <c r="AA72" s="130" t="e">
        <f t="shared" si="6"/>
        <v>#VALUE!</v>
      </c>
    </row>
    <row r="73" spans="1:27" x14ac:dyDescent="0.3">
      <c r="A73">
        <v>834400</v>
      </c>
      <c r="B73">
        <v>17031834400</v>
      </c>
      <c r="C73">
        <v>17031</v>
      </c>
      <c r="D73">
        <v>2010</v>
      </c>
      <c r="E73">
        <v>42</v>
      </c>
      <c r="F73">
        <v>6313636.356439</v>
      </c>
      <c r="G73" s="43">
        <v>0.22647054194067809</v>
      </c>
      <c r="H73" s="58" t="str">
        <f>_xlfn.IFNA(
INDEX(CA!B$2:B$78,MATCH($E73,CA!$A$2:$A$78,0)),
"")</f>
        <v>WOODLAWN</v>
      </c>
      <c r="I73" s="60" t="str">
        <f>_xlfn.IFNA(
INDEX(CA!C$2:C$78,MATCH($E73,CA!$A$2:$A$78,0)),
"")</f>
        <v>6-B</v>
      </c>
      <c r="J73" s="60">
        <f>_xlfn.IFNA(
INDEX(CA!D$2:D$78,MATCH($E73,CA!$A$2:$A$78,0)),
"")</f>
        <v>6</v>
      </c>
      <c r="K73" s="58" t="str">
        <f>_xlfn.IFNA(
INDEX(CA!E$2:E$78,MATCH($E73,CA!$A$2:$A$78,0)),
"")</f>
        <v>SOUTH</v>
      </c>
      <c r="L73" s="15" t="e">
        <v>#VALUE!</v>
      </c>
      <c r="M73" s="15" t="e">
        <v>#VALUE!</v>
      </c>
      <c r="N73" s="15" t="e">
        <v>#VALUE!</v>
      </c>
      <c r="O73" s="15" t="e">
        <v>#VALUE!</v>
      </c>
      <c r="P73" s="15" t="e">
        <v>#VALUE!</v>
      </c>
      <c r="Q73" s="15" t="e">
        <v>#VALUE!</v>
      </c>
      <c r="R73" s="15" t="e">
        <v>#VALUE!</v>
      </c>
      <c r="S73" s="15" t="e">
        <v>#VALUE!</v>
      </c>
      <c r="T73" s="129">
        <v>0.22647054463606914</v>
      </c>
      <c r="U73" s="130" t="e">
        <f t="shared" si="7"/>
        <v>#VALUE!</v>
      </c>
      <c r="V73" s="129">
        <v>0.22647054463606914</v>
      </c>
      <c r="W73" s="130" t="e">
        <f t="shared" si="4"/>
        <v>#VALUE!</v>
      </c>
      <c r="X73" s="129">
        <v>0.22647054463606914</v>
      </c>
      <c r="Y73" s="130" t="e">
        <f t="shared" si="5"/>
        <v>#VALUE!</v>
      </c>
      <c r="Z73" s="129">
        <v>0.22647054463606914</v>
      </c>
      <c r="AA73" s="130" t="e">
        <f t="shared" si="6"/>
        <v>#VALUE!</v>
      </c>
    </row>
    <row r="74" spans="1:27" x14ac:dyDescent="0.3">
      <c r="A74">
        <v>420600</v>
      </c>
      <c r="B74">
        <v>17031420600</v>
      </c>
      <c r="C74">
        <v>17031</v>
      </c>
      <c r="D74">
        <v>2010</v>
      </c>
      <c r="E74">
        <v>42</v>
      </c>
      <c r="F74">
        <v>2622599.08761199</v>
      </c>
      <c r="G74" s="43">
        <v>9.4072797851095832E-2</v>
      </c>
      <c r="H74" s="58" t="str">
        <f>_xlfn.IFNA(
INDEX(CA!B$2:B$78,MATCH($E74,CA!$A$2:$A$78,0)),
"")</f>
        <v>WOODLAWN</v>
      </c>
      <c r="I74" s="60" t="str">
        <f>_xlfn.IFNA(
INDEX(CA!C$2:C$78,MATCH($E74,CA!$A$2:$A$78,0)),
"")</f>
        <v>6-B</v>
      </c>
      <c r="J74" s="60">
        <f>_xlfn.IFNA(
INDEX(CA!D$2:D$78,MATCH($E74,CA!$A$2:$A$78,0)),
"")</f>
        <v>6</v>
      </c>
      <c r="K74" s="58" t="str">
        <f>_xlfn.IFNA(
INDEX(CA!E$2:E$78,MATCH($E74,CA!$A$2:$A$78,0)),
"")</f>
        <v>SOUTH</v>
      </c>
      <c r="L74" s="15" t="e">
        <v>#VALUE!</v>
      </c>
      <c r="M74" s="15" t="e">
        <v>#VALUE!</v>
      </c>
      <c r="N74" s="15" t="e">
        <v>#VALUE!</v>
      </c>
      <c r="O74" s="15" t="e">
        <v>#VALUE!</v>
      </c>
      <c r="P74" s="15" t="e">
        <v>#VALUE!</v>
      </c>
      <c r="Q74" s="15" t="e">
        <v>#VALUE!</v>
      </c>
      <c r="R74" s="15" t="e">
        <v>#VALUE!</v>
      </c>
      <c r="S74" s="15" t="e">
        <v>#VALUE!</v>
      </c>
      <c r="T74" s="129">
        <v>9.4072800388717792E-2</v>
      </c>
      <c r="U74" s="130" t="e">
        <f t="shared" si="7"/>
        <v>#VALUE!</v>
      </c>
      <c r="V74" s="129">
        <v>9.4072800388717792E-2</v>
      </c>
      <c r="W74" s="130" t="e">
        <f t="shared" si="4"/>
        <v>#VALUE!</v>
      </c>
      <c r="X74" s="129">
        <v>9.4072800388717792E-2</v>
      </c>
      <c r="Y74" s="130" t="e">
        <f t="shared" si="5"/>
        <v>#VALUE!</v>
      </c>
      <c r="Z74" s="129">
        <v>9.4072800388717792E-2</v>
      </c>
      <c r="AA74" s="130" t="e">
        <f t="shared" si="6"/>
        <v>#VALUE!</v>
      </c>
    </row>
    <row r="75" spans="1:27" x14ac:dyDescent="0.3">
      <c r="A75">
        <v>420700</v>
      </c>
      <c r="B75">
        <v>17031420700</v>
      </c>
      <c r="C75">
        <v>17031</v>
      </c>
      <c r="D75">
        <v>2010</v>
      </c>
      <c r="E75">
        <v>42</v>
      </c>
      <c r="F75">
        <v>7002808.7911511399</v>
      </c>
      <c r="G75" s="43">
        <v>0.25119120147322443</v>
      </c>
      <c r="H75" s="58" t="str">
        <f>_xlfn.IFNA(
INDEX(CA!B$2:B$78,MATCH($E75,CA!$A$2:$A$78,0)),
"")</f>
        <v>WOODLAWN</v>
      </c>
      <c r="I75" s="60" t="str">
        <f>_xlfn.IFNA(
INDEX(CA!C$2:C$78,MATCH($E75,CA!$A$2:$A$78,0)),
"")</f>
        <v>6-B</v>
      </c>
      <c r="J75" s="60">
        <f>_xlfn.IFNA(
INDEX(CA!D$2:D$78,MATCH($E75,CA!$A$2:$A$78,0)),
"")</f>
        <v>6</v>
      </c>
      <c r="K75" s="58" t="str">
        <f>_xlfn.IFNA(
INDEX(CA!E$2:E$78,MATCH($E75,CA!$A$2:$A$78,0)),
"")</f>
        <v>SOUTH</v>
      </c>
      <c r="L75" s="15" t="e">
        <v>#VALUE!</v>
      </c>
      <c r="M75" s="15" t="e">
        <v>#VALUE!</v>
      </c>
      <c r="N75" s="15" t="e">
        <v>#VALUE!</v>
      </c>
      <c r="O75" s="15" t="e">
        <v>#VALUE!</v>
      </c>
      <c r="P75" s="15" t="e">
        <v>#VALUE!</v>
      </c>
      <c r="Q75" s="15" t="e">
        <v>#VALUE!</v>
      </c>
      <c r="R75" s="15" t="e">
        <v>#VALUE!</v>
      </c>
      <c r="S75" s="15" t="e">
        <v>#VALUE!</v>
      </c>
      <c r="T75" s="129">
        <v>0.2511911977464521</v>
      </c>
      <c r="U75" s="130" t="e">
        <f t="shared" si="7"/>
        <v>#VALUE!</v>
      </c>
      <c r="V75" s="129">
        <v>0.2511911977464521</v>
      </c>
      <c r="W75" s="130" t="e">
        <f t="shared" si="4"/>
        <v>#VALUE!</v>
      </c>
      <c r="X75" s="129">
        <v>0.2511911977464521</v>
      </c>
      <c r="Y75" s="130" t="e">
        <f t="shared" si="5"/>
        <v>#VALUE!</v>
      </c>
      <c r="Z75" s="129">
        <v>0.2511911977464521</v>
      </c>
      <c r="AA75" s="130" t="e">
        <f t="shared" si="6"/>
        <v>#VALUE!</v>
      </c>
    </row>
    <row r="76" spans="1:27" x14ac:dyDescent="0.3">
      <c r="A76">
        <v>421200</v>
      </c>
      <c r="B76">
        <v>17031421200</v>
      </c>
      <c r="C76">
        <v>17031</v>
      </c>
      <c r="D76">
        <v>2010</v>
      </c>
      <c r="E76">
        <v>42</v>
      </c>
      <c r="F76">
        <v>3504678.09555774</v>
      </c>
      <c r="G76" s="43">
        <v>0.12571302856540331</v>
      </c>
      <c r="H76" s="58" t="str">
        <f>_xlfn.IFNA(
INDEX(CA!B$2:B$78,MATCH($E76,CA!$A$2:$A$78,0)),
"")</f>
        <v>WOODLAWN</v>
      </c>
      <c r="I76" s="60" t="str">
        <f>_xlfn.IFNA(
INDEX(CA!C$2:C$78,MATCH($E76,CA!$A$2:$A$78,0)),
"")</f>
        <v>6-B</v>
      </c>
      <c r="J76" s="60">
        <f>_xlfn.IFNA(
INDEX(CA!D$2:D$78,MATCH($E76,CA!$A$2:$A$78,0)),
"")</f>
        <v>6</v>
      </c>
      <c r="K76" s="58" t="str">
        <f>_xlfn.IFNA(
INDEX(CA!E$2:E$78,MATCH($E76,CA!$A$2:$A$78,0)),
"")</f>
        <v>SOUTH</v>
      </c>
      <c r="L76" s="15" t="e">
        <v>#VALUE!</v>
      </c>
      <c r="M76" s="15" t="e">
        <v>#VALUE!</v>
      </c>
      <c r="N76" s="15" t="e">
        <v>#VALUE!</v>
      </c>
      <c r="O76" s="15" t="e">
        <v>#VALUE!</v>
      </c>
      <c r="P76" s="15" t="e">
        <v>#VALUE!</v>
      </c>
      <c r="Q76" s="15" t="e">
        <v>#VALUE!</v>
      </c>
      <c r="R76" s="15" t="e">
        <v>#VALUE!</v>
      </c>
      <c r="S76" s="15" t="e">
        <v>#VALUE!</v>
      </c>
      <c r="T76" s="129">
        <v>0.12571303111153223</v>
      </c>
      <c r="U76" s="130" t="e">
        <f t="shared" si="7"/>
        <v>#VALUE!</v>
      </c>
      <c r="V76" s="129">
        <v>0.12571303111153223</v>
      </c>
      <c r="W76" s="130" t="e">
        <f t="shared" si="4"/>
        <v>#VALUE!</v>
      </c>
      <c r="X76" s="129">
        <v>0.12571303111153223</v>
      </c>
      <c r="Y76" s="130" t="e">
        <f t="shared" si="5"/>
        <v>#VALUE!</v>
      </c>
      <c r="Z76" s="129">
        <v>0.12571303111153223</v>
      </c>
      <c r="AA76" s="130" t="e">
        <f t="shared" si="6"/>
        <v>#VALUE!</v>
      </c>
    </row>
    <row r="77" spans="1:27" x14ac:dyDescent="0.3">
      <c r="A77">
        <v>420100</v>
      </c>
      <c r="B77">
        <v>17031420100</v>
      </c>
      <c r="C77">
        <v>17031</v>
      </c>
      <c r="D77">
        <v>2010</v>
      </c>
      <c r="E77">
        <v>42</v>
      </c>
      <c r="F77">
        <v>8951212.3606753703</v>
      </c>
      <c r="G77" s="43">
        <v>0.32108056275379399</v>
      </c>
      <c r="H77" s="58" t="str">
        <f>_xlfn.IFNA(
INDEX(CA!B$2:B$78,MATCH($E77,CA!$A$2:$A$78,0)),
"")</f>
        <v>WOODLAWN</v>
      </c>
      <c r="I77" s="60" t="str">
        <f>_xlfn.IFNA(
INDEX(CA!C$2:C$78,MATCH($E77,CA!$A$2:$A$78,0)),
"")</f>
        <v>6-B</v>
      </c>
      <c r="J77" s="60">
        <f>_xlfn.IFNA(
INDEX(CA!D$2:D$78,MATCH($E77,CA!$A$2:$A$78,0)),
"")</f>
        <v>6</v>
      </c>
      <c r="K77" s="58" t="str">
        <f>_xlfn.IFNA(
INDEX(CA!E$2:E$78,MATCH($E77,CA!$A$2:$A$78,0)),
"")</f>
        <v>SOUTH</v>
      </c>
      <c r="L77" s="15" t="e">
        <v>#VALUE!</v>
      </c>
      <c r="M77" s="15" t="e">
        <v>#VALUE!</v>
      </c>
      <c r="N77" s="15" t="e">
        <v>#VALUE!</v>
      </c>
      <c r="O77" s="15" t="e">
        <v>#VALUE!</v>
      </c>
      <c r="P77" s="15" t="e">
        <v>#VALUE!</v>
      </c>
      <c r="Q77" s="15" t="e">
        <v>#VALUE!</v>
      </c>
      <c r="R77" s="15" t="e">
        <v>#VALUE!</v>
      </c>
      <c r="S77" s="15" t="e">
        <v>#VALUE!</v>
      </c>
      <c r="T77" s="129">
        <v>0.31988554083998078</v>
      </c>
      <c r="U77" s="130" t="e">
        <f t="shared" si="7"/>
        <v>#VALUE!</v>
      </c>
      <c r="V77" s="129">
        <v>0.31988554083998078</v>
      </c>
      <c r="W77" s="130" t="e">
        <f t="shared" si="4"/>
        <v>#VALUE!</v>
      </c>
      <c r="X77" s="129">
        <v>0.31988554083998078</v>
      </c>
      <c r="Y77" s="130" t="e">
        <f t="shared" si="5"/>
        <v>#VALUE!</v>
      </c>
      <c r="Z77" s="129">
        <v>0.31988554083998078</v>
      </c>
      <c r="AA77" s="130" t="e">
        <f t="shared" si="6"/>
        <v>#VALUE!</v>
      </c>
    </row>
    <row r="78" spans="1:27" x14ac:dyDescent="0.3">
      <c r="A78">
        <v>420400</v>
      </c>
      <c r="B78">
        <v>17031420400</v>
      </c>
      <c r="C78">
        <v>17031</v>
      </c>
      <c r="D78">
        <v>2010</v>
      </c>
      <c r="E78">
        <v>42</v>
      </c>
      <c r="F78">
        <v>2639089.2436639201</v>
      </c>
      <c r="G78" s="43">
        <v>9.4664300808651861E-2</v>
      </c>
      <c r="H78" s="58" t="str">
        <f>_xlfn.IFNA(
INDEX(CA!B$2:B$78,MATCH($E78,CA!$A$2:$A$78,0)),
"")</f>
        <v>WOODLAWN</v>
      </c>
      <c r="I78" s="60" t="str">
        <f>_xlfn.IFNA(
INDEX(CA!C$2:C$78,MATCH($E78,CA!$A$2:$A$78,0)),
"")</f>
        <v>6-B</v>
      </c>
      <c r="J78" s="60">
        <f>_xlfn.IFNA(
INDEX(CA!D$2:D$78,MATCH($E78,CA!$A$2:$A$78,0)),
"")</f>
        <v>6</v>
      </c>
      <c r="K78" s="58" t="str">
        <f>_xlfn.IFNA(
INDEX(CA!E$2:E$78,MATCH($E78,CA!$A$2:$A$78,0)),
"")</f>
        <v>SOUTH</v>
      </c>
      <c r="L78" s="15" t="e">
        <v>#VALUE!</v>
      </c>
      <c r="M78" s="15" t="e">
        <v>#VALUE!</v>
      </c>
      <c r="N78" s="15" t="e">
        <v>#VALUE!</v>
      </c>
      <c r="O78" s="15" t="e">
        <v>#VALUE!</v>
      </c>
      <c r="P78" s="15" t="e">
        <v>#VALUE!</v>
      </c>
      <c r="Q78" s="15" t="e">
        <v>#VALUE!</v>
      </c>
      <c r="R78" s="15" t="e">
        <v>#VALUE!</v>
      </c>
      <c r="S78" s="15" t="e">
        <v>#VALUE!</v>
      </c>
      <c r="T78" s="129">
        <v>3.1024814335685297E-2</v>
      </c>
      <c r="U78" s="130" t="e">
        <f t="shared" si="7"/>
        <v>#VALUE!</v>
      </c>
      <c r="V78" s="129">
        <v>3.1024825138290826E-2</v>
      </c>
      <c r="W78" s="130" t="e">
        <f t="shared" si="4"/>
        <v>#VALUE!</v>
      </c>
      <c r="X78" s="129">
        <v>3.1024825138290826E-2</v>
      </c>
      <c r="Y78" s="130" t="e">
        <f t="shared" si="5"/>
        <v>#VALUE!</v>
      </c>
      <c r="Z78" s="129">
        <v>3.1024825138290826E-2</v>
      </c>
      <c r="AA78" s="130" t="e">
        <f t="shared" si="6"/>
        <v>#VALUE!</v>
      </c>
    </row>
    <row r="79" spans="1:27" x14ac:dyDescent="0.3">
      <c r="A79">
        <v>420200</v>
      </c>
      <c r="B79">
        <v>17031420200</v>
      </c>
      <c r="C79">
        <v>17031</v>
      </c>
      <c r="D79">
        <v>2010</v>
      </c>
      <c r="E79">
        <v>42</v>
      </c>
      <c r="F79">
        <v>2969877.33797576</v>
      </c>
      <c r="G79" s="43">
        <v>0.10652969101439681</v>
      </c>
      <c r="H79" s="58" t="str">
        <f>_xlfn.IFNA(
INDEX(CA!B$2:B$78,MATCH($E79,CA!$A$2:$A$78,0)),
"")</f>
        <v>WOODLAWN</v>
      </c>
      <c r="I79" s="60" t="str">
        <f>_xlfn.IFNA(
INDEX(CA!C$2:C$78,MATCH($E79,CA!$A$2:$A$78,0)),
"")</f>
        <v>6-B</v>
      </c>
      <c r="J79" s="60">
        <f>_xlfn.IFNA(
INDEX(CA!D$2:D$78,MATCH($E79,CA!$A$2:$A$78,0)),
"")</f>
        <v>6</v>
      </c>
      <c r="K79" s="58" t="str">
        <f>_xlfn.IFNA(
INDEX(CA!E$2:E$78,MATCH($E79,CA!$A$2:$A$78,0)),
"")</f>
        <v>SOUTH</v>
      </c>
      <c r="L79" s="15" t="e">
        <v>#VALUE!</v>
      </c>
      <c r="M79" s="15" t="e">
        <v>#VALUE!</v>
      </c>
      <c r="N79" s="15" t="e">
        <v>#VALUE!</v>
      </c>
      <c r="O79" s="15" t="e">
        <v>#VALUE!</v>
      </c>
      <c r="P79" s="15" t="e">
        <v>#VALUE!</v>
      </c>
      <c r="Q79" s="15" t="e">
        <v>#VALUE!</v>
      </c>
      <c r="R79" s="15" t="e">
        <v>#VALUE!</v>
      </c>
      <c r="S79" s="15" t="e">
        <v>#VALUE!</v>
      </c>
      <c r="T79" s="129">
        <v>6.8744237804704719E-2</v>
      </c>
      <c r="U79" s="130" t="e">
        <f t="shared" si="7"/>
        <v>#VALUE!</v>
      </c>
      <c r="V79" s="129">
        <v>6.8744237804704719E-2</v>
      </c>
      <c r="W79" s="130" t="e">
        <f t="shared" si="4"/>
        <v>#VALUE!</v>
      </c>
      <c r="X79" s="129">
        <v>6.8744237804704719E-2</v>
      </c>
      <c r="Y79" s="130" t="e">
        <f t="shared" si="5"/>
        <v>#VALUE!</v>
      </c>
      <c r="Z79" s="129">
        <v>6.8744237804704719E-2</v>
      </c>
      <c r="AA79" s="130" t="e">
        <f t="shared" si="6"/>
        <v>#VALUE!</v>
      </c>
    </row>
    <row r="80" spans="1:27" x14ac:dyDescent="0.3">
      <c r="A80">
        <v>420500</v>
      </c>
      <c r="B80">
        <v>17031420500</v>
      </c>
      <c r="C80">
        <v>17031</v>
      </c>
      <c r="D80">
        <v>2010</v>
      </c>
      <c r="E80">
        <v>42</v>
      </c>
      <c r="F80">
        <v>2647610.96637059</v>
      </c>
      <c r="G80" s="43">
        <v>9.4969975549909255E-2</v>
      </c>
      <c r="H80" s="58" t="str">
        <f>_xlfn.IFNA(
INDEX(CA!B$2:B$78,MATCH($E80,CA!$A$2:$A$78,0)),
"")</f>
        <v>WOODLAWN</v>
      </c>
      <c r="I80" s="60" t="str">
        <f>_xlfn.IFNA(
INDEX(CA!C$2:C$78,MATCH($E80,CA!$A$2:$A$78,0)),
"")</f>
        <v>6-B</v>
      </c>
      <c r="J80" s="60">
        <f>_xlfn.IFNA(
INDEX(CA!D$2:D$78,MATCH($E80,CA!$A$2:$A$78,0)),
"")</f>
        <v>6</v>
      </c>
      <c r="K80" s="58" t="str">
        <f>_xlfn.IFNA(
INDEX(CA!E$2:E$78,MATCH($E80,CA!$A$2:$A$78,0)),
"")</f>
        <v>SOUTH</v>
      </c>
      <c r="L80" s="15" t="e">
        <v>#VALUE!</v>
      </c>
      <c r="M80" s="15" t="e">
        <v>#VALUE!</v>
      </c>
      <c r="N80" s="15" t="e">
        <v>#VALUE!</v>
      </c>
      <c r="O80" s="15" t="e">
        <v>#VALUE!</v>
      </c>
      <c r="P80" s="15" t="e">
        <v>#VALUE!</v>
      </c>
      <c r="Q80" s="15" t="e">
        <v>#VALUE!</v>
      </c>
      <c r="R80" s="15" t="e">
        <v>#VALUE!</v>
      </c>
      <c r="S80" s="15" t="e">
        <v>#VALUE!</v>
      </c>
      <c r="T80" s="129">
        <v>9.4587041204291483E-2</v>
      </c>
      <c r="U80" s="130" t="e">
        <f t="shared" si="7"/>
        <v>#VALUE!</v>
      </c>
      <c r="V80" s="129">
        <v>9.0680564839632119E-2</v>
      </c>
      <c r="W80" s="130" t="e">
        <f t="shared" si="4"/>
        <v>#VALUE!</v>
      </c>
      <c r="X80" s="129">
        <v>9.0680564839632119E-2</v>
      </c>
      <c r="Y80" s="130" t="e">
        <f t="shared" si="5"/>
        <v>#VALUE!</v>
      </c>
      <c r="Z80" s="129">
        <v>9.0680564839632119E-2</v>
      </c>
      <c r="AA80" s="130" t="e">
        <f t="shared" si="6"/>
        <v>#VALUE!</v>
      </c>
    </row>
    <row r="81" spans="1:27" x14ac:dyDescent="0.3">
      <c r="A81">
        <v>10503</v>
      </c>
      <c r="B81">
        <v>17031010503</v>
      </c>
      <c r="C81">
        <v>17031</v>
      </c>
      <c r="D81">
        <v>2010</v>
      </c>
      <c r="E81">
        <v>1</v>
      </c>
      <c r="F81">
        <v>2091682.0660276399</v>
      </c>
      <c r="G81" s="43">
        <v>7.5028770159967575E-2</v>
      </c>
      <c r="H81" s="58" t="str">
        <f>_xlfn.IFNA(
INDEX(CA!B$2:B$78,MATCH($E81,CA!$A$2:$A$78,0)),
"")</f>
        <v>ROGERS PARK</v>
      </c>
      <c r="I81" s="60" t="str">
        <f>_xlfn.IFNA(
INDEX(CA!C$2:C$78,MATCH($E81,CA!$A$2:$A$78,0)),
"")</f>
        <v>1-A</v>
      </c>
      <c r="J81" s="60">
        <f>_xlfn.IFNA(
INDEX(CA!D$2:D$78,MATCH($E81,CA!$A$2:$A$78,0)),
"")</f>
        <v>1</v>
      </c>
      <c r="K81" s="58" t="str">
        <f>_xlfn.IFNA(
INDEX(CA!E$2:E$78,MATCH($E81,CA!$A$2:$A$78,0)),
"")</f>
        <v>NORTH</v>
      </c>
      <c r="L81" s="15" t="e">
        <v>#VALUE!</v>
      </c>
      <c r="M81" s="15" t="e">
        <v>#VALUE!</v>
      </c>
      <c r="N81" s="15" t="e">
        <v>#VALUE!</v>
      </c>
      <c r="O81" s="15" t="e">
        <v>#VALUE!</v>
      </c>
      <c r="P81" s="15" t="e">
        <v>#VALUE!</v>
      </c>
      <c r="Q81" s="15" t="e">
        <v>#VALUE!</v>
      </c>
      <c r="R81" s="15" t="e">
        <v>#VALUE!</v>
      </c>
      <c r="S81" s="15" t="e">
        <v>#VALUE!</v>
      </c>
      <c r="T81" s="129">
        <v>7.5028770626127048E-2</v>
      </c>
      <c r="U81" s="130" t="e">
        <f t="shared" si="7"/>
        <v>#VALUE!</v>
      </c>
      <c r="V81" s="129">
        <v>7.5028770626127048E-2</v>
      </c>
      <c r="W81" s="130" t="e">
        <f t="shared" si="4"/>
        <v>#VALUE!</v>
      </c>
      <c r="X81" s="129">
        <v>7.5028770626127048E-2</v>
      </c>
      <c r="Y81" s="130" t="e">
        <f t="shared" si="5"/>
        <v>#VALUE!</v>
      </c>
      <c r="Z81" s="129">
        <v>7.5028770626127048E-2</v>
      </c>
      <c r="AA81" s="130" t="e">
        <f t="shared" si="6"/>
        <v>#VALUE!</v>
      </c>
    </row>
    <row r="82" spans="1:27" x14ac:dyDescent="0.3">
      <c r="A82">
        <v>10600</v>
      </c>
      <c r="B82">
        <v>17031010600</v>
      </c>
      <c r="C82">
        <v>17031</v>
      </c>
      <c r="D82">
        <v>2010</v>
      </c>
      <c r="E82">
        <v>1</v>
      </c>
      <c r="F82">
        <v>5328195.73839691</v>
      </c>
      <c r="G82" s="43">
        <v>0.19112272362821792</v>
      </c>
      <c r="H82" s="58" t="str">
        <f>_xlfn.IFNA(
INDEX(CA!B$2:B$78,MATCH($E82,CA!$A$2:$A$78,0)),
"")</f>
        <v>ROGERS PARK</v>
      </c>
      <c r="I82" s="60" t="str">
        <f>_xlfn.IFNA(
INDEX(CA!C$2:C$78,MATCH($E82,CA!$A$2:$A$78,0)),
"")</f>
        <v>1-A</v>
      </c>
      <c r="J82" s="60">
        <f>_xlfn.IFNA(
INDEX(CA!D$2:D$78,MATCH($E82,CA!$A$2:$A$78,0)),
"")</f>
        <v>1</v>
      </c>
      <c r="K82" s="58" t="str">
        <f>_xlfn.IFNA(
INDEX(CA!E$2:E$78,MATCH($E82,CA!$A$2:$A$78,0)),
"")</f>
        <v>NORTH</v>
      </c>
      <c r="L82" s="15" t="e">
        <v>#VALUE!</v>
      </c>
      <c r="M82" s="15" t="e">
        <v>#VALUE!</v>
      </c>
      <c r="N82" s="15" t="e">
        <v>#VALUE!</v>
      </c>
      <c r="O82" s="15" t="e">
        <v>#VALUE!</v>
      </c>
      <c r="P82" s="15" t="e">
        <v>#VALUE!</v>
      </c>
      <c r="Q82" s="15" t="e">
        <v>#VALUE!</v>
      </c>
      <c r="R82" s="15" t="e">
        <v>#VALUE!</v>
      </c>
      <c r="S82" s="15" t="e">
        <v>#VALUE!</v>
      </c>
      <c r="T82" s="129">
        <v>0.19112272469286795</v>
      </c>
      <c r="U82" s="130" t="e">
        <f t="shared" si="7"/>
        <v>#VALUE!</v>
      </c>
      <c r="V82" s="129">
        <v>0.19112272469286795</v>
      </c>
      <c r="W82" s="130" t="e">
        <f t="shared" si="4"/>
        <v>#VALUE!</v>
      </c>
      <c r="X82" s="129">
        <v>0.19112272469286795</v>
      </c>
      <c r="Y82" s="130" t="e">
        <f t="shared" si="5"/>
        <v>#VALUE!</v>
      </c>
      <c r="Z82" s="129">
        <v>0.19112272469286795</v>
      </c>
      <c r="AA82" s="130" t="e">
        <f t="shared" si="6"/>
        <v>#VALUE!</v>
      </c>
    </row>
    <row r="83" spans="1:27" x14ac:dyDescent="0.3">
      <c r="A83">
        <v>10701</v>
      </c>
      <c r="B83">
        <v>17031010701</v>
      </c>
      <c r="C83">
        <v>17031</v>
      </c>
      <c r="D83">
        <v>2010</v>
      </c>
      <c r="E83">
        <v>1</v>
      </c>
      <c r="F83">
        <v>4627996.2857850902</v>
      </c>
      <c r="G83" s="43">
        <v>0.16600652425480264</v>
      </c>
      <c r="H83" s="58" t="str">
        <f>_xlfn.IFNA(
INDEX(CA!B$2:B$78,MATCH($E83,CA!$A$2:$A$78,0)),
"")</f>
        <v>ROGERS PARK</v>
      </c>
      <c r="I83" s="60" t="str">
        <f>_xlfn.IFNA(
INDEX(CA!C$2:C$78,MATCH($E83,CA!$A$2:$A$78,0)),
"")</f>
        <v>1-A</v>
      </c>
      <c r="J83" s="60">
        <f>_xlfn.IFNA(
INDEX(CA!D$2:D$78,MATCH($E83,CA!$A$2:$A$78,0)),
"")</f>
        <v>1</v>
      </c>
      <c r="K83" s="58" t="str">
        <f>_xlfn.IFNA(
INDEX(CA!E$2:E$78,MATCH($E83,CA!$A$2:$A$78,0)),
"")</f>
        <v>NORTH</v>
      </c>
      <c r="L83" s="15" t="e">
        <v>#VALUE!</v>
      </c>
      <c r="M83" s="15" t="e">
        <v>#VALUE!</v>
      </c>
      <c r="N83" s="15" t="e">
        <v>#VALUE!</v>
      </c>
      <c r="O83" s="15" t="e">
        <v>#VALUE!</v>
      </c>
      <c r="P83" s="15" t="e">
        <v>#VALUE!</v>
      </c>
      <c r="Q83" s="15" t="e">
        <v>#VALUE!</v>
      </c>
      <c r="R83" s="15" t="e">
        <v>#VALUE!</v>
      </c>
      <c r="S83" s="15" t="e">
        <v>#VALUE!</v>
      </c>
      <c r="T83" s="129">
        <v>0.16600652457295575</v>
      </c>
      <c r="U83" s="130" t="e">
        <f t="shared" si="7"/>
        <v>#VALUE!</v>
      </c>
      <c r="V83" s="129">
        <v>0.16600652457295575</v>
      </c>
      <c r="W83" s="130" t="e">
        <f t="shared" si="4"/>
        <v>#VALUE!</v>
      </c>
      <c r="X83" s="129">
        <v>0.16600652457295575</v>
      </c>
      <c r="Y83" s="130" t="e">
        <f t="shared" si="5"/>
        <v>#VALUE!</v>
      </c>
      <c r="Z83" s="129">
        <v>0.16600652457295575</v>
      </c>
      <c r="AA83" s="130" t="e">
        <f t="shared" si="6"/>
        <v>#VALUE!</v>
      </c>
    </row>
    <row r="84" spans="1:27" x14ac:dyDescent="0.3">
      <c r="A84">
        <v>830600</v>
      </c>
      <c r="B84">
        <v>17031830600</v>
      </c>
      <c r="C84">
        <v>17031</v>
      </c>
      <c r="D84">
        <v>2010</v>
      </c>
      <c r="E84">
        <v>1</v>
      </c>
      <c r="F84">
        <v>7118680.5115948403</v>
      </c>
      <c r="G84" s="43">
        <v>0.25534752753367629</v>
      </c>
      <c r="H84" s="58" t="str">
        <f>_xlfn.IFNA(
INDEX(CA!B$2:B$78,MATCH($E84,CA!$A$2:$A$78,0)),
"")</f>
        <v>ROGERS PARK</v>
      </c>
      <c r="I84" s="60" t="str">
        <f>_xlfn.IFNA(
INDEX(CA!C$2:C$78,MATCH($E84,CA!$A$2:$A$78,0)),
"")</f>
        <v>1-A</v>
      </c>
      <c r="J84" s="60">
        <f>_xlfn.IFNA(
INDEX(CA!D$2:D$78,MATCH($E84,CA!$A$2:$A$78,0)),
"")</f>
        <v>1</v>
      </c>
      <c r="K84" s="58" t="str">
        <f>_xlfn.IFNA(
INDEX(CA!E$2:E$78,MATCH($E84,CA!$A$2:$A$78,0)),
"")</f>
        <v>NORTH</v>
      </c>
      <c r="L84" s="15" t="e">
        <v>#VALUE!</v>
      </c>
      <c r="M84" s="15" t="e">
        <v>#VALUE!</v>
      </c>
      <c r="N84" s="15" t="e">
        <v>#VALUE!</v>
      </c>
      <c r="O84" s="15" t="e">
        <v>#VALUE!</v>
      </c>
      <c r="P84" s="15" t="e">
        <v>#VALUE!</v>
      </c>
      <c r="Q84" s="15" t="e">
        <v>#VALUE!</v>
      </c>
      <c r="R84" s="15" t="e">
        <v>#VALUE!</v>
      </c>
      <c r="S84" s="15" t="e">
        <v>#VALUE!</v>
      </c>
      <c r="T84" s="129">
        <v>0.25534752262486121</v>
      </c>
      <c r="U84" s="130" t="e">
        <f t="shared" si="7"/>
        <v>#VALUE!</v>
      </c>
      <c r="V84" s="129">
        <v>0.25534752262486121</v>
      </c>
      <c r="W84" s="130" t="e">
        <f t="shared" si="4"/>
        <v>#VALUE!</v>
      </c>
      <c r="X84" s="129">
        <v>0.25534752262486121</v>
      </c>
      <c r="Y84" s="130" t="e">
        <f t="shared" si="5"/>
        <v>#VALUE!</v>
      </c>
      <c r="Z84" s="129">
        <v>0.25534752262486121</v>
      </c>
      <c r="AA84" s="130" t="e">
        <f t="shared" si="6"/>
        <v>#VALUE!</v>
      </c>
    </row>
    <row r="85" spans="1:27" x14ac:dyDescent="0.3">
      <c r="A85">
        <v>10100</v>
      </c>
      <c r="B85">
        <v>17031010100</v>
      </c>
      <c r="C85">
        <v>17031</v>
      </c>
      <c r="D85">
        <v>2010</v>
      </c>
      <c r="E85">
        <v>1</v>
      </c>
      <c r="F85">
        <v>3968181.93282658</v>
      </c>
      <c r="G85" s="43">
        <v>0.14233894100187169</v>
      </c>
      <c r="H85" s="58" t="str">
        <f>_xlfn.IFNA(
INDEX(CA!B$2:B$78,MATCH($E85,CA!$A$2:$A$78,0)),
"")</f>
        <v>ROGERS PARK</v>
      </c>
      <c r="I85" s="60" t="str">
        <f>_xlfn.IFNA(
INDEX(CA!C$2:C$78,MATCH($E85,CA!$A$2:$A$78,0)),
"")</f>
        <v>1-A</v>
      </c>
      <c r="J85" s="60">
        <f>_xlfn.IFNA(
INDEX(CA!D$2:D$78,MATCH($E85,CA!$A$2:$A$78,0)),
"")</f>
        <v>1</v>
      </c>
      <c r="K85" s="58" t="str">
        <f>_xlfn.IFNA(
INDEX(CA!E$2:E$78,MATCH($E85,CA!$A$2:$A$78,0)),
"")</f>
        <v>NORTH</v>
      </c>
      <c r="L85" s="15" t="e">
        <v>#VALUE!</v>
      </c>
      <c r="M85" s="15" t="e">
        <v>#VALUE!</v>
      </c>
      <c r="N85" s="15" t="e">
        <v>#VALUE!</v>
      </c>
      <c r="O85" s="15" t="e">
        <v>#VALUE!</v>
      </c>
      <c r="P85" s="15" t="e">
        <v>#VALUE!</v>
      </c>
      <c r="Q85" s="15" t="e">
        <v>#VALUE!</v>
      </c>
      <c r="R85" s="15" t="e">
        <v>#VALUE!</v>
      </c>
      <c r="S85" s="15" t="e">
        <v>#VALUE!</v>
      </c>
      <c r="T85" s="129">
        <v>0.142338935372714</v>
      </c>
      <c r="U85" s="130" t="e">
        <f t="shared" si="7"/>
        <v>#VALUE!</v>
      </c>
      <c r="V85" s="129">
        <v>0.142338935372714</v>
      </c>
      <c r="W85" s="130" t="e">
        <f t="shared" si="4"/>
        <v>#VALUE!</v>
      </c>
      <c r="X85" s="129">
        <v>0.142338935372714</v>
      </c>
      <c r="Y85" s="130" t="e">
        <f t="shared" si="5"/>
        <v>#VALUE!</v>
      </c>
      <c r="Z85" s="129">
        <v>0.142338935372714</v>
      </c>
      <c r="AA85" s="130" t="e">
        <f t="shared" si="6"/>
        <v>#VALUE!</v>
      </c>
    </row>
    <row r="86" spans="1:27" x14ac:dyDescent="0.3">
      <c r="A86">
        <v>10201</v>
      </c>
      <c r="B86">
        <v>17031010201</v>
      </c>
      <c r="C86">
        <v>17031</v>
      </c>
      <c r="D86">
        <v>2010</v>
      </c>
      <c r="E86">
        <v>1</v>
      </c>
      <c r="F86">
        <v>5413492.03968246</v>
      </c>
      <c r="G86" s="43">
        <v>0.19418230743810477</v>
      </c>
      <c r="H86" s="58" t="str">
        <f>_xlfn.IFNA(
INDEX(CA!B$2:B$78,MATCH($E86,CA!$A$2:$A$78,0)),
"")</f>
        <v>ROGERS PARK</v>
      </c>
      <c r="I86" s="60" t="str">
        <f>_xlfn.IFNA(
INDEX(CA!C$2:C$78,MATCH($E86,CA!$A$2:$A$78,0)),
"")</f>
        <v>1-A</v>
      </c>
      <c r="J86" s="60">
        <f>_xlfn.IFNA(
INDEX(CA!D$2:D$78,MATCH($E86,CA!$A$2:$A$78,0)),
"")</f>
        <v>1</v>
      </c>
      <c r="K86" s="58" t="str">
        <f>_xlfn.IFNA(
INDEX(CA!E$2:E$78,MATCH($E86,CA!$A$2:$A$78,0)),
"")</f>
        <v>NORTH</v>
      </c>
      <c r="L86" s="15" t="e">
        <v>#VALUE!</v>
      </c>
      <c r="M86" s="15" t="e">
        <v>#VALUE!</v>
      </c>
      <c r="N86" s="15" t="e">
        <v>#VALUE!</v>
      </c>
      <c r="O86" s="15" t="e">
        <v>#VALUE!</v>
      </c>
      <c r="P86" s="15" t="e">
        <v>#VALUE!</v>
      </c>
      <c r="Q86" s="15" t="e">
        <v>#VALUE!</v>
      </c>
      <c r="R86" s="15" t="e">
        <v>#VALUE!</v>
      </c>
      <c r="S86" s="15" t="e">
        <v>#VALUE!</v>
      </c>
      <c r="T86" s="129">
        <v>0.19418231699078536</v>
      </c>
      <c r="U86" s="130" t="e">
        <f t="shared" si="7"/>
        <v>#VALUE!</v>
      </c>
      <c r="V86" s="129">
        <v>0.19418231699078536</v>
      </c>
      <c r="W86" s="130" t="e">
        <f t="shared" si="4"/>
        <v>#VALUE!</v>
      </c>
      <c r="X86" s="129">
        <v>0.19418231699078536</v>
      </c>
      <c r="Y86" s="130" t="e">
        <f t="shared" si="5"/>
        <v>#VALUE!</v>
      </c>
      <c r="Z86" s="129">
        <v>0.19418231699078536</v>
      </c>
      <c r="AA86" s="130" t="e">
        <f t="shared" si="6"/>
        <v>#VALUE!</v>
      </c>
    </row>
    <row r="87" spans="1:27" x14ac:dyDescent="0.3">
      <c r="A87">
        <v>10702</v>
      </c>
      <c r="B87">
        <v>17031010702</v>
      </c>
      <c r="C87">
        <v>17031</v>
      </c>
      <c r="D87">
        <v>2010</v>
      </c>
      <c r="E87">
        <v>1</v>
      </c>
      <c r="F87">
        <v>3846327.7044362398</v>
      </c>
      <c r="G87" s="43">
        <v>0.13796802199682334</v>
      </c>
      <c r="H87" s="58" t="str">
        <f>_xlfn.IFNA(
INDEX(CA!B$2:B$78,MATCH($E87,CA!$A$2:$A$78,0)),
"")</f>
        <v>ROGERS PARK</v>
      </c>
      <c r="I87" s="60" t="str">
        <f>_xlfn.IFNA(
INDEX(CA!C$2:C$78,MATCH($E87,CA!$A$2:$A$78,0)),
"")</f>
        <v>1-A</v>
      </c>
      <c r="J87" s="60">
        <f>_xlfn.IFNA(
INDEX(CA!D$2:D$78,MATCH($E87,CA!$A$2:$A$78,0)),
"")</f>
        <v>1</v>
      </c>
      <c r="K87" s="58" t="str">
        <f>_xlfn.IFNA(
INDEX(CA!E$2:E$78,MATCH($E87,CA!$A$2:$A$78,0)),
"")</f>
        <v>NORTH</v>
      </c>
      <c r="L87" s="15" t="e">
        <v>#VALUE!</v>
      </c>
      <c r="M87" s="15" t="e">
        <v>#VALUE!</v>
      </c>
      <c r="N87" s="15" t="e">
        <v>#VALUE!</v>
      </c>
      <c r="O87" s="15" t="e">
        <v>#VALUE!</v>
      </c>
      <c r="P87" s="15" t="e">
        <v>#VALUE!</v>
      </c>
      <c r="Q87" s="15" t="e">
        <v>#VALUE!</v>
      </c>
      <c r="R87" s="15" t="e">
        <v>#VALUE!</v>
      </c>
      <c r="S87" s="15" t="e">
        <v>#VALUE!</v>
      </c>
      <c r="T87" s="129">
        <v>0.1379680239985695</v>
      </c>
      <c r="U87" s="130" t="e">
        <f t="shared" si="7"/>
        <v>#VALUE!</v>
      </c>
      <c r="V87" s="129">
        <v>0.1379680239985695</v>
      </c>
      <c r="W87" s="130" t="e">
        <f t="shared" si="4"/>
        <v>#VALUE!</v>
      </c>
      <c r="X87" s="129">
        <v>0.1379680239985695</v>
      </c>
      <c r="Y87" s="130" t="e">
        <f t="shared" si="5"/>
        <v>#VALUE!</v>
      </c>
      <c r="Z87" s="129">
        <v>0.1379680239985695</v>
      </c>
      <c r="AA87" s="130" t="e">
        <f t="shared" si="6"/>
        <v>#VALUE!</v>
      </c>
    </row>
    <row r="88" spans="1:27" x14ac:dyDescent="0.3">
      <c r="A88">
        <v>10501</v>
      </c>
      <c r="B88">
        <v>17031010501</v>
      </c>
      <c r="C88">
        <v>17031</v>
      </c>
      <c r="D88">
        <v>2010</v>
      </c>
      <c r="E88">
        <v>1</v>
      </c>
      <c r="F88">
        <v>2176280.98250718</v>
      </c>
      <c r="G88" s="43">
        <v>7.8063338732035553E-2</v>
      </c>
      <c r="H88" s="58" t="str">
        <f>_xlfn.IFNA(
INDEX(CA!B$2:B$78,MATCH($E88,CA!$A$2:$A$78,0)),
"")</f>
        <v>ROGERS PARK</v>
      </c>
      <c r="I88" s="60" t="str">
        <f>_xlfn.IFNA(
INDEX(CA!C$2:C$78,MATCH($E88,CA!$A$2:$A$78,0)),
"")</f>
        <v>1-A</v>
      </c>
      <c r="J88" s="60">
        <f>_xlfn.IFNA(
INDEX(CA!D$2:D$78,MATCH($E88,CA!$A$2:$A$78,0)),
"")</f>
        <v>1</v>
      </c>
      <c r="K88" s="58" t="str">
        <f>_xlfn.IFNA(
INDEX(CA!E$2:E$78,MATCH($E88,CA!$A$2:$A$78,0)),
"")</f>
        <v>NORTH</v>
      </c>
      <c r="L88" s="15" t="e">
        <v>#VALUE!</v>
      </c>
      <c r="M88" s="15" t="e">
        <v>#VALUE!</v>
      </c>
      <c r="N88" s="15" t="e">
        <v>#VALUE!</v>
      </c>
      <c r="O88" s="15" t="e">
        <v>#VALUE!</v>
      </c>
      <c r="P88" s="15" t="e">
        <v>#VALUE!</v>
      </c>
      <c r="Q88" s="15" t="e">
        <v>#VALUE!</v>
      </c>
      <c r="R88" s="15" t="e">
        <v>#VALUE!</v>
      </c>
      <c r="S88" s="15" t="e">
        <v>#VALUE!</v>
      </c>
      <c r="T88" s="129">
        <v>7.8063340143977422E-2</v>
      </c>
      <c r="U88" s="130" t="e">
        <f t="shared" si="7"/>
        <v>#VALUE!</v>
      </c>
      <c r="V88" s="129">
        <v>7.8063340143977422E-2</v>
      </c>
      <c r="W88" s="130" t="e">
        <f t="shared" si="4"/>
        <v>#VALUE!</v>
      </c>
      <c r="X88" s="129">
        <v>7.8063340143977422E-2</v>
      </c>
      <c r="Y88" s="130" t="e">
        <f t="shared" si="5"/>
        <v>#VALUE!</v>
      </c>
      <c r="Z88" s="129">
        <v>7.8063340143977422E-2</v>
      </c>
      <c r="AA88" s="130" t="e">
        <f t="shared" si="6"/>
        <v>#VALUE!</v>
      </c>
    </row>
    <row r="89" spans="1:27" x14ac:dyDescent="0.3">
      <c r="A89">
        <v>10300</v>
      </c>
      <c r="B89">
        <v>17031010300</v>
      </c>
      <c r="C89">
        <v>17031</v>
      </c>
      <c r="D89">
        <v>2010</v>
      </c>
      <c r="E89">
        <v>1</v>
      </c>
      <c r="F89">
        <v>5075522.3074266296</v>
      </c>
      <c r="G89" s="43">
        <v>0.18205931141767925</v>
      </c>
      <c r="H89" s="58" t="str">
        <f>_xlfn.IFNA(
INDEX(CA!B$2:B$78,MATCH($E89,CA!$A$2:$A$78,0)),
"")</f>
        <v>ROGERS PARK</v>
      </c>
      <c r="I89" s="60" t="str">
        <f>_xlfn.IFNA(
INDEX(CA!C$2:C$78,MATCH($E89,CA!$A$2:$A$78,0)),
"")</f>
        <v>1-A</v>
      </c>
      <c r="J89" s="60">
        <f>_xlfn.IFNA(
INDEX(CA!D$2:D$78,MATCH($E89,CA!$A$2:$A$78,0)),
"")</f>
        <v>1</v>
      </c>
      <c r="K89" s="58" t="str">
        <f>_xlfn.IFNA(
INDEX(CA!E$2:E$78,MATCH($E89,CA!$A$2:$A$78,0)),
"")</f>
        <v>NORTH</v>
      </c>
      <c r="L89" s="15" t="e">
        <v>#VALUE!</v>
      </c>
      <c r="M89" s="15" t="e">
        <v>#VALUE!</v>
      </c>
      <c r="N89" s="15" t="e">
        <v>#VALUE!</v>
      </c>
      <c r="O89" s="15" t="e">
        <v>#VALUE!</v>
      </c>
      <c r="P89" s="15" t="e">
        <v>#VALUE!</v>
      </c>
      <c r="Q89" s="15" t="e">
        <v>#VALUE!</v>
      </c>
      <c r="R89" s="15" t="e">
        <v>#VALUE!</v>
      </c>
      <c r="S89" s="15" t="e">
        <v>#VALUE!</v>
      </c>
      <c r="T89" s="129">
        <v>0.18205932265165325</v>
      </c>
      <c r="U89" s="130" t="e">
        <f t="shared" si="7"/>
        <v>#VALUE!</v>
      </c>
      <c r="V89" s="129">
        <v>0.18205932265165325</v>
      </c>
      <c r="W89" s="130" t="e">
        <f t="shared" si="4"/>
        <v>#VALUE!</v>
      </c>
      <c r="X89" s="129">
        <v>0.18205932265165325</v>
      </c>
      <c r="Y89" s="130" t="e">
        <f t="shared" si="5"/>
        <v>#VALUE!</v>
      </c>
      <c r="Z89" s="129">
        <v>0.18205932265165325</v>
      </c>
      <c r="AA89" s="130" t="e">
        <f t="shared" si="6"/>
        <v>#VALUE!</v>
      </c>
    </row>
    <row r="90" spans="1:27" x14ac:dyDescent="0.3">
      <c r="A90">
        <v>10502</v>
      </c>
      <c r="B90">
        <v>17031010502</v>
      </c>
      <c r="C90">
        <v>17031</v>
      </c>
      <c r="D90">
        <v>2010</v>
      </c>
      <c r="E90">
        <v>1</v>
      </c>
      <c r="F90">
        <v>1941541.75404433</v>
      </c>
      <c r="G90" s="43">
        <v>6.9643227518233833E-2</v>
      </c>
      <c r="H90" s="58" t="str">
        <f>_xlfn.IFNA(
INDEX(CA!B$2:B$78,MATCH($E90,CA!$A$2:$A$78,0)),
"")</f>
        <v>ROGERS PARK</v>
      </c>
      <c r="I90" s="60" t="str">
        <f>_xlfn.IFNA(
INDEX(CA!C$2:C$78,MATCH($E90,CA!$A$2:$A$78,0)),
"")</f>
        <v>1-A</v>
      </c>
      <c r="J90" s="60">
        <f>_xlfn.IFNA(
INDEX(CA!D$2:D$78,MATCH($E90,CA!$A$2:$A$78,0)),
"")</f>
        <v>1</v>
      </c>
      <c r="K90" s="58" t="str">
        <f>_xlfn.IFNA(
INDEX(CA!E$2:E$78,MATCH($E90,CA!$A$2:$A$78,0)),
"")</f>
        <v>NORTH</v>
      </c>
      <c r="L90" s="15" t="e">
        <v>#VALUE!</v>
      </c>
      <c r="M90" s="15" t="e">
        <v>#VALUE!</v>
      </c>
      <c r="N90" s="15" t="e">
        <v>#VALUE!</v>
      </c>
      <c r="O90" s="15" t="e">
        <v>#VALUE!</v>
      </c>
      <c r="P90" s="15" t="e">
        <v>#VALUE!</v>
      </c>
      <c r="Q90" s="15" t="e">
        <v>#VALUE!</v>
      </c>
      <c r="R90" s="15" t="e">
        <v>#VALUE!</v>
      </c>
      <c r="S90" s="15" t="e">
        <v>#VALUE!</v>
      </c>
      <c r="T90" s="129">
        <v>6.9643225889488639E-2</v>
      </c>
      <c r="U90" s="130" t="e">
        <f t="shared" si="7"/>
        <v>#VALUE!</v>
      </c>
      <c r="V90" s="129">
        <v>6.9643225889488639E-2</v>
      </c>
      <c r="W90" s="130" t="e">
        <f t="shared" si="4"/>
        <v>#VALUE!</v>
      </c>
      <c r="X90" s="129">
        <v>6.9643225889488639E-2</v>
      </c>
      <c r="Y90" s="130" t="e">
        <f t="shared" si="5"/>
        <v>#VALUE!</v>
      </c>
      <c r="Z90" s="129">
        <v>6.9643225889488639E-2</v>
      </c>
      <c r="AA90" s="130" t="e">
        <f t="shared" si="6"/>
        <v>#VALUE!</v>
      </c>
    </row>
    <row r="91" spans="1:27" x14ac:dyDescent="0.3">
      <c r="A91">
        <v>10202</v>
      </c>
      <c r="B91">
        <v>17031010202</v>
      </c>
      <c r="C91">
        <v>17031</v>
      </c>
      <c r="D91">
        <v>2010</v>
      </c>
      <c r="E91">
        <v>1</v>
      </c>
      <c r="F91">
        <v>3803049.85417601</v>
      </c>
      <c r="G91" s="43">
        <v>0.13641564272612525</v>
      </c>
      <c r="H91" s="58" t="str">
        <f>_xlfn.IFNA(
INDEX(CA!B$2:B$78,MATCH($E91,CA!$A$2:$A$78,0)),
"")</f>
        <v>ROGERS PARK</v>
      </c>
      <c r="I91" s="60" t="str">
        <f>_xlfn.IFNA(
INDEX(CA!C$2:C$78,MATCH($E91,CA!$A$2:$A$78,0)),
"")</f>
        <v>1-A</v>
      </c>
      <c r="J91" s="60">
        <f>_xlfn.IFNA(
INDEX(CA!D$2:D$78,MATCH($E91,CA!$A$2:$A$78,0)),
"")</f>
        <v>1</v>
      </c>
      <c r="K91" s="58" t="str">
        <f>_xlfn.IFNA(
INDEX(CA!E$2:E$78,MATCH($E91,CA!$A$2:$A$78,0)),
"")</f>
        <v>NORTH</v>
      </c>
      <c r="L91" s="15" t="e">
        <v>#VALUE!</v>
      </c>
      <c r="M91" s="15" t="e">
        <v>#VALUE!</v>
      </c>
      <c r="N91" s="15" t="e">
        <v>#VALUE!</v>
      </c>
      <c r="O91" s="15" t="e">
        <v>#VALUE!</v>
      </c>
      <c r="P91" s="15" t="e">
        <v>#VALUE!</v>
      </c>
      <c r="Q91" s="15" t="e">
        <v>#VALUE!</v>
      </c>
      <c r="R91" s="15" t="e">
        <v>#VALUE!</v>
      </c>
      <c r="S91" s="15" t="e">
        <v>#VALUE!</v>
      </c>
      <c r="T91" s="129">
        <v>0.13641563931155123</v>
      </c>
      <c r="U91" s="130" t="e">
        <f t="shared" si="7"/>
        <v>#VALUE!</v>
      </c>
      <c r="V91" s="129">
        <v>0.13641563931155123</v>
      </c>
      <c r="W91" s="130" t="e">
        <f t="shared" si="4"/>
        <v>#VALUE!</v>
      </c>
      <c r="X91" s="129">
        <v>0.13641563931155123</v>
      </c>
      <c r="Y91" s="130" t="e">
        <f t="shared" si="5"/>
        <v>#VALUE!</v>
      </c>
      <c r="Z91" s="129">
        <v>0.13641563931155123</v>
      </c>
      <c r="AA91" s="130" t="e">
        <f t="shared" si="6"/>
        <v>#VALUE!</v>
      </c>
    </row>
    <row r="92" spans="1:27" x14ac:dyDescent="0.3">
      <c r="A92">
        <v>10400</v>
      </c>
      <c r="B92">
        <v>17031010400</v>
      </c>
      <c r="C92">
        <v>17031</v>
      </c>
      <c r="D92">
        <v>2010</v>
      </c>
      <c r="E92">
        <v>1</v>
      </c>
      <c r="F92">
        <v>5868951.4538228996</v>
      </c>
      <c r="G92" s="43">
        <v>0.2105196658998687</v>
      </c>
      <c r="H92" s="58" t="str">
        <f>_xlfn.IFNA(
INDEX(CA!B$2:B$78,MATCH($E92,CA!$A$2:$A$78,0)),
"")</f>
        <v>ROGERS PARK</v>
      </c>
      <c r="I92" s="60" t="str">
        <f>_xlfn.IFNA(
INDEX(CA!C$2:C$78,MATCH($E92,CA!$A$2:$A$78,0)),
"")</f>
        <v>1-A</v>
      </c>
      <c r="J92" s="60">
        <f>_xlfn.IFNA(
INDEX(CA!D$2:D$78,MATCH($E92,CA!$A$2:$A$78,0)),
"")</f>
        <v>1</v>
      </c>
      <c r="K92" s="58" t="str">
        <f>_xlfn.IFNA(
INDEX(CA!E$2:E$78,MATCH($E92,CA!$A$2:$A$78,0)),
"")</f>
        <v>NORTH</v>
      </c>
      <c r="L92" s="15" t="e">
        <v>#VALUE!</v>
      </c>
      <c r="M92" s="15" t="e">
        <v>#VALUE!</v>
      </c>
      <c r="N92" s="15" t="e">
        <v>#VALUE!</v>
      </c>
      <c r="O92" s="15" t="e">
        <v>#VALUE!</v>
      </c>
      <c r="P92" s="15" t="e">
        <v>#VALUE!</v>
      </c>
      <c r="Q92" s="15" t="e">
        <v>#VALUE!</v>
      </c>
      <c r="R92" s="15" t="e">
        <v>#VALUE!</v>
      </c>
      <c r="S92" s="15" t="e">
        <v>#VALUE!</v>
      </c>
      <c r="T92" s="129">
        <v>0.21051967155392598</v>
      </c>
      <c r="U92" s="130" t="e">
        <f t="shared" si="7"/>
        <v>#VALUE!</v>
      </c>
      <c r="V92" s="129">
        <v>0.21051967155392598</v>
      </c>
      <c r="W92" s="130" t="e">
        <f t="shared" si="4"/>
        <v>#VALUE!</v>
      </c>
      <c r="X92" s="129">
        <v>0.21051967155392598</v>
      </c>
      <c r="Y92" s="130" t="e">
        <f t="shared" si="5"/>
        <v>#VALUE!</v>
      </c>
      <c r="Z92" s="129">
        <v>0.21051967155392598</v>
      </c>
      <c r="AA92" s="130" t="e">
        <f t="shared" si="6"/>
        <v>#VALUE!</v>
      </c>
    </row>
    <row r="93" spans="1:27" x14ac:dyDescent="0.3">
      <c r="A93">
        <v>110501</v>
      </c>
      <c r="B93">
        <v>17031110501</v>
      </c>
      <c r="C93">
        <v>17031</v>
      </c>
      <c r="D93">
        <v>2010</v>
      </c>
      <c r="E93">
        <v>11</v>
      </c>
      <c r="F93">
        <v>8521228.6253883801</v>
      </c>
      <c r="G93" s="43">
        <v>0.30565701853005839</v>
      </c>
      <c r="H93" s="58" t="str">
        <f>_xlfn.IFNA(
INDEX(CA!B$2:B$78,MATCH($E93,CA!$A$2:$A$78,0)),
"")</f>
        <v>JEFFERSON PARK</v>
      </c>
      <c r="I93" s="60" t="str">
        <f>_xlfn.IFNA(
INDEX(CA!C$2:C$78,MATCH($E93,CA!$A$2:$A$78,0)),
"")</f>
        <v>2-A</v>
      </c>
      <c r="J93" s="60">
        <f>_xlfn.IFNA(
INDEX(CA!D$2:D$78,MATCH($E93,CA!$A$2:$A$78,0)),
"")</f>
        <v>2</v>
      </c>
      <c r="K93" s="58" t="str">
        <f>_xlfn.IFNA(
INDEX(CA!E$2:E$78,MATCH($E93,CA!$A$2:$A$78,0)),
"")</f>
        <v>NORTHWEST</v>
      </c>
      <c r="L93" s="15" t="e">
        <v>#VALUE!</v>
      </c>
      <c r="M93" s="15" t="e">
        <v>#VALUE!</v>
      </c>
      <c r="N93" s="15" t="e">
        <v>#VALUE!</v>
      </c>
      <c r="O93" s="15" t="e">
        <v>#VALUE!</v>
      </c>
      <c r="P93" s="15" t="e">
        <v>#VALUE!</v>
      </c>
      <c r="Q93" s="15" t="e">
        <v>#VALUE!</v>
      </c>
      <c r="R93" s="15" t="e">
        <v>#VALUE!</v>
      </c>
      <c r="S93" s="15" t="e">
        <v>#VALUE!</v>
      </c>
      <c r="T93" s="129">
        <v>0.30565701814451762</v>
      </c>
      <c r="U93" s="130" t="e">
        <f t="shared" si="7"/>
        <v>#VALUE!</v>
      </c>
      <c r="V93" s="129">
        <v>0.30565701814451762</v>
      </c>
      <c r="W93" s="130" t="e">
        <f t="shared" si="4"/>
        <v>#VALUE!</v>
      </c>
      <c r="X93" s="129">
        <v>0.30565701814451762</v>
      </c>
      <c r="Y93" s="130" t="e">
        <f t="shared" si="5"/>
        <v>#VALUE!</v>
      </c>
      <c r="Z93" s="129">
        <v>0.30565701814451762</v>
      </c>
      <c r="AA93" s="130" t="e">
        <f t="shared" si="6"/>
        <v>#VALUE!</v>
      </c>
    </row>
    <row r="94" spans="1:27" x14ac:dyDescent="0.3">
      <c r="A94">
        <v>110502</v>
      </c>
      <c r="B94">
        <v>17031110502</v>
      </c>
      <c r="C94">
        <v>17031</v>
      </c>
      <c r="D94">
        <v>2010</v>
      </c>
      <c r="E94">
        <v>11</v>
      </c>
      <c r="F94">
        <v>6997404.8771438804</v>
      </c>
      <c r="G94" s="43">
        <v>0.250997362730425</v>
      </c>
      <c r="H94" s="58" t="str">
        <f>_xlfn.IFNA(
INDEX(CA!B$2:B$78,MATCH($E94,CA!$A$2:$A$78,0)),
"")</f>
        <v>JEFFERSON PARK</v>
      </c>
      <c r="I94" s="60" t="str">
        <f>_xlfn.IFNA(
INDEX(CA!C$2:C$78,MATCH($E94,CA!$A$2:$A$78,0)),
"")</f>
        <v>2-A</v>
      </c>
      <c r="J94" s="60">
        <f>_xlfn.IFNA(
INDEX(CA!D$2:D$78,MATCH($E94,CA!$A$2:$A$78,0)),
"")</f>
        <v>2</v>
      </c>
      <c r="K94" s="58" t="str">
        <f>_xlfn.IFNA(
INDEX(CA!E$2:E$78,MATCH($E94,CA!$A$2:$A$78,0)),
"")</f>
        <v>NORTHWEST</v>
      </c>
      <c r="L94" s="15" t="e">
        <v>#VALUE!</v>
      </c>
      <c r="M94" s="15" t="e">
        <v>#VALUE!</v>
      </c>
      <c r="N94" s="15" t="e">
        <v>#VALUE!</v>
      </c>
      <c r="O94" s="15" t="e">
        <v>#VALUE!</v>
      </c>
      <c r="P94" s="15" t="e">
        <v>#VALUE!</v>
      </c>
      <c r="Q94" s="15" t="e">
        <v>#VALUE!</v>
      </c>
      <c r="R94" s="15" t="e">
        <v>#VALUE!</v>
      </c>
      <c r="S94" s="15" t="e">
        <v>#VALUE!</v>
      </c>
      <c r="T94" s="129">
        <v>0.25099736470585182</v>
      </c>
      <c r="U94" s="130" t="e">
        <f t="shared" si="7"/>
        <v>#VALUE!</v>
      </c>
      <c r="V94" s="129">
        <v>0.25099736470585182</v>
      </c>
      <c r="W94" s="130" t="e">
        <f t="shared" si="4"/>
        <v>#VALUE!</v>
      </c>
      <c r="X94" s="129">
        <v>0.25099736470585182</v>
      </c>
      <c r="Y94" s="130" t="e">
        <f t="shared" si="5"/>
        <v>#VALUE!</v>
      </c>
      <c r="Z94" s="129">
        <v>0.25099736470585182</v>
      </c>
      <c r="AA94" s="130" t="e">
        <f t="shared" si="6"/>
        <v>#VALUE!</v>
      </c>
    </row>
    <row r="95" spans="1:27" x14ac:dyDescent="0.3">
      <c r="A95">
        <v>110100</v>
      </c>
      <c r="B95">
        <v>17031110100</v>
      </c>
      <c r="C95">
        <v>17031</v>
      </c>
      <c r="D95">
        <v>2010</v>
      </c>
      <c r="E95">
        <v>11</v>
      </c>
      <c r="F95">
        <v>19855898.4223422</v>
      </c>
      <c r="G95" s="43">
        <v>0.7122323527297908</v>
      </c>
      <c r="H95" s="58" t="str">
        <f>_xlfn.IFNA(
INDEX(CA!B$2:B$78,MATCH($E95,CA!$A$2:$A$78,0)),
"")</f>
        <v>JEFFERSON PARK</v>
      </c>
      <c r="I95" s="60" t="str">
        <f>_xlfn.IFNA(
INDEX(CA!C$2:C$78,MATCH($E95,CA!$A$2:$A$78,0)),
"")</f>
        <v>2-A</v>
      </c>
      <c r="J95" s="60">
        <f>_xlfn.IFNA(
INDEX(CA!D$2:D$78,MATCH($E95,CA!$A$2:$A$78,0)),
"")</f>
        <v>2</v>
      </c>
      <c r="K95" s="58" t="str">
        <f>_xlfn.IFNA(
INDEX(CA!E$2:E$78,MATCH($E95,CA!$A$2:$A$78,0)),
"")</f>
        <v>NORTHWEST</v>
      </c>
      <c r="L95" s="15" t="e">
        <v>#VALUE!</v>
      </c>
      <c r="M95" s="15" t="e">
        <v>#VALUE!</v>
      </c>
      <c r="N95" s="15" t="e">
        <v>#VALUE!</v>
      </c>
      <c r="O95" s="15" t="e">
        <v>#VALUE!</v>
      </c>
      <c r="P95" s="15" t="e">
        <v>#VALUE!</v>
      </c>
      <c r="Q95" s="15" t="e">
        <v>#VALUE!</v>
      </c>
      <c r="R95" s="15" t="e">
        <v>#VALUE!</v>
      </c>
      <c r="S95" s="15" t="e">
        <v>#VALUE!</v>
      </c>
      <c r="T95" s="129">
        <v>0.71223235434249821</v>
      </c>
      <c r="U95" s="130" t="e">
        <f t="shared" si="7"/>
        <v>#VALUE!</v>
      </c>
      <c r="V95" s="129">
        <v>0.71223235434249821</v>
      </c>
      <c r="W95" s="130" t="e">
        <f t="shared" si="4"/>
        <v>#VALUE!</v>
      </c>
      <c r="X95" s="129">
        <v>0.71223235434249821</v>
      </c>
      <c r="Y95" s="130" t="e">
        <f t="shared" si="5"/>
        <v>#VALUE!</v>
      </c>
      <c r="Z95" s="129">
        <v>0.71223235434249821</v>
      </c>
      <c r="AA95" s="130" t="e">
        <f t="shared" si="6"/>
        <v>#VALUE!</v>
      </c>
    </row>
    <row r="96" spans="1:27" x14ac:dyDescent="0.3">
      <c r="A96">
        <v>110200</v>
      </c>
      <c r="B96">
        <v>17031110200</v>
      </c>
      <c r="C96">
        <v>17031</v>
      </c>
      <c r="D96">
        <v>2010</v>
      </c>
      <c r="E96">
        <v>11</v>
      </c>
      <c r="F96">
        <v>6434181.5074040797</v>
      </c>
      <c r="G96" s="43">
        <v>0.23079450425433595</v>
      </c>
      <c r="H96" s="58" t="str">
        <f>_xlfn.IFNA(
INDEX(CA!B$2:B$78,MATCH($E96,CA!$A$2:$A$78,0)),
"")</f>
        <v>JEFFERSON PARK</v>
      </c>
      <c r="I96" s="60" t="str">
        <f>_xlfn.IFNA(
INDEX(CA!C$2:C$78,MATCH($E96,CA!$A$2:$A$78,0)),
"")</f>
        <v>2-A</v>
      </c>
      <c r="J96" s="60">
        <f>_xlfn.IFNA(
INDEX(CA!D$2:D$78,MATCH($E96,CA!$A$2:$A$78,0)),
"")</f>
        <v>2</v>
      </c>
      <c r="K96" s="58" t="str">
        <f>_xlfn.IFNA(
INDEX(CA!E$2:E$78,MATCH($E96,CA!$A$2:$A$78,0)),
"")</f>
        <v>NORTHWEST</v>
      </c>
      <c r="L96" s="15" t="e">
        <v>#VALUE!</v>
      </c>
      <c r="M96" s="15" t="e">
        <v>#VALUE!</v>
      </c>
      <c r="N96" s="15" t="e">
        <v>#VALUE!</v>
      </c>
      <c r="O96" s="15" t="e">
        <v>#VALUE!</v>
      </c>
      <c r="P96" s="15" t="e">
        <v>#VALUE!</v>
      </c>
      <c r="Q96" s="15" t="e">
        <v>#VALUE!</v>
      </c>
      <c r="R96" s="15" t="e">
        <v>#VALUE!</v>
      </c>
      <c r="S96" s="15" t="e">
        <v>#VALUE!</v>
      </c>
      <c r="T96" s="129">
        <v>0.2307944957406397</v>
      </c>
      <c r="U96" s="130" t="e">
        <f t="shared" si="7"/>
        <v>#VALUE!</v>
      </c>
      <c r="V96" s="129">
        <v>0.2307944957406397</v>
      </c>
      <c r="W96" s="130" t="e">
        <f t="shared" si="4"/>
        <v>#VALUE!</v>
      </c>
      <c r="X96" s="129">
        <v>0.2307944957406397</v>
      </c>
      <c r="Y96" s="130" t="e">
        <f t="shared" si="5"/>
        <v>#VALUE!</v>
      </c>
      <c r="Z96" s="129">
        <v>0.2307944957406397</v>
      </c>
      <c r="AA96" s="130" t="e">
        <f t="shared" si="6"/>
        <v>#VALUE!</v>
      </c>
    </row>
    <row r="97" spans="1:27" x14ac:dyDescent="0.3">
      <c r="A97">
        <v>110300</v>
      </c>
      <c r="B97">
        <v>17031110300</v>
      </c>
      <c r="C97">
        <v>17031</v>
      </c>
      <c r="D97">
        <v>2010</v>
      </c>
      <c r="E97">
        <v>11</v>
      </c>
      <c r="F97">
        <v>13012577.529173</v>
      </c>
      <c r="G97" s="43">
        <v>0.46676199240892591</v>
      </c>
      <c r="H97" s="58" t="str">
        <f>_xlfn.IFNA(
INDEX(CA!B$2:B$78,MATCH($E97,CA!$A$2:$A$78,0)),
"")</f>
        <v>JEFFERSON PARK</v>
      </c>
      <c r="I97" s="60" t="str">
        <f>_xlfn.IFNA(
INDEX(CA!C$2:C$78,MATCH($E97,CA!$A$2:$A$78,0)),
"")</f>
        <v>2-A</v>
      </c>
      <c r="J97" s="60">
        <f>_xlfn.IFNA(
INDEX(CA!D$2:D$78,MATCH($E97,CA!$A$2:$A$78,0)),
"")</f>
        <v>2</v>
      </c>
      <c r="K97" s="58" t="str">
        <f>_xlfn.IFNA(
INDEX(CA!E$2:E$78,MATCH($E97,CA!$A$2:$A$78,0)),
"")</f>
        <v>NORTHWEST</v>
      </c>
      <c r="L97" s="15" t="e">
        <v>#VALUE!</v>
      </c>
      <c r="M97" s="15" t="e">
        <v>#VALUE!</v>
      </c>
      <c r="N97" s="15" t="e">
        <v>#VALUE!</v>
      </c>
      <c r="O97" s="15" t="e">
        <v>#VALUE!</v>
      </c>
      <c r="P97" s="15" t="e">
        <v>#VALUE!</v>
      </c>
      <c r="Q97" s="15" t="e">
        <v>#VALUE!</v>
      </c>
      <c r="R97" s="15" t="e">
        <v>#VALUE!</v>
      </c>
      <c r="S97" s="15" t="e">
        <v>#VALUE!</v>
      </c>
      <c r="T97" s="129">
        <v>0.46116442437742122</v>
      </c>
      <c r="U97" s="130" t="e">
        <f t="shared" si="7"/>
        <v>#VALUE!</v>
      </c>
      <c r="V97" s="129">
        <v>0.26542353154635556</v>
      </c>
      <c r="W97" s="130" t="e">
        <f t="shared" si="4"/>
        <v>#VALUE!</v>
      </c>
      <c r="X97" s="129">
        <v>0.26542353154635556</v>
      </c>
      <c r="Y97" s="130" t="e">
        <f t="shared" si="5"/>
        <v>#VALUE!</v>
      </c>
      <c r="Z97" s="129">
        <v>0.26542353154635556</v>
      </c>
      <c r="AA97" s="130" t="e">
        <f t="shared" si="6"/>
        <v>#VALUE!</v>
      </c>
    </row>
    <row r="98" spans="1:27" x14ac:dyDescent="0.3">
      <c r="A98">
        <v>110400</v>
      </c>
      <c r="B98">
        <v>17031110400</v>
      </c>
      <c r="C98">
        <v>17031</v>
      </c>
      <c r="D98">
        <v>2010</v>
      </c>
      <c r="E98">
        <v>11</v>
      </c>
      <c r="F98">
        <v>10046870.7141113</v>
      </c>
      <c r="G98" s="43">
        <v>0.3603818983195341</v>
      </c>
      <c r="H98" s="58" t="str">
        <f>_xlfn.IFNA(
INDEX(CA!B$2:B$78,MATCH($E98,CA!$A$2:$A$78,0)),
"")</f>
        <v>JEFFERSON PARK</v>
      </c>
      <c r="I98" s="60" t="str">
        <f>_xlfn.IFNA(
INDEX(CA!C$2:C$78,MATCH($E98,CA!$A$2:$A$78,0)),
"")</f>
        <v>2-A</v>
      </c>
      <c r="J98" s="60">
        <f>_xlfn.IFNA(
INDEX(CA!D$2:D$78,MATCH($E98,CA!$A$2:$A$78,0)),
"")</f>
        <v>2</v>
      </c>
      <c r="K98" s="58" t="str">
        <f>_xlfn.IFNA(
INDEX(CA!E$2:E$78,MATCH($E98,CA!$A$2:$A$78,0)),
"")</f>
        <v>NORTHWEST</v>
      </c>
      <c r="L98" s="15" t="e">
        <v>#VALUE!</v>
      </c>
      <c r="M98" s="15" t="e">
        <v>#VALUE!</v>
      </c>
      <c r="N98" s="15" t="e">
        <v>#VALUE!</v>
      </c>
      <c r="O98" s="15" t="e">
        <v>#VALUE!</v>
      </c>
      <c r="P98" s="15" t="e">
        <v>#VALUE!</v>
      </c>
      <c r="Q98" s="15" t="e">
        <v>#VALUE!</v>
      </c>
      <c r="R98" s="15" t="e">
        <v>#VALUE!</v>
      </c>
      <c r="S98" s="15" t="e">
        <v>#VALUE!</v>
      </c>
      <c r="T98" s="129">
        <v>0.36038190032564993</v>
      </c>
      <c r="U98" s="130" t="e">
        <f t="shared" si="7"/>
        <v>#VALUE!</v>
      </c>
      <c r="V98" s="129">
        <v>0.35004983064560413</v>
      </c>
      <c r="W98" s="130" t="e">
        <f t="shared" si="4"/>
        <v>#VALUE!</v>
      </c>
      <c r="X98" s="129">
        <v>0.35004983064560413</v>
      </c>
      <c r="Y98" s="130" t="e">
        <f t="shared" si="5"/>
        <v>#VALUE!</v>
      </c>
      <c r="Z98" s="129">
        <v>0.35004983064560413</v>
      </c>
      <c r="AA98" s="130" t="e">
        <f t="shared" si="6"/>
        <v>#VALUE!</v>
      </c>
    </row>
    <row r="99" spans="1:27" x14ac:dyDescent="0.3">
      <c r="A99">
        <v>120400</v>
      </c>
      <c r="B99">
        <v>17031120400</v>
      </c>
      <c r="C99">
        <v>17031</v>
      </c>
      <c r="D99">
        <v>2010</v>
      </c>
      <c r="E99">
        <v>12</v>
      </c>
      <c r="F99">
        <v>11627763.4434561</v>
      </c>
      <c r="G99" s="43">
        <v>0.4170886221395812</v>
      </c>
      <c r="H99" s="58" t="str">
        <f>_xlfn.IFNA(
INDEX(CA!B$2:B$78,MATCH($E99,CA!$A$2:$A$78,0)),
"")</f>
        <v>FOREST GLEN</v>
      </c>
      <c r="I99" s="60" t="str">
        <f>_xlfn.IFNA(
INDEX(CA!C$2:C$78,MATCH($E99,CA!$A$2:$A$78,0)),
"")</f>
        <v>2-A</v>
      </c>
      <c r="J99" s="60">
        <f>_xlfn.IFNA(
INDEX(CA!D$2:D$78,MATCH($E99,CA!$A$2:$A$78,0)),
"")</f>
        <v>2</v>
      </c>
      <c r="K99" s="58" t="str">
        <f>_xlfn.IFNA(
INDEX(CA!E$2:E$78,MATCH($E99,CA!$A$2:$A$78,0)),
"")</f>
        <v>NORTHWEST</v>
      </c>
      <c r="L99" s="15" t="e">
        <v>#VALUE!</v>
      </c>
      <c r="M99" s="15" t="e">
        <v>#VALUE!</v>
      </c>
      <c r="N99" s="15" t="e">
        <v>#VALUE!</v>
      </c>
      <c r="O99" s="15" t="e">
        <v>#VALUE!</v>
      </c>
      <c r="P99" s="15" t="e">
        <v>#VALUE!</v>
      </c>
      <c r="Q99" s="15" t="e">
        <v>#VALUE!</v>
      </c>
      <c r="R99" s="15" t="e">
        <v>#VALUE!</v>
      </c>
      <c r="S99" s="15" t="e">
        <v>#VALUE!</v>
      </c>
      <c r="T99" s="129">
        <v>0.41708861922025653</v>
      </c>
      <c r="U99" s="130" t="e">
        <f t="shared" si="7"/>
        <v>#VALUE!</v>
      </c>
      <c r="V99" s="129">
        <v>0.41708861922025653</v>
      </c>
      <c r="W99" s="130" t="e">
        <f t="shared" si="4"/>
        <v>#VALUE!</v>
      </c>
      <c r="X99" s="129">
        <v>0.41708861922025653</v>
      </c>
      <c r="Y99" s="130" t="e">
        <f t="shared" si="5"/>
        <v>#VALUE!</v>
      </c>
      <c r="Z99" s="129">
        <v>0.41708861922025653</v>
      </c>
      <c r="AA99" s="130" t="e">
        <f t="shared" si="6"/>
        <v>#VALUE!</v>
      </c>
    </row>
    <row r="100" spans="1:27" x14ac:dyDescent="0.3">
      <c r="A100">
        <v>120200</v>
      </c>
      <c r="B100">
        <v>17031120200</v>
      </c>
      <c r="C100">
        <v>17031</v>
      </c>
      <c r="D100">
        <v>2010</v>
      </c>
      <c r="E100">
        <v>12</v>
      </c>
      <c r="F100">
        <v>25645811.717586402</v>
      </c>
      <c r="G100" s="43">
        <v>0.91991691480093551</v>
      </c>
      <c r="H100" s="58" t="str">
        <f>_xlfn.IFNA(
INDEX(CA!B$2:B$78,MATCH($E100,CA!$A$2:$A$78,0)),
"")</f>
        <v>FOREST GLEN</v>
      </c>
      <c r="I100" s="60" t="str">
        <f>_xlfn.IFNA(
INDEX(CA!C$2:C$78,MATCH($E100,CA!$A$2:$A$78,0)),
"")</f>
        <v>2-A</v>
      </c>
      <c r="J100" s="60">
        <f>_xlfn.IFNA(
INDEX(CA!D$2:D$78,MATCH($E100,CA!$A$2:$A$78,0)),
"")</f>
        <v>2</v>
      </c>
      <c r="K100" s="58" t="str">
        <f>_xlfn.IFNA(
INDEX(CA!E$2:E$78,MATCH($E100,CA!$A$2:$A$78,0)),
"")</f>
        <v>NORTHWEST</v>
      </c>
      <c r="L100" s="15" t="e">
        <v>#VALUE!</v>
      </c>
      <c r="M100" s="15" t="e">
        <v>#VALUE!</v>
      </c>
      <c r="N100" s="15" t="e">
        <v>#VALUE!</v>
      </c>
      <c r="O100" s="15" t="e">
        <v>#VALUE!</v>
      </c>
      <c r="P100" s="15" t="e">
        <v>#VALUE!</v>
      </c>
      <c r="Q100" s="15" t="e">
        <v>#VALUE!</v>
      </c>
      <c r="R100" s="15" t="e">
        <v>#VALUE!</v>
      </c>
      <c r="S100" s="15" t="e">
        <v>#VALUE!</v>
      </c>
      <c r="T100" s="129">
        <v>0.67461793448072338</v>
      </c>
      <c r="U100" s="130" t="e">
        <f t="shared" si="7"/>
        <v>#VALUE!</v>
      </c>
      <c r="V100" s="129">
        <v>0.67461793448072338</v>
      </c>
      <c r="W100" s="130" t="e">
        <f t="shared" si="4"/>
        <v>#VALUE!</v>
      </c>
      <c r="X100" s="129">
        <v>0.67461793448072338</v>
      </c>
      <c r="Y100" s="130" t="e">
        <f t="shared" si="5"/>
        <v>#VALUE!</v>
      </c>
      <c r="Z100" s="129">
        <v>0.67461793448072338</v>
      </c>
      <c r="AA100" s="130" t="e">
        <f t="shared" si="6"/>
        <v>#VALUE!</v>
      </c>
    </row>
    <row r="101" spans="1:27" x14ac:dyDescent="0.3">
      <c r="A101">
        <v>120300</v>
      </c>
      <c r="B101">
        <v>17031120300</v>
      </c>
      <c r="C101">
        <v>17031</v>
      </c>
      <c r="D101">
        <v>2010</v>
      </c>
      <c r="E101">
        <v>12</v>
      </c>
      <c r="F101">
        <v>22100921.7388984</v>
      </c>
      <c r="G101" s="43">
        <v>0.7927614834028639</v>
      </c>
      <c r="H101" s="58" t="str">
        <f>_xlfn.IFNA(
INDEX(CA!B$2:B$78,MATCH($E101,CA!$A$2:$A$78,0)),
"")</f>
        <v>FOREST GLEN</v>
      </c>
      <c r="I101" s="60" t="str">
        <f>_xlfn.IFNA(
INDEX(CA!C$2:C$78,MATCH($E101,CA!$A$2:$A$78,0)),
"")</f>
        <v>2-A</v>
      </c>
      <c r="J101" s="60">
        <f>_xlfn.IFNA(
INDEX(CA!D$2:D$78,MATCH($E101,CA!$A$2:$A$78,0)),
"")</f>
        <v>2</v>
      </c>
      <c r="K101" s="58" t="str">
        <f>_xlfn.IFNA(
INDEX(CA!E$2:E$78,MATCH($E101,CA!$A$2:$A$78,0)),
"")</f>
        <v>NORTHWEST</v>
      </c>
      <c r="L101" s="15" t="e">
        <v>#VALUE!</v>
      </c>
      <c r="M101" s="15" t="e">
        <v>#VALUE!</v>
      </c>
      <c r="N101" s="15" t="e">
        <v>#VALUE!</v>
      </c>
      <c r="O101" s="15" t="e">
        <v>#VALUE!</v>
      </c>
      <c r="P101" s="15" t="e">
        <v>#VALUE!</v>
      </c>
      <c r="Q101" s="15" t="e">
        <v>#VALUE!</v>
      </c>
      <c r="R101" s="15" t="e">
        <v>#VALUE!</v>
      </c>
      <c r="S101" s="15" t="e">
        <v>#VALUE!</v>
      </c>
      <c r="T101" s="129">
        <v>0.77129667510033928</v>
      </c>
      <c r="U101" s="130" t="e">
        <f t="shared" si="7"/>
        <v>#VALUE!</v>
      </c>
      <c r="V101" s="129">
        <v>0.77129667510033928</v>
      </c>
      <c r="W101" s="130" t="e">
        <f t="shared" si="4"/>
        <v>#VALUE!</v>
      </c>
      <c r="X101" s="129">
        <v>0.77129667510033928</v>
      </c>
      <c r="Y101" s="130" t="e">
        <f t="shared" si="5"/>
        <v>#VALUE!</v>
      </c>
      <c r="Z101" s="129">
        <v>0.77129667510033928</v>
      </c>
      <c r="AA101" s="130" t="e">
        <f t="shared" si="6"/>
        <v>#VALUE!</v>
      </c>
    </row>
    <row r="102" spans="1:27" x14ac:dyDescent="0.3">
      <c r="A102">
        <v>120100</v>
      </c>
      <c r="B102">
        <v>17031120100</v>
      </c>
      <c r="C102">
        <v>17031</v>
      </c>
      <c r="D102">
        <v>2010</v>
      </c>
      <c r="E102">
        <v>12</v>
      </c>
      <c r="F102">
        <v>29756396.911329899</v>
      </c>
      <c r="G102" s="43">
        <v>1.0673638699254584</v>
      </c>
      <c r="H102" s="58" t="str">
        <f>_xlfn.IFNA(
INDEX(CA!B$2:B$78,MATCH($E102,CA!$A$2:$A$78,0)),
"")</f>
        <v>FOREST GLEN</v>
      </c>
      <c r="I102" s="60" t="str">
        <f>_xlfn.IFNA(
INDEX(CA!C$2:C$78,MATCH($E102,CA!$A$2:$A$78,0)),
"")</f>
        <v>2-A</v>
      </c>
      <c r="J102" s="60">
        <f>_xlfn.IFNA(
INDEX(CA!D$2:D$78,MATCH($E102,CA!$A$2:$A$78,0)),
"")</f>
        <v>2</v>
      </c>
      <c r="K102" s="58" t="str">
        <f>_xlfn.IFNA(
INDEX(CA!E$2:E$78,MATCH($E102,CA!$A$2:$A$78,0)),
"")</f>
        <v>NORTHWEST</v>
      </c>
      <c r="L102" s="15" t="e">
        <v>#VALUE!</v>
      </c>
      <c r="M102" s="15" t="e">
        <v>#VALUE!</v>
      </c>
      <c r="N102" s="15" t="e">
        <v>#VALUE!</v>
      </c>
      <c r="O102" s="15" t="e">
        <v>#VALUE!</v>
      </c>
      <c r="P102" s="15" t="e">
        <v>#VALUE!</v>
      </c>
      <c r="Q102" s="15" t="e">
        <v>#VALUE!</v>
      </c>
      <c r="R102" s="15" t="e">
        <v>#VALUE!</v>
      </c>
      <c r="S102" s="15" t="e">
        <v>#VALUE!</v>
      </c>
      <c r="T102" s="129">
        <v>0.90822428385926746</v>
      </c>
      <c r="U102" s="130" t="e">
        <f t="shared" si="7"/>
        <v>#VALUE!</v>
      </c>
      <c r="V102" s="129">
        <v>0.90822428385926746</v>
      </c>
      <c r="W102" s="130" t="e">
        <f t="shared" si="4"/>
        <v>#VALUE!</v>
      </c>
      <c r="X102" s="129">
        <v>0.90822428385926746</v>
      </c>
      <c r="Y102" s="130" t="e">
        <f t="shared" si="5"/>
        <v>#VALUE!</v>
      </c>
      <c r="Z102" s="129">
        <v>0.90822428385926746</v>
      </c>
      <c r="AA102" s="130" t="e">
        <f t="shared" si="6"/>
        <v>#VALUE!</v>
      </c>
    </row>
    <row r="103" spans="1:27" x14ac:dyDescent="0.3">
      <c r="A103">
        <v>831800</v>
      </c>
      <c r="B103">
        <v>17031831800</v>
      </c>
      <c r="C103">
        <v>17031</v>
      </c>
      <c r="D103">
        <v>2010</v>
      </c>
      <c r="E103">
        <v>13</v>
      </c>
      <c r="F103">
        <v>20281970.8775842</v>
      </c>
      <c r="G103" s="43">
        <v>0.72751559908689878</v>
      </c>
      <c r="H103" s="58" t="str">
        <f>_xlfn.IFNA(
INDEX(CA!B$2:B$78,MATCH($E103,CA!$A$2:$A$78,0)),
"")</f>
        <v>NORTH PARK</v>
      </c>
      <c r="I103" s="60" t="str">
        <f>_xlfn.IFNA(
INDEX(CA!C$2:C$78,MATCH($E103,CA!$A$2:$A$78,0)),
"")</f>
        <v>2-A</v>
      </c>
      <c r="J103" s="60">
        <f>_xlfn.IFNA(
INDEX(CA!D$2:D$78,MATCH($E103,CA!$A$2:$A$78,0)),
"")</f>
        <v>2</v>
      </c>
      <c r="K103" s="58" t="str">
        <f>_xlfn.IFNA(
INDEX(CA!E$2:E$78,MATCH($E103,CA!$A$2:$A$78,0)),
"")</f>
        <v>NORTHWEST</v>
      </c>
      <c r="L103" s="15" t="e">
        <v>#VALUE!</v>
      </c>
      <c r="M103" s="15" t="e">
        <v>#VALUE!</v>
      </c>
      <c r="N103" s="15" t="e">
        <v>#VALUE!</v>
      </c>
      <c r="O103" s="15" t="e">
        <v>#VALUE!</v>
      </c>
      <c r="P103" s="15" t="e">
        <v>#VALUE!</v>
      </c>
      <c r="Q103" s="15" t="e">
        <v>#VALUE!</v>
      </c>
      <c r="R103" s="15" t="e">
        <v>#VALUE!</v>
      </c>
      <c r="S103" s="15" t="e">
        <v>#VALUE!</v>
      </c>
      <c r="T103" s="129">
        <v>0.69360630141616453</v>
      </c>
      <c r="U103" s="130" t="e">
        <f t="shared" si="7"/>
        <v>#VALUE!</v>
      </c>
      <c r="V103" s="129">
        <v>0.65543838092770035</v>
      </c>
      <c r="W103" s="130" t="e">
        <f t="shared" si="4"/>
        <v>#VALUE!</v>
      </c>
      <c r="X103" s="129">
        <v>0.65543838092770035</v>
      </c>
      <c r="Y103" s="130" t="e">
        <f t="shared" si="5"/>
        <v>#VALUE!</v>
      </c>
      <c r="Z103" s="129">
        <v>0.65543838092770035</v>
      </c>
      <c r="AA103" s="130" t="e">
        <f t="shared" si="6"/>
        <v>#VALUE!</v>
      </c>
    </row>
    <row r="104" spans="1:27" x14ac:dyDescent="0.3">
      <c r="A104">
        <v>130100</v>
      </c>
      <c r="B104">
        <v>17031130100</v>
      </c>
      <c r="C104">
        <v>17031</v>
      </c>
      <c r="D104">
        <v>2010</v>
      </c>
      <c r="E104">
        <v>13</v>
      </c>
      <c r="F104">
        <v>19824694.144980401</v>
      </c>
      <c r="G104" s="43">
        <v>0.71111305329503849</v>
      </c>
      <c r="H104" s="58" t="str">
        <f>_xlfn.IFNA(
INDEX(CA!B$2:B$78,MATCH($E104,CA!$A$2:$A$78,0)),
"")</f>
        <v>NORTH PARK</v>
      </c>
      <c r="I104" s="60" t="str">
        <f>_xlfn.IFNA(
INDEX(CA!C$2:C$78,MATCH($E104,CA!$A$2:$A$78,0)),
"")</f>
        <v>2-A</v>
      </c>
      <c r="J104" s="60">
        <f>_xlfn.IFNA(
INDEX(CA!D$2:D$78,MATCH($E104,CA!$A$2:$A$78,0)),
"")</f>
        <v>2</v>
      </c>
      <c r="K104" s="58" t="str">
        <f>_xlfn.IFNA(
INDEX(CA!E$2:E$78,MATCH($E104,CA!$A$2:$A$78,0)),
"")</f>
        <v>NORTHWEST</v>
      </c>
      <c r="L104" s="15" t="e">
        <v>#VALUE!</v>
      </c>
      <c r="M104" s="15" t="e">
        <v>#VALUE!</v>
      </c>
      <c r="N104" s="15" t="e">
        <v>#VALUE!</v>
      </c>
      <c r="O104" s="15" t="e">
        <v>#VALUE!</v>
      </c>
      <c r="P104" s="15" t="e">
        <v>#VALUE!</v>
      </c>
      <c r="Q104" s="15" t="e">
        <v>#VALUE!</v>
      </c>
      <c r="R104" s="15" t="e">
        <v>#VALUE!</v>
      </c>
      <c r="S104" s="15" t="e">
        <v>#VALUE!</v>
      </c>
      <c r="T104" s="129">
        <v>0.42095247015919851</v>
      </c>
      <c r="U104" s="130" t="e">
        <f t="shared" si="7"/>
        <v>#VALUE!</v>
      </c>
      <c r="V104" s="129">
        <v>0.31833462231253662</v>
      </c>
      <c r="W104" s="130" t="e">
        <f t="shared" si="4"/>
        <v>#VALUE!</v>
      </c>
      <c r="X104" s="129">
        <v>0.31833462231253662</v>
      </c>
      <c r="Y104" s="130" t="e">
        <f t="shared" si="5"/>
        <v>#VALUE!</v>
      </c>
      <c r="Z104" s="129">
        <v>0.31833462231253662</v>
      </c>
      <c r="AA104" s="130" t="e">
        <f t="shared" si="6"/>
        <v>#VALUE!</v>
      </c>
    </row>
    <row r="105" spans="1:27" x14ac:dyDescent="0.3">
      <c r="A105">
        <v>130300</v>
      </c>
      <c r="B105">
        <v>17031130300</v>
      </c>
      <c r="C105">
        <v>17031</v>
      </c>
      <c r="D105">
        <v>2010</v>
      </c>
      <c r="E105">
        <v>13</v>
      </c>
      <c r="F105">
        <v>7794513.6354732402</v>
      </c>
      <c r="G105" s="43">
        <v>0.27958970512917669</v>
      </c>
      <c r="H105" s="58" t="str">
        <f>_xlfn.IFNA(
INDEX(CA!B$2:B$78,MATCH($E105,CA!$A$2:$A$78,0)),
"")</f>
        <v>NORTH PARK</v>
      </c>
      <c r="I105" s="60" t="str">
        <f>_xlfn.IFNA(
INDEX(CA!C$2:C$78,MATCH($E105,CA!$A$2:$A$78,0)),
"")</f>
        <v>2-A</v>
      </c>
      <c r="J105" s="60">
        <f>_xlfn.IFNA(
INDEX(CA!D$2:D$78,MATCH($E105,CA!$A$2:$A$78,0)),
"")</f>
        <v>2</v>
      </c>
      <c r="K105" s="58" t="str">
        <f>_xlfn.IFNA(
INDEX(CA!E$2:E$78,MATCH($E105,CA!$A$2:$A$78,0)),
"")</f>
        <v>NORTHWEST</v>
      </c>
      <c r="L105" s="15" t="e">
        <v>#VALUE!</v>
      </c>
      <c r="M105" s="15" t="e">
        <v>#VALUE!</v>
      </c>
      <c r="N105" s="15" t="e">
        <v>#VALUE!</v>
      </c>
      <c r="O105" s="15" t="e">
        <v>#VALUE!</v>
      </c>
      <c r="P105" s="15" t="e">
        <v>#VALUE!</v>
      </c>
      <c r="Q105" s="15" t="e">
        <v>#VALUE!</v>
      </c>
      <c r="R105" s="15" t="e">
        <v>#VALUE!</v>
      </c>
      <c r="S105" s="15" t="e">
        <v>#VALUE!</v>
      </c>
      <c r="T105" s="129">
        <v>0.27958970639666048</v>
      </c>
      <c r="U105" s="130" t="e">
        <f t="shared" si="7"/>
        <v>#VALUE!</v>
      </c>
      <c r="V105" s="129">
        <v>0.26729054228185373</v>
      </c>
      <c r="W105" s="130" t="e">
        <f t="shared" si="4"/>
        <v>#VALUE!</v>
      </c>
      <c r="X105" s="129">
        <v>0.26729054228185373</v>
      </c>
      <c r="Y105" s="130" t="e">
        <f t="shared" si="5"/>
        <v>#VALUE!</v>
      </c>
      <c r="Z105" s="129">
        <v>0.26729054228185373</v>
      </c>
      <c r="AA105" s="130" t="e">
        <f t="shared" si="6"/>
        <v>#VALUE!</v>
      </c>
    </row>
    <row r="106" spans="1:27" x14ac:dyDescent="0.3">
      <c r="A106">
        <v>130200</v>
      </c>
      <c r="B106">
        <v>17031130200</v>
      </c>
      <c r="C106">
        <v>17031</v>
      </c>
      <c r="D106">
        <v>2010</v>
      </c>
      <c r="E106">
        <v>13</v>
      </c>
      <c r="F106">
        <v>22387527.964819402</v>
      </c>
      <c r="G106" s="43">
        <v>0.80304206714945625</v>
      </c>
      <c r="H106" s="58" t="str">
        <f>_xlfn.IFNA(
INDEX(CA!B$2:B$78,MATCH($E106,CA!$A$2:$A$78,0)),
"")</f>
        <v>NORTH PARK</v>
      </c>
      <c r="I106" s="60" t="str">
        <f>_xlfn.IFNA(
INDEX(CA!C$2:C$78,MATCH($E106,CA!$A$2:$A$78,0)),
"")</f>
        <v>2-A</v>
      </c>
      <c r="J106" s="60">
        <f>_xlfn.IFNA(
INDEX(CA!D$2:D$78,MATCH($E106,CA!$A$2:$A$78,0)),
"")</f>
        <v>2</v>
      </c>
      <c r="K106" s="58" t="str">
        <f>_xlfn.IFNA(
INDEX(CA!E$2:E$78,MATCH($E106,CA!$A$2:$A$78,0)),
"")</f>
        <v>NORTHWEST</v>
      </c>
      <c r="L106" s="15" t="e">
        <v>#VALUE!</v>
      </c>
      <c r="M106" s="15" t="e">
        <v>#VALUE!</v>
      </c>
      <c r="N106" s="15" t="e">
        <v>#VALUE!</v>
      </c>
      <c r="O106" s="15" t="e">
        <v>#VALUE!</v>
      </c>
      <c r="P106" s="15" t="e">
        <v>#VALUE!</v>
      </c>
      <c r="Q106" s="15" t="e">
        <v>#VALUE!</v>
      </c>
      <c r="R106" s="15" t="e">
        <v>#VALUE!</v>
      </c>
      <c r="S106" s="15" t="e">
        <v>#VALUE!</v>
      </c>
      <c r="T106" s="129">
        <v>0.7993508787371657</v>
      </c>
      <c r="U106" s="130" t="e">
        <f t="shared" si="7"/>
        <v>#VALUE!</v>
      </c>
      <c r="V106" s="129">
        <v>0.7993508787371657</v>
      </c>
      <c r="W106" s="130" t="e">
        <f t="shared" si="4"/>
        <v>#VALUE!</v>
      </c>
      <c r="X106" s="129">
        <v>0.7993508787371657</v>
      </c>
      <c r="Y106" s="130" t="e">
        <f t="shared" si="5"/>
        <v>#VALUE!</v>
      </c>
      <c r="Z106" s="129">
        <v>0.7993508787371657</v>
      </c>
      <c r="AA106" s="130" t="e">
        <f t="shared" si="6"/>
        <v>#VALUE!</v>
      </c>
    </row>
    <row r="107" spans="1:27" x14ac:dyDescent="0.3">
      <c r="A107">
        <v>140200</v>
      </c>
      <c r="B107">
        <v>17031140200</v>
      </c>
      <c r="C107">
        <v>17031</v>
      </c>
      <c r="D107">
        <v>2010</v>
      </c>
      <c r="E107">
        <v>14</v>
      </c>
      <c r="F107">
        <v>4367300.6699096896</v>
      </c>
      <c r="G107" s="43">
        <v>0.15665535575605807</v>
      </c>
      <c r="H107" s="58" t="str">
        <f>_xlfn.IFNA(
INDEX(CA!B$2:B$78,MATCH($E107,CA!$A$2:$A$78,0)),
"")</f>
        <v>ALBANY PARK</v>
      </c>
      <c r="I107" s="60" t="str">
        <f>_xlfn.IFNA(
INDEX(CA!C$2:C$78,MATCH($E107,CA!$A$2:$A$78,0)),
"")</f>
        <v>2-A</v>
      </c>
      <c r="J107" s="60">
        <f>_xlfn.IFNA(
INDEX(CA!D$2:D$78,MATCH($E107,CA!$A$2:$A$78,0)),
"")</f>
        <v>2</v>
      </c>
      <c r="K107" s="58" t="str">
        <f>_xlfn.IFNA(
INDEX(CA!E$2:E$78,MATCH($E107,CA!$A$2:$A$78,0)),
"")</f>
        <v>NORTHWEST</v>
      </c>
      <c r="L107" s="15" t="e">
        <v>#VALUE!</v>
      </c>
      <c r="M107" s="15" t="e">
        <v>#VALUE!</v>
      </c>
      <c r="N107" s="15" t="e">
        <v>#VALUE!</v>
      </c>
      <c r="O107" s="15" t="e">
        <v>#VALUE!</v>
      </c>
      <c r="P107" s="15" t="e">
        <v>#VALUE!</v>
      </c>
      <c r="Q107" s="15" t="e">
        <v>#VALUE!</v>
      </c>
      <c r="R107" s="15" t="e">
        <v>#VALUE!</v>
      </c>
      <c r="S107" s="15" t="e">
        <v>#VALUE!</v>
      </c>
      <c r="T107" s="129">
        <v>0.15665535575309095</v>
      </c>
      <c r="U107" s="130" t="e">
        <f t="shared" si="7"/>
        <v>#VALUE!</v>
      </c>
      <c r="V107" s="129">
        <v>0.15665535575309095</v>
      </c>
      <c r="W107" s="130" t="e">
        <f t="shared" si="4"/>
        <v>#VALUE!</v>
      </c>
      <c r="X107" s="129">
        <v>0.15665535575309095</v>
      </c>
      <c r="Y107" s="130" t="e">
        <f t="shared" si="5"/>
        <v>#VALUE!</v>
      </c>
      <c r="Z107" s="129">
        <v>0.15665535575309095</v>
      </c>
      <c r="AA107" s="130" t="e">
        <f t="shared" si="6"/>
        <v>#VALUE!</v>
      </c>
    </row>
    <row r="108" spans="1:27" x14ac:dyDescent="0.3">
      <c r="A108">
        <v>140400</v>
      </c>
      <c r="B108">
        <v>17031140400</v>
      </c>
      <c r="C108">
        <v>17031</v>
      </c>
      <c r="D108">
        <v>2010</v>
      </c>
      <c r="E108">
        <v>14</v>
      </c>
      <c r="F108">
        <v>12708655.9271711</v>
      </c>
      <c r="G108" s="43">
        <v>0.45586030500929392</v>
      </c>
      <c r="H108" s="58" t="str">
        <f>_xlfn.IFNA(
INDEX(CA!B$2:B$78,MATCH($E108,CA!$A$2:$A$78,0)),
"")</f>
        <v>ALBANY PARK</v>
      </c>
      <c r="I108" s="60" t="str">
        <f>_xlfn.IFNA(
INDEX(CA!C$2:C$78,MATCH($E108,CA!$A$2:$A$78,0)),
"")</f>
        <v>2-A</v>
      </c>
      <c r="J108" s="60">
        <f>_xlfn.IFNA(
INDEX(CA!D$2:D$78,MATCH($E108,CA!$A$2:$A$78,0)),
"")</f>
        <v>2</v>
      </c>
      <c r="K108" s="58" t="str">
        <f>_xlfn.IFNA(
INDEX(CA!E$2:E$78,MATCH($E108,CA!$A$2:$A$78,0)),
"")</f>
        <v>NORTHWEST</v>
      </c>
      <c r="L108" s="15" t="e">
        <v>#VALUE!</v>
      </c>
      <c r="M108" s="15" t="e">
        <v>#VALUE!</v>
      </c>
      <c r="N108" s="15" t="e">
        <v>#VALUE!</v>
      </c>
      <c r="O108" s="15" t="e">
        <v>#VALUE!</v>
      </c>
      <c r="P108" s="15" t="e">
        <v>#VALUE!</v>
      </c>
      <c r="Q108" s="15" t="e">
        <v>#VALUE!</v>
      </c>
      <c r="R108" s="15" t="e">
        <v>#VALUE!</v>
      </c>
      <c r="S108" s="15" t="e">
        <v>#VALUE!</v>
      </c>
      <c r="T108" s="129">
        <v>0.45586030355445079</v>
      </c>
      <c r="U108" s="130" t="e">
        <f t="shared" si="7"/>
        <v>#VALUE!</v>
      </c>
      <c r="V108" s="129">
        <v>0.45586030355445079</v>
      </c>
      <c r="W108" s="130" t="e">
        <f t="shared" si="4"/>
        <v>#VALUE!</v>
      </c>
      <c r="X108" s="129">
        <v>0.45586030355445079</v>
      </c>
      <c r="Y108" s="130" t="e">
        <f t="shared" si="5"/>
        <v>#VALUE!</v>
      </c>
      <c r="Z108" s="129">
        <v>0.45586030355445079</v>
      </c>
      <c r="AA108" s="130" t="e">
        <f t="shared" si="6"/>
        <v>#VALUE!</v>
      </c>
    </row>
    <row r="109" spans="1:27" x14ac:dyDescent="0.3">
      <c r="A109">
        <v>140702</v>
      </c>
      <c r="B109">
        <v>17031140702</v>
      </c>
      <c r="C109">
        <v>17031</v>
      </c>
      <c r="D109">
        <v>2010</v>
      </c>
      <c r="E109">
        <v>14</v>
      </c>
      <c r="F109">
        <v>4596612.2960073901</v>
      </c>
      <c r="G109" s="43">
        <v>0.16488077852414021</v>
      </c>
      <c r="H109" s="58" t="str">
        <f>_xlfn.IFNA(
INDEX(CA!B$2:B$78,MATCH($E109,CA!$A$2:$A$78,0)),
"")</f>
        <v>ALBANY PARK</v>
      </c>
      <c r="I109" s="60" t="str">
        <f>_xlfn.IFNA(
INDEX(CA!C$2:C$78,MATCH($E109,CA!$A$2:$A$78,0)),
"")</f>
        <v>2-A</v>
      </c>
      <c r="J109" s="60">
        <f>_xlfn.IFNA(
INDEX(CA!D$2:D$78,MATCH($E109,CA!$A$2:$A$78,0)),
"")</f>
        <v>2</v>
      </c>
      <c r="K109" s="58" t="str">
        <f>_xlfn.IFNA(
INDEX(CA!E$2:E$78,MATCH($E109,CA!$A$2:$A$78,0)),
"")</f>
        <v>NORTHWEST</v>
      </c>
      <c r="L109" s="15" t="e">
        <v>#VALUE!</v>
      </c>
      <c r="M109" s="15" t="e">
        <v>#VALUE!</v>
      </c>
      <c r="N109" s="15" t="e">
        <v>#VALUE!</v>
      </c>
      <c r="O109" s="15" t="e">
        <v>#VALUE!</v>
      </c>
      <c r="P109" s="15" t="e">
        <v>#VALUE!</v>
      </c>
      <c r="Q109" s="15" t="e">
        <v>#VALUE!</v>
      </c>
      <c r="R109" s="15" t="e">
        <v>#VALUE!</v>
      </c>
      <c r="S109" s="15" t="e">
        <v>#VALUE!</v>
      </c>
      <c r="T109" s="129">
        <v>0.16488077716595895</v>
      </c>
      <c r="U109" s="130" t="e">
        <f t="shared" si="7"/>
        <v>#VALUE!</v>
      </c>
      <c r="V109" s="129">
        <v>0.1324751226282197</v>
      </c>
      <c r="W109" s="130" t="e">
        <f t="shared" si="4"/>
        <v>#VALUE!</v>
      </c>
      <c r="X109" s="129">
        <v>0.1324751226282197</v>
      </c>
      <c r="Y109" s="130" t="e">
        <f t="shared" si="5"/>
        <v>#VALUE!</v>
      </c>
      <c r="Z109" s="129">
        <v>0.1324751226282197</v>
      </c>
      <c r="AA109" s="130" t="e">
        <f t="shared" si="6"/>
        <v>#VALUE!</v>
      </c>
    </row>
    <row r="110" spans="1:27" x14ac:dyDescent="0.3">
      <c r="A110">
        <v>140601</v>
      </c>
      <c r="B110">
        <v>17031140601</v>
      </c>
      <c r="C110">
        <v>17031</v>
      </c>
      <c r="D110">
        <v>2010</v>
      </c>
      <c r="E110">
        <v>14</v>
      </c>
      <c r="F110">
        <v>2929667.3929960099</v>
      </c>
      <c r="G110" s="43">
        <v>0.10508735770331187</v>
      </c>
      <c r="H110" s="58" t="str">
        <f>_xlfn.IFNA(
INDEX(CA!B$2:B$78,MATCH($E110,CA!$A$2:$A$78,0)),
"")</f>
        <v>ALBANY PARK</v>
      </c>
      <c r="I110" s="60" t="str">
        <f>_xlfn.IFNA(
INDEX(CA!C$2:C$78,MATCH($E110,CA!$A$2:$A$78,0)),
"")</f>
        <v>2-A</v>
      </c>
      <c r="J110" s="60">
        <f>_xlfn.IFNA(
INDEX(CA!D$2:D$78,MATCH($E110,CA!$A$2:$A$78,0)),
"")</f>
        <v>2</v>
      </c>
      <c r="K110" s="58" t="str">
        <f>_xlfn.IFNA(
INDEX(CA!E$2:E$78,MATCH($E110,CA!$A$2:$A$78,0)),
"")</f>
        <v>NORTHWEST</v>
      </c>
      <c r="L110" s="15" t="e">
        <v>#VALUE!</v>
      </c>
      <c r="M110" s="15" t="e">
        <v>#VALUE!</v>
      </c>
      <c r="N110" s="15" t="e">
        <v>#VALUE!</v>
      </c>
      <c r="O110" s="15" t="e">
        <v>#VALUE!</v>
      </c>
      <c r="P110" s="15" t="e">
        <v>#VALUE!</v>
      </c>
      <c r="Q110" s="15" t="e">
        <v>#VALUE!</v>
      </c>
      <c r="R110" s="15" t="e">
        <v>#VALUE!</v>
      </c>
      <c r="S110" s="15" t="e">
        <v>#VALUE!</v>
      </c>
      <c r="T110" s="129">
        <v>0.10508735972417248</v>
      </c>
      <c r="U110" s="130" t="e">
        <f t="shared" si="7"/>
        <v>#VALUE!</v>
      </c>
      <c r="V110" s="129">
        <v>0.10508735972417248</v>
      </c>
      <c r="W110" s="130" t="e">
        <f t="shared" si="4"/>
        <v>#VALUE!</v>
      </c>
      <c r="X110" s="129">
        <v>0.10508735972417248</v>
      </c>
      <c r="Y110" s="130" t="e">
        <f t="shared" si="5"/>
        <v>#VALUE!</v>
      </c>
      <c r="Z110" s="129">
        <v>0.10508735972417248</v>
      </c>
      <c r="AA110" s="130" t="e">
        <f t="shared" si="6"/>
        <v>#VALUE!</v>
      </c>
    </row>
    <row r="111" spans="1:27" x14ac:dyDescent="0.3">
      <c r="A111">
        <v>140302</v>
      </c>
      <c r="B111">
        <v>17031140302</v>
      </c>
      <c r="C111">
        <v>17031</v>
      </c>
      <c r="D111">
        <v>2010</v>
      </c>
      <c r="E111">
        <v>14</v>
      </c>
      <c r="F111">
        <v>4635127.3754408304</v>
      </c>
      <c r="G111" s="43">
        <v>0.16626231689913445</v>
      </c>
      <c r="H111" s="58" t="str">
        <f>_xlfn.IFNA(
INDEX(CA!B$2:B$78,MATCH($E111,CA!$A$2:$A$78,0)),
"")</f>
        <v>ALBANY PARK</v>
      </c>
      <c r="I111" s="60" t="str">
        <f>_xlfn.IFNA(
INDEX(CA!C$2:C$78,MATCH($E111,CA!$A$2:$A$78,0)),
"")</f>
        <v>2-A</v>
      </c>
      <c r="J111" s="60">
        <f>_xlfn.IFNA(
INDEX(CA!D$2:D$78,MATCH($E111,CA!$A$2:$A$78,0)),
"")</f>
        <v>2</v>
      </c>
      <c r="K111" s="58" t="str">
        <f>_xlfn.IFNA(
INDEX(CA!E$2:E$78,MATCH($E111,CA!$A$2:$A$78,0)),
"")</f>
        <v>NORTHWEST</v>
      </c>
      <c r="L111" s="15" t="e">
        <v>#VALUE!</v>
      </c>
      <c r="M111" s="15" t="e">
        <v>#VALUE!</v>
      </c>
      <c r="N111" s="15" t="e">
        <v>#VALUE!</v>
      </c>
      <c r="O111" s="15" t="e">
        <v>#VALUE!</v>
      </c>
      <c r="P111" s="15" t="e">
        <v>#VALUE!</v>
      </c>
      <c r="Q111" s="15" t="e">
        <v>#VALUE!</v>
      </c>
      <c r="R111" s="15" t="e">
        <v>#VALUE!</v>
      </c>
      <c r="S111" s="15" t="e">
        <v>#VALUE!</v>
      </c>
      <c r="T111" s="129">
        <v>0.16626231851522791</v>
      </c>
      <c r="U111" s="130" t="e">
        <f t="shared" si="7"/>
        <v>#VALUE!</v>
      </c>
      <c r="V111" s="129">
        <v>0.16626231851522791</v>
      </c>
      <c r="W111" s="130" t="e">
        <f t="shared" si="4"/>
        <v>#VALUE!</v>
      </c>
      <c r="X111" s="129">
        <v>0.16626231851522791</v>
      </c>
      <c r="Y111" s="130" t="e">
        <f t="shared" si="5"/>
        <v>#VALUE!</v>
      </c>
      <c r="Z111" s="129">
        <v>0.16626231851522791</v>
      </c>
      <c r="AA111" s="130" t="e">
        <f t="shared" si="6"/>
        <v>#VALUE!</v>
      </c>
    </row>
    <row r="112" spans="1:27" x14ac:dyDescent="0.3">
      <c r="A112">
        <v>140500</v>
      </c>
      <c r="B112">
        <v>17031140500</v>
      </c>
      <c r="C112">
        <v>17031</v>
      </c>
      <c r="D112">
        <v>2010</v>
      </c>
      <c r="E112">
        <v>14</v>
      </c>
      <c r="F112">
        <v>4874471.6951517798</v>
      </c>
      <c r="G112" s="43">
        <v>0.1748476130320169</v>
      </c>
      <c r="H112" s="58" t="str">
        <f>_xlfn.IFNA(
INDEX(CA!B$2:B$78,MATCH($E112,CA!$A$2:$A$78,0)),
"")</f>
        <v>ALBANY PARK</v>
      </c>
      <c r="I112" s="60" t="str">
        <f>_xlfn.IFNA(
INDEX(CA!C$2:C$78,MATCH($E112,CA!$A$2:$A$78,0)),
"")</f>
        <v>2-A</v>
      </c>
      <c r="J112" s="60">
        <f>_xlfn.IFNA(
INDEX(CA!D$2:D$78,MATCH($E112,CA!$A$2:$A$78,0)),
"")</f>
        <v>2</v>
      </c>
      <c r="K112" s="58" t="str">
        <f>_xlfn.IFNA(
INDEX(CA!E$2:E$78,MATCH($E112,CA!$A$2:$A$78,0)),
"")</f>
        <v>NORTHWEST</v>
      </c>
      <c r="L112" s="15" t="e">
        <v>#VALUE!</v>
      </c>
      <c r="M112" s="15" t="e">
        <v>#VALUE!</v>
      </c>
      <c r="N112" s="15" t="e">
        <v>#VALUE!</v>
      </c>
      <c r="O112" s="15" t="e">
        <v>#VALUE!</v>
      </c>
      <c r="P112" s="15" t="e">
        <v>#VALUE!</v>
      </c>
      <c r="Q112" s="15" t="e">
        <v>#VALUE!</v>
      </c>
      <c r="R112" s="15" t="e">
        <v>#VALUE!</v>
      </c>
      <c r="S112" s="15" t="e">
        <v>#VALUE!</v>
      </c>
      <c r="T112" s="129">
        <v>0.17484761103534779</v>
      </c>
      <c r="U112" s="130" t="e">
        <f t="shared" si="7"/>
        <v>#VALUE!</v>
      </c>
      <c r="V112" s="129">
        <v>0.17484761103534779</v>
      </c>
      <c r="W112" s="130" t="e">
        <f t="shared" si="4"/>
        <v>#VALUE!</v>
      </c>
      <c r="X112" s="129">
        <v>0.17484761103534779</v>
      </c>
      <c r="Y112" s="130" t="e">
        <f t="shared" si="5"/>
        <v>#VALUE!</v>
      </c>
      <c r="Z112" s="129">
        <v>0.17484761103534779</v>
      </c>
      <c r="AA112" s="130" t="e">
        <f t="shared" si="6"/>
        <v>#VALUE!</v>
      </c>
    </row>
    <row r="113" spans="1:27" x14ac:dyDescent="0.3">
      <c r="A113">
        <v>140800</v>
      </c>
      <c r="B113">
        <v>17031140800</v>
      </c>
      <c r="C113">
        <v>17031</v>
      </c>
      <c r="D113">
        <v>2010</v>
      </c>
      <c r="E113">
        <v>14</v>
      </c>
      <c r="F113">
        <v>7871760.5260656802</v>
      </c>
      <c r="G113" s="43">
        <v>0.28236055606009242</v>
      </c>
      <c r="H113" s="58" t="str">
        <f>_xlfn.IFNA(
INDEX(CA!B$2:B$78,MATCH($E113,CA!$A$2:$A$78,0)),
"")</f>
        <v>ALBANY PARK</v>
      </c>
      <c r="I113" s="60" t="str">
        <f>_xlfn.IFNA(
INDEX(CA!C$2:C$78,MATCH($E113,CA!$A$2:$A$78,0)),
"")</f>
        <v>2-A</v>
      </c>
      <c r="J113" s="60">
        <f>_xlfn.IFNA(
INDEX(CA!D$2:D$78,MATCH($E113,CA!$A$2:$A$78,0)),
"")</f>
        <v>2</v>
      </c>
      <c r="K113" s="58" t="str">
        <f>_xlfn.IFNA(
INDEX(CA!E$2:E$78,MATCH($E113,CA!$A$2:$A$78,0)),
"")</f>
        <v>NORTHWEST</v>
      </c>
      <c r="L113" s="15" t="e">
        <v>#VALUE!</v>
      </c>
      <c r="M113" s="15" t="e">
        <v>#VALUE!</v>
      </c>
      <c r="N113" s="15" t="e">
        <v>#VALUE!</v>
      </c>
      <c r="O113" s="15" t="e">
        <v>#VALUE!</v>
      </c>
      <c r="P113" s="15" t="e">
        <v>#VALUE!</v>
      </c>
      <c r="Q113" s="15" t="e">
        <v>#VALUE!</v>
      </c>
      <c r="R113" s="15" t="e">
        <v>#VALUE!</v>
      </c>
      <c r="S113" s="15" t="e">
        <v>#VALUE!</v>
      </c>
      <c r="T113" s="129">
        <v>0.28236055593891363</v>
      </c>
      <c r="U113" s="130" t="e">
        <f t="shared" si="7"/>
        <v>#VALUE!</v>
      </c>
      <c r="V113" s="129">
        <v>0.28234559191215314</v>
      </c>
      <c r="W113" s="130" t="e">
        <f t="shared" si="4"/>
        <v>#VALUE!</v>
      </c>
      <c r="X113" s="129">
        <v>0.28234559191215314</v>
      </c>
      <c r="Y113" s="130" t="e">
        <f t="shared" si="5"/>
        <v>#VALUE!</v>
      </c>
      <c r="Z113" s="129">
        <v>0.28234559191215314</v>
      </c>
      <c r="AA113" s="130" t="e">
        <f t="shared" si="6"/>
        <v>#VALUE!</v>
      </c>
    </row>
    <row r="114" spans="1:27" x14ac:dyDescent="0.3">
      <c r="A114">
        <v>140301</v>
      </c>
      <c r="B114">
        <v>17031140301</v>
      </c>
      <c r="C114">
        <v>17031</v>
      </c>
      <c r="D114">
        <v>2010</v>
      </c>
      <c r="E114">
        <v>14</v>
      </c>
      <c r="F114">
        <v>1766177.6063033901</v>
      </c>
      <c r="G114" s="43">
        <v>6.3352904266507054E-2</v>
      </c>
      <c r="H114" s="58" t="str">
        <f>_xlfn.IFNA(
INDEX(CA!B$2:B$78,MATCH($E114,CA!$A$2:$A$78,0)),
"")</f>
        <v>ALBANY PARK</v>
      </c>
      <c r="I114" s="60" t="str">
        <f>_xlfn.IFNA(
INDEX(CA!C$2:C$78,MATCH($E114,CA!$A$2:$A$78,0)),
"")</f>
        <v>2-A</v>
      </c>
      <c r="J114" s="60">
        <f>_xlfn.IFNA(
INDEX(CA!D$2:D$78,MATCH($E114,CA!$A$2:$A$78,0)),
"")</f>
        <v>2</v>
      </c>
      <c r="K114" s="58" t="str">
        <f>_xlfn.IFNA(
INDEX(CA!E$2:E$78,MATCH($E114,CA!$A$2:$A$78,0)),
"")</f>
        <v>NORTHWEST</v>
      </c>
      <c r="L114" s="15" t="e">
        <v>#VALUE!</v>
      </c>
      <c r="M114" s="15" t="e">
        <v>#VALUE!</v>
      </c>
      <c r="N114" s="15" t="e">
        <v>#VALUE!</v>
      </c>
      <c r="O114" s="15" t="e">
        <v>#VALUE!</v>
      </c>
      <c r="P114" s="15" t="e">
        <v>#VALUE!</v>
      </c>
      <c r="Q114" s="15" t="e">
        <v>#VALUE!</v>
      </c>
      <c r="R114" s="15" t="e">
        <v>#VALUE!</v>
      </c>
      <c r="S114" s="15" t="e">
        <v>#VALUE!</v>
      </c>
      <c r="T114" s="129">
        <v>6.3352912212897794E-2</v>
      </c>
      <c r="U114" s="130" t="e">
        <f t="shared" si="7"/>
        <v>#VALUE!</v>
      </c>
      <c r="V114" s="129">
        <v>6.3352912212897794E-2</v>
      </c>
      <c r="W114" s="130" t="e">
        <f t="shared" si="4"/>
        <v>#VALUE!</v>
      </c>
      <c r="X114" s="129">
        <v>6.3352912212897794E-2</v>
      </c>
      <c r="Y114" s="130" t="e">
        <f t="shared" si="5"/>
        <v>#VALUE!</v>
      </c>
      <c r="Z114" s="129">
        <v>6.3352912212897794E-2</v>
      </c>
      <c r="AA114" s="130" t="e">
        <f t="shared" si="6"/>
        <v>#VALUE!</v>
      </c>
    </row>
    <row r="115" spans="1:27" x14ac:dyDescent="0.3">
      <c r="A115">
        <v>140602</v>
      </c>
      <c r="B115">
        <v>17031140602</v>
      </c>
      <c r="C115">
        <v>17031</v>
      </c>
      <c r="D115">
        <v>2010</v>
      </c>
      <c r="E115">
        <v>14</v>
      </c>
      <c r="F115">
        <v>4137466.0351931402</v>
      </c>
      <c r="G115" s="43">
        <v>0.14841117263519929</v>
      </c>
      <c r="H115" s="58" t="str">
        <f>_xlfn.IFNA(
INDEX(CA!B$2:B$78,MATCH($E115,CA!$A$2:$A$78,0)),
"")</f>
        <v>ALBANY PARK</v>
      </c>
      <c r="I115" s="60" t="str">
        <f>_xlfn.IFNA(
INDEX(CA!C$2:C$78,MATCH($E115,CA!$A$2:$A$78,0)),
"")</f>
        <v>2-A</v>
      </c>
      <c r="J115" s="60">
        <f>_xlfn.IFNA(
INDEX(CA!D$2:D$78,MATCH($E115,CA!$A$2:$A$78,0)),
"")</f>
        <v>2</v>
      </c>
      <c r="K115" s="58" t="str">
        <f>_xlfn.IFNA(
INDEX(CA!E$2:E$78,MATCH($E115,CA!$A$2:$A$78,0)),
"")</f>
        <v>NORTHWEST</v>
      </c>
      <c r="L115" s="15" t="e">
        <v>#VALUE!</v>
      </c>
      <c r="M115" s="15" t="e">
        <v>#VALUE!</v>
      </c>
      <c r="N115" s="15" t="e">
        <v>#VALUE!</v>
      </c>
      <c r="O115" s="15" t="e">
        <v>#VALUE!</v>
      </c>
      <c r="P115" s="15" t="e">
        <v>#VALUE!</v>
      </c>
      <c r="Q115" s="15" t="e">
        <v>#VALUE!</v>
      </c>
      <c r="R115" s="15" t="e">
        <v>#VALUE!</v>
      </c>
      <c r="S115" s="15" t="e">
        <v>#VALUE!</v>
      </c>
      <c r="T115" s="129">
        <v>0.14841117095826661</v>
      </c>
      <c r="U115" s="130" t="e">
        <f t="shared" si="7"/>
        <v>#VALUE!</v>
      </c>
      <c r="V115" s="129">
        <v>0.14841117095826661</v>
      </c>
      <c r="W115" s="130" t="e">
        <f t="shared" si="4"/>
        <v>#VALUE!</v>
      </c>
      <c r="X115" s="129">
        <v>0.14841117095826661</v>
      </c>
      <c r="Y115" s="130" t="e">
        <f t="shared" si="5"/>
        <v>#VALUE!</v>
      </c>
      <c r="Z115" s="129">
        <v>0.14841117095826661</v>
      </c>
      <c r="AA115" s="130" t="e">
        <f t="shared" si="6"/>
        <v>#VALUE!</v>
      </c>
    </row>
    <row r="116" spans="1:27" x14ac:dyDescent="0.3">
      <c r="A116">
        <v>140701</v>
      </c>
      <c r="B116">
        <v>17031140701</v>
      </c>
      <c r="C116">
        <v>17031</v>
      </c>
      <c r="D116">
        <v>2010</v>
      </c>
      <c r="E116">
        <v>14</v>
      </c>
      <c r="F116">
        <v>2458536.2850422501</v>
      </c>
      <c r="G116" s="43">
        <v>8.8187854577100919E-2</v>
      </c>
      <c r="H116" s="58" t="str">
        <f>_xlfn.IFNA(
INDEX(CA!B$2:B$78,MATCH($E116,CA!$A$2:$A$78,0)),
"")</f>
        <v>ALBANY PARK</v>
      </c>
      <c r="I116" s="60" t="str">
        <f>_xlfn.IFNA(
INDEX(CA!C$2:C$78,MATCH($E116,CA!$A$2:$A$78,0)),
"")</f>
        <v>2-A</v>
      </c>
      <c r="J116" s="60">
        <f>_xlfn.IFNA(
INDEX(CA!D$2:D$78,MATCH($E116,CA!$A$2:$A$78,0)),
"")</f>
        <v>2</v>
      </c>
      <c r="K116" s="58" t="str">
        <f>_xlfn.IFNA(
INDEX(CA!E$2:E$78,MATCH($E116,CA!$A$2:$A$78,0)),
"")</f>
        <v>NORTHWEST</v>
      </c>
      <c r="L116" s="15" t="e">
        <v>#VALUE!</v>
      </c>
      <c r="M116" s="15" t="e">
        <v>#VALUE!</v>
      </c>
      <c r="N116" s="15" t="e">
        <v>#VALUE!</v>
      </c>
      <c r="O116" s="15" t="e">
        <v>#VALUE!</v>
      </c>
      <c r="P116" s="15" t="e">
        <v>#VALUE!</v>
      </c>
      <c r="Q116" s="15" t="e">
        <v>#VALUE!</v>
      </c>
      <c r="R116" s="15" t="e">
        <v>#VALUE!</v>
      </c>
      <c r="S116" s="15" t="e">
        <v>#VALUE!</v>
      </c>
      <c r="T116" s="129">
        <v>8.8187855962868739E-2</v>
      </c>
      <c r="U116" s="130" t="e">
        <f t="shared" si="7"/>
        <v>#VALUE!</v>
      </c>
      <c r="V116" s="129">
        <v>8.8187855962868739E-2</v>
      </c>
      <c r="W116" s="130" t="e">
        <f t="shared" si="4"/>
        <v>#VALUE!</v>
      </c>
      <c r="X116" s="129">
        <v>8.8187855962868739E-2</v>
      </c>
      <c r="Y116" s="130" t="e">
        <f t="shared" si="5"/>
        <v>#VALUE!</v>
      </c>
      <c r="Z116" s="129">
        <v>8.8187855962868739E-2</v>
      </c>
      <c r="AA116" s="130" t="e">
        <f t="shared" si="6"/>
        <v>#VALUE!</v>
      </c>
    </row>
    <row r="117" spans="1:27" x14ac:dyDescent="0.3">
      <c r="A117">
        <v>140100</v>
      </c>
      <c r="B117">
        <v>17031140100</v>
      </c>
      <c r="C117">
        <v>17031</v>
      </c>
      <c r="D117">
        <v>2010</v>
      </c>
      <c r="E117">
        <v>14</v>
      </c>
      <c r="F117">
        <v>3196455.0098400698</v>
      </c>
      <c r="G117" s="43">
        <v>0.11465704666839094</v>
      </c>
      <c r="H117" s="58" t="str">
        <f>_xlfn.IFNA(
INDEX(CA!B$2:B$78,MATCH($E117,CA!$A$2:$A$78,0)),
"")</f>
        <v>ALBANY PARK</v>
      </c>
      <c r="I117" s="60" t="str">
        <f>_xlfn.IFNA(
INDEX(CA!C$2:C$78,MATCH($E117,CA!$A$2:$A$78,0)),
"")</f>
        <v>2-A</v>
      </c>
      <c r="J117" s="60">
        <f>_xlfn.IFNA(
INDEX(CA!D$2:D$78,MATCH($E117,CA!$A$2:$A$78,0)),
"")</f>
        <v>2</v>
      </c>
      <c r="K117" s="58" t="str">
        <f>_xlfn.IFNA(
INDEX(CA!E$2:E$78,MATCH($E117,CA!$A$2:$A$78,0)),
"")</f>
        <v>NORTHWEST</v>
      </c>
      <c r="L117" s="15" t="e">
        <v>#VALUE!</v>
      </c>
      <c r="M117" s="15" t="e">
        <v>#VALUE!</v>
      </c>
      <c r="N117" s="15" t="e">
        <v>#VALUE!</v>
      </c>
      <c r="O117" s="15" t="e">
        <v>#VALUE!</v>
      </c>
      <c r="P117" s="15" t="e">
        <v>#VALUE!</v>
      </c>
      <c r="Q117" s="15" t="e">
        <v>#VALUE!</v>
      </c>
      <c r="R117" s="15" t="e">
        <v>#VALUE!</v>
      </c>
      <c r="S117" s="15" t="e">
        <v>#VALUE!</v>
      </c>
      <c r="T117" s="129">
        <v>0.11465704464576984</v>
      </c>
      <c r="U117" s="130" t="e">
        <f t="shared" si="7"/>
        <v>#VALUE!</v>
      </c>
      <c r="V117" s="129">
        <v>0.11465704464576984</v>
      </c>
      <c r="W117" s="130" t="e">
        <f t="shared" si="4"/>
        <v>#VALUE!</v>
      </c>
      <c r="X117" s="129">
        <v>0.11465704464576984</v>
      </c>
      <c r="Y117" s="130" t="e">
        <f t="shared" si="5"/>
        <v>#VALUE!</v>
      </c>
      <c r="Z117" s="129">
        <v>0.11465704464576984</v>
      </c>
      <c r="AA117" s="130" t="e">
        <f t="shared" si="6"/>
        <v>#VALUE!</v>
      </c>
    </row>
    <row r="118" spans="1:27" x14ac:dyDescent="0.3">
      <c r="A118">
        <v>150800</v>
      </c>
      <c r="B118">
        <v>17031150800</v>
      </c>
      <c r="C118">
        <v>17031</v>
      </c>
      <c r="D118">
        <v>2010</v>
      </c>
      <c r="E118">
        <v>15</v>
      </c>
      <c r="F118">
        <v>7115286.7044255696</v>
      </c>
      <c r="G118" s="43">
        <v>0.25522579145236346</v>
      </c>
      <c r="H118" s="58" t="str">
        <f>_xlfn.IFNA(
INDEX(CA!B$2:B$78,MATCH($E118,CA!$A$2:$A$78,0)),
"")</f>
        <v>PORTAGE PARK</v>
      </c>
      <c r="I118" s="60" t="str">
        <f>_xlfn.IFNA(
INDEX(CA!C$2:C$78,MATCH($E118,CA!$A$2:$A$78,0)),
"")</f>
        <v>2-C</v>
      </c>
      <c r="J118" s="60">
        <f>_xlfn.IFNA(
INDEX(CA!D$2:D$78,MATCH($E118,CA!$A$2:$A$78,0)),
"")</f>
        <v>2</v>
      </c>
      <c r="K118" s="58" t="str">
        <f>_xlfn.IFNA(
INDEX(CA!E$2:E$78,MATCH($E118,CA!$A$2:$A$78,0)),
"")</f>
        <v>NORTHWEST</v>
      </c>
      <c r="L118" s="15" t="e">
        <v>#VALUE!</v>
      </c>
      <c r="M118" s="15" t="e">
        <v>#VALUE!</v>
      </c>
      <c r="N118" s="15" t="e">
        <v>#VALUE!</v>
      </c>
      <c r="O118" s="15" t="e">
        <v>#VALUE!</v>
      </c>
      <c r="P118" s="15" t="e">
        <v>#VALUE!</v>
      </c>
      <c r="Q118" s="15" t="e">
        <v>#VALUE!</v>
      </c>
      <c r="R118" s="15" t="e">
        <v>#VALUE!</v>
      </c>
      <c r="S118" s="15" t="e">
        <v>#VALUE!</v>
      </c>
      <c r="T118" s="129">
        <v>0.21010276062802635</v>
      </c>
      <c r="U118" s="130" t="e">
        <f t="shared" si="7"/>
        <v>#VALUE!</v>
      </c>
      <c r="V118" s="129">
        <v>0.20158729757527227</v>
      </c>
      <c r="W118" s="130" t="e">
        <f t="shared" si="4"/>
        <v>#VALUE!</v>
      </c>
      <c r="X118" s="129">
        <v>0.20158729757527227</v>
      </c>
      <c r="Y118" s="130" t="e">
        <f t="shared" si="5"/>
        <v>#VALUE!</v>
      </c>
      <c r="Z118" s="129">
        <v>0.20158729757527227</v>
      </c>
      <c r="AA118" s="130" t="e">
        <f t="shared" si="6"/>
        <v>#VALUE!</v>
      </c>
    </row>
    <row r="119" spans="1:27" x14ac:dyDescent="0.3">
      <c r="A119">
        <v>831700</v>
      </c>
      <c r="B119">
        <v>17031831700</v>
      </c>
      <c r="C119">
        <v>17031</v>
      </c>
      <c r="D119">
        <v>2010</v>
      </c>
      <c r="E119">
        <v>15</v>
      </c>
      <c r="F119">
        <v>5767866.5643259296</v>
      </c>
      <c r="G119" s="43">
        <v>0.20689374441596109</v>
      </c>
      <c r="H119" s="58" t="str">
        <f>_xlfn.IFNA(
INDEX(CA!B$2:B$78,MATCH($E119,CA!$A$2:$A$78,0)),
"")</f>
        <v>PORTAGE PARK</v>
      </c>
      <c r="I119" s="60" t="str">
        <f>_xlfn.IFNA(
INDEX(CA!C$2:C$78,MATCH($E119,CA!$A$2:$A$78,0)),
"")</f>
        <v>2-C</v>
      </c>
      <c r="J119" s="60">
        <f>_xlfn.IFNA(
INDEX(CA!D$2:D$78,MATCH($E119,CA!$A$2:$A$78,0)),
"")</f>
        <v>2</v>
      </c>
      <c r="K119" s="58" t="str">
        <f>_xlfn.IFNA(
INDEX(CA!E$2:E$78,MATCH($E119,CA!$A$2:$A$78,0)),
"")</f>
        <v>NORTHWEST</v>
      </c>
      <c r="L119" s="15" t="e">
        <v>#VALUE!</v>
      </c>
      <c r="M119" s="15" t="e">
        <v>#VALUE!</v>
      </c>
      <c r="N119" s="15" t="e">
        <v>#VALUE!</v>
      </c>
      <c r="O119" s="15" t="e">
        <v>#VALUE!</v>
      </c>
      <c r="P119" s="15" t="e">
        <v>#VALUE!</v>
      </c>
      <c r="Q119" s="15" t="e">
        <v>#VALUE!</v>
      </c>
      <c r="R119" s="15" t="e">
        <v>#VALUE!</v>
      </c>
      <c r="S119" s="15" t="e">
        <v>#VALUE!</v>
      </c>
      <c r="T119" s="129">
        <v>0.2068937516974744</v>
      </c>
      <c r="U119" s="130" t="e">
        <f t="shared" si="7"/>
        <v>#VALUE!</v>
      </c>
      <c r="V119" s="129">
        <v>0.20593794316040986</v>
      </c>
      <c r="W119" s="130" t="e">
        <f t="shared" si="4"/>
        <v>#VALUE!</v>
      </c>
      <c r="X119" s="129">
        <v>0.20593794316040986</v>
      </c>
      <c r="Y119" s="130" t="e">
        <f t="shared" si="5"/>
        <v>#VALUE!</v>
      </c>
      <c r="Z119" s="129">
        <v>0.20593794316040986</v>
      </c>
      <c r="AA119" s="130" t="e">
        <f t="shared" si="6"/>
        <v>#VALUE!</v>
      </c>
    </row>
    <row r="120" spans="1:27" x14ac:dyDescent="0.3">
      <c r="A120">
        <v>150200</v>
      </c>
      <c r="B120">
        <v>17031150200</v>
      </c>
      <c r="C120">
        <v>17031</v>
      </c>
      <c r="D120">
        <v>2010</v>
      </c>
      <c r="E120">
        <v>15</v>
      </c>
      <c r="F120">
        <v>14291051.594907399</v>
      </c>
      <c r="G120" s="43">
        <v>0.51262093932605168</v>
      </c>
      <c r="H120" s="58" t="str">
        <f>_xlfn.IFNA(
INDEX(CA!B$2:B$78,MATCH($E120,CA!$A$2:$A$78,0)),
"")</f>
        <v>PORTAGE PARK</v>
      </c>
      <c r="I120" s="60" t="str">
        <f>_xlfn.IFNA(
INDEX(CA!C$2:C$78,MATCH($E120,CA!$A$2:$A$78,0)),
"")</f>
        <v>2-C</v>
      </c>
      <c r="J120" s="60">
        <f>_xlfn.IFNA(
INDEX(CA!D$2:D$78,MATCH($E120,CA!$A$2:$A$78,0)),
"")</f>
        <v>2</v>
      </c>
      <c r="K120" s="58" t="str">
        <f>_xlfn.IFNA(
INDEX(CA!E$2:E$78,MATCH($E120,CA!$A$2:$A$78,0)),
"")</f>
        <v>NORTHWEST</v>
      </c>
      <c r="L120" s="15" t="e">
        <v>#VALUE!</v>
      </c>
      <c r="M120" s="15" t="e">
        <v>#VALUE!</v>
      </c>
      <c r="N120" s="15" t="e">
        <v>#VALUE!</v>
      </c>
      <c r="O120" s="15" t="e">
        <v>#VALUE!</v>
      </c>
      <c r="P120" s="15" t="e">
        <v>#VALUE!</v>
      </c>
      <c r="Q120" s="15" t="e">
        <v>#VALUE!</v>
      </c>
      <c r="R120" s="15" t="e">
        <v>#VALUE!</v>
      </c>
      <c r="S120" s="15" t="e">
        <v>#VALUE!</v>
      </c>
      <c r="T120" s="129">
        <v>0.5126209411249677</v>
      </c>
      <c r="U120" s="130" t="e">
        <f t="shared" si="7"/>
        <v>#VALUE!</v>
      </c>
      <c r="V120" s="129">
        <v>0.45001617970500457</v>
      </c>
      <c r="W120" s="130" t="e">
        <f t="shared" si="4"/>
        <v>#VALUE!</v>
      </c>
      <c r="X120" s="129">
        <v>0.45001617970500457</v>
      </c>
      <c r="Y120" s="130" t="e">
        <f t="shared" si="5"/>
        <v>#VALUE!</v>
      </c>
      <c r="Z120" s="129">
        <v>0.45001617970500457</v>
      </c>
      <c r="AA120" s="130" t="e">
        <f t="shared" si="6"/>
        <v>#VALUE!</v>
      </c>
    </row>
    <row r="121" spans="1:27" x14ac:dyDescent="0.3">
      <c r="A121">
        <v>151002</v>
      </c>
      <c r="B121">
        <v>17031151002</v>
      </c>
      <c r="C121">
        <v>17031</v>
      </c>
      <c r="D121">
        <v>2010</v>
      </c>
      <c r="E121">
        <v>15</v>
      </c>
      <c r="F121">
        <v>6860428.9421929503</v>
      </c>
      <c r="G121" s="43">
        <v>0.24608402713903776</v>
      </c>
      <c r="H121" s="58" t="str">
        <f>_xlfn.IFNA(
INDEX(CA!B$2:B$78,MATCH($E121,CA!$A$2:$A$78,0)),
"")</f>
        <v>PORTAGE PARK</v>
      </c>
      <c r="I121" s="60" t="str">
        <f>_xlfn.IFNA(
INDEX(CA!C$2:C$78,MATCH($E121,CA!$A$2:$A$78,0)),
"")</f>
        <v>2-C</v>
      </c>
      <c r="J121" s="60">
        <f>_xlfn.IFNA(
INDEX(CA!D$2:D$78,MATCH($E121,CA!$A$2:$A$78,0)),
"")</f>
        <v>2</v>
      </c>
      <c r="K121" s="58" t="str">
        <f>_xlfn.IFNA(
INDEX(CA!E$2:E$78,MATCH($E121,CA!$A$2:$A$78,0)),
"")</f>
        <v>NORTHWEST</v>
      </c>
      <c r="L121" s="15" t="e">
        <v>#VALUE!</v>
      </c>
      <c r="M121" s="15" t="e">
        <v>#VALUE!</v>
      </c>
      <c r="N121" s="15" t="e">
        <v>#VALUE!</v>
      </c>
      <c r="O121" s="15" t="e">
        <v>#VALUE!</v>
      </c>
      <c r="P121" s="15" t="e">
        <v>#VALUE!</v>
      </c>
      <c r="Q121" s="15" t="e">
        <v>#VALUE!</v>
      </c>
      <c r="R121" s="15" t="e">
        <v>#VALUE!</v>
      </c>
      <c r="S121" s="15" t="e">
        <v>#VALUE!</v>
      </c>
      <c r="T121" s="129">
        <v>7.4033228960380795E-2</v>
      </c>
      <c r="U121" s="130" t="e">
        <f t="shared" si="7"/>
        <v>#VALUE!</v>
      </c>
      <c r="V121" s="129">
        <v>7.4033228960380795E-2</v>
      </c>
      <c r="W121" s="130" t="e">
        <f t="shared" si="4"/>
        <v>#VALUE!</v>
      </c>
      <c r="X121" s="129">
        <v>7.4033228960380795E-2</v>
      </c>
      <c r="Y121" s="130" t="e">
        <f t="shared" si="5"/>
        <v>#VALUE!</v>
      </c>
      <c r="Z121" s="129">
        <v>7.4033228960380795E-2</v>
      </c>
      <c r="AA121" s="130" t="e">
        <f t="shared" si="6"/>
        <v>#VALUE!</v>
      </c>
    </row>
    <row r="122" spans="1:27" x14ac:dyDescent="0.3">
      <c r="A122">
        <v>150502</v>
      </c>
      <c r="B122">
        <v>17031150502</v>
      </c>
      <c r="C122">
        <v>17031</v>
      </c>
      <c r="D122">
        <v>2010</v>
      </c>
      <c r="E122">
        <v>15</v>
      </c>
      <c r="F122">
        <v>7368690.1081146197</v>
      </c>
      <c r="G122" s="43">
        <v>0.26431538783124642</v>
      </c>
      <c r="H122" s="58" t="str">
        <f>_xlfn.IFNA(
INDEX(CA!B$2:B$78,MATCH($E122,CA!$A$2:$A$78,0)),
"")</f>
        <v>PORTAGE PARK</v>
      </c>
      <c r="I122" s="60" t="str">
        <f>_xlfn.IFNA(
INDEX(CA!C$2:C$78,MATCH($E122,CA!$A$2:$A$78,0)),
"")</f>
        <v>2-C</v>
      </c>
      <c r="J122" s="60">
        <f>_xlfn.IFNA(
INDEX(CA!D$2:D$78,MATCH($E122,CA!$A$2:$A$78,0)),
"")</f>
        <v>2</v>
      </c>
      <c r="K122" s="58" t="str">
        <f>_xlfn.IFNA(
INDEX(CA!E$2:E$78,MATCH($E122,CA!$A$2:$A$78,0)),
"")</f>
        <v>NORTHWEST</v>
      </c>
      <c r="L122" s="15" t="e">
        <v>#VALUE!</v>
      </c>
      <c r="M122" s="15" t="e">
        <v>#VALUE!</v>
      </c>
      <c r="N122" s="15" t="e">
        <v>#VALUE!</v>
      </c>
      <c r="O122" s="15" t="e">
        <v>#VALUE!</v>
      </c>
      <c r="P122" s="15" t="e">
        <v>#VALUE!</v>
      </c>
      <c r="Q122" s="15" t="e">
        <v>#VALUE!</v>
      </c>
      <c r="R122" s="15" t="e">
        <v>#VALUE!</v>
      </c>
      <c r="S122" s="15" t="e">
        <v>#VALUE!</v>
      </c>
      <c r="T122" s="129">
        <v>0.19909437919844036</v>
      </c>
      <c r="U122" s="130" t="e">
        <f t="shared" si="7"/>
        <v>#VALUE!</v>
      </c>
      <c r="V122" s="129">
        <v>7.7844653666649444E-2</v>
      </c>
      <c r="W122" s="130" t="e">
        <f t="shared" si="4"/>
        <v>#VALUE!</v>
      </c>
      <c r="X122" s="129">
        <v>7.7844653666649444E-2</v>
      </c>
      <c r="Y122" s="130" t="e">
        <f t="shared" si="5"/>
        <v>#VALUE!</v>
      </c>
      <c r="Z122" s="129">
        <v>7.7844653666649444E-2</v>
      </c>
      <c r="AA122" s="130" t="e">
        <f t="shared" si="6"/>
        <v>#VALUE!</v>
      </c>
    </row>
    <row r="123" spans="1:27" x14ac:dyDescent="0.3">
      <c r="A123">
        <v>150401</v>
      </c>
      <c r="B123">
        <v>17031150401</v>
      </c>
      <c r="C123">
        <v>17031</v>
      </c>
      <c r="D123">
        <v>2010</v>
      </c>
      <c r="E123">
        <v>15</v>
      </c>
      <c r="F123">
        <v>7943593.5264015896</v>
      </c>
      <c r="G123" s="43">
        <v>0.28493721039950604</v>
      </c>
      <c r="H123" s="58" t="str">
        <f>_xlfn.IFNA(
INDEX(CA!B$2:B$78,MATCH($E123,CA!$A$2:$A$78,0)),
"")</f>
        <v>PORTAGE PARK</v>
      </c>
      <c r="I123" s="60" t="str">
        <f>_xlfn.IFNA(
INDEX(CA!C$2:C$78,MATCH($E123,CA!$A$2:$A$78,0)),
"")</f>
        <v>2-C</v>
      </c>
      <c r="J123" s="60">
        <f>_xlfn.IFNA(
INDEX(CA!D$2:D$78,MATCH($E123,CA!$A$2:$A$78,0)),
"")</f>
        <v>2</v>
      </c>
      <c r="K123" s="58" t="str">
        <f>_xlfn.IFNA(
INDEX(CA!E$2:E$78,MATCH($E123,CA!$A$2:$A$78,0)),
"")</f>
        <v>NORTHWEST</v>
      </c>
      <c r="L123" s="15" t="e">
        <v>#VALUE!</v>
      </c>
      <c r="M123" s="15" t="e">
        <v>#VALUE!</v>
      </c>
      <c r="N123" s="15" t="e">
        <v>#VALUE!</v>
      </c>
      <c r="O123" s="15" t="e">
        <v>#VALUE!</v>
      </c>
      <c r="P123" s="15" t="e">
        <v>#VALUE!</v>
      </c>
      <c r="Q123" s="15" t="e">
        <v>#VALUE!</v>
      </c>
      <c r="R123" s="15" t="e">
        <v>#VALUE!</v>
      </c>
      <c r="S123" s="15" t="e">
        <v>#VALUE!</v>
      </c>
      <c r="T123" s="129">
        <v>0.28493720679110424</v>
      </c>
      <c r="U123" s="130" t="e">
        <f t="shared" si="7"/>
        <v>#VALUE!</v>
      </c>
      <c r="V123" s="129">
        <v>0.22824412286651063</v>
      </c>
      <c r="W123" s="130" t="e">
        <f t="shared" si="4"/>
        <v>#VALUE!</v>
      </c>
      <c r="X123" s="129">
        <v>0.22824412286651063</v>
      </c>
      <c r="Y123" s="130" t="e">
        <f t="shared" si="5"/>
        <v>#VALUE!</v>
      </c>
      <c r="Z123" s="129">
        <v>0.22824412286651063</v>
      </c>
      <c r="AA123" s="130" t="e">
        <f t="shared" si="6"/>
        <v>#VALUE!</v>
      </c>
    </row>
    <row r="124" spans="1:27" x14ac:dyDescent="0.3">
      <c r="A124">
        <v>150600</v>
      </c>
      <c r="B124">
        <v>17031150600</v>
      </c>
      <c r="C124">
        <v>17031</v>
      </c>
      <c r="D124">
        <v>2010</v>
      </c>
      <c r="E124">
        <v>15</v>
      </c>
      <c r="F124">
        <v>7062461.3246619897</v>
      </c>
      <c r="G124" s="43">
        <v>0.25333094168467307</v>
      </c>
      <c r="H124" s="58" t="str">
        <f>_xlfn.IFNA(
INDEX(CA!B$2:B$78,MATCH($E124,CA!$A$2:$A$78,0)),
"")</f>
        <v>PORTAGE PARK</v>
      </c>
      <c r="I124" s="60" t="str">
        <f>_xlfn.IFNA(
INDEX(CA!C$2:C$78,MATCH($E124,CA!$A$2:$A$78,0)),
"")</f>
        <v>2-C</v>
      </c>
      <c r="J124" s="60">
        <f>_xlfn.IFNA(
INDEX(CA!D$2:D$78,MATCH($E124,CA!$A$2:$A$78,0)),
"")</f>
        <v>2</v>
      </c>
      <c r="K124" s="58" t="str">
        <f>_xlfn.IFNA(
INDEX(CA!E$2:E$78,MATCH($E124,CA!$A$2:$A$78,0)),
"")</f>
        <v>NORTHWEST</v>
      </c>
      <c r="L124" s="15" t="e">
        <v>#VALUE!</v>
      </c>
      <c r="M124" s="15" t="e">
        <v>#VALUE!</v>
      </c>
      <c r="N124" s="15" t="e">
        <v>#VALUE!</v>
      </c>
      <c r="O124" s="15" t="e">
        <v>#VALUE!</v>
      </c>
      <c r="P124" s="15" t="e">
        <v>#VALUE!</v>
      </c>
      <c r="Q124" s="15" t="e">
        <v>#VALUE!</v>
      </c>
      <c r="R124" s="15" t="e">
        <v>#VALUE!</v>
      </c>
      <c r="S124" s="15" t="e">
        <v>#VALUE!</v>
      </c>
      <c r="T124" s="129">
        <v>0</v>
      </c>
      <c r="U124" s="130" t="e">
        <f t="shared" si="7"/>
        <v>#VALUE!</v>
      </c>
      <c r="V124" s="129">
        <v>0</v>
      </c>
      <c r="W124" s="130" t="e">
        <f t="shared" si="4"/>
        <v>#VALUE!</v>
      </c>
      <c r="X124" s="129">
        <v>0</v>
      </c>
      <c r="Y124" s="130" t="e">
        <f t="shared" si="5"/>
        <v>#VALUE!</v>
      </c>
      <c r="Z124" s="129">
        <v>0</v>
      </c>
      <c r="AA124" s="130" t="e">
        <f t="shared" si="6"/>
        <v>#VALUE!</v>
      </c>
    </row>
    <row r="125" spans="1:27" x14ac:dyDescent="0.3">
      <c r="A125">
        <v>150501</v>
      </c>
      <c r="B125">
        <v>17031150501</v>
      </c>
      <c r="C125">
        <v>17031</v>
      </c>
      <c r="D125">
        <v>2010</v>
      </c>
      <c r="E125">
        <v>15</v>
      </c>
      <c r="F125">
        <v>7522239.1744157001</v>
      </c>
      <c r="G125" s="43">
        <v>0.26982320270947041</v>
      </c>
      <c r="H125" s="58" t="str">
        <f>_xlfn.IFNA(
INDEX(CA!B$2:B$78,MATCH($E125,CA!$A$2:$A$78,0)),
"")</f>
        <v>PORTAGE PARK</v>
      </c>
      <c r="I125" s="60" t="str">
        <f>_xlfn.IFNA(
INDEX(CA!C$2:C$78,MATCH($E125,CA!$A$2:$A$78,0)),
"")</f>
        <v>2-C</v>
      </c>
      <c r="J125" s="60">
        <f>_xlfn.IFNA(
INDEX(CA!D$2:D$78,MATCH($E125,CA!$A$2:$A$78,0)),
"")</f>
        <v>2</v>
      </c>
      <c r="K125" s="58" t="str">
        <f>_xlfn.IFNA(
INDEX(CA!E$2:E$78,MATCH($E125,CA!$A$2:$A$78,0)),
"")</f>
        <v>NORTHWEST</v>
      </c>
      <c r="L125" s="15" t="e">
        <v>#VALUE!</v>
      </c>
      <c r="M125" s="15" t="e">
        <v>#VALUE!</v>
      </c>
      <c r="N125" s="15" t="e">
        <v>#VALUE!</v>
      </c>
      <c r="O125" s="15" t="e">
        <v>#VALUE!</v>
      </c>
      <c r="P125" s="15" t="e">
        <v>#VALUE!</v>
      </c>
      <c r="Q125" s="15" t="e">
        <v>#VALUE!</v>
      </c>
      <c r="R125" s="15" t="e">
        <v>#VALUE!</v>
      </c>
      <c r="S125" s="15" t="e">
        <v>#VALUE!</v>
      </c>
      <c r="T125" s="129">
        <v>0.25502968559296735</v>
      </c>
      <c r="U125" s="130" t="e">
        <f t="shared" si="7"/>
        <v>#VALUE!</v>
      </c>
      <c r="V125" s="129">
        <v>0</v>
      </c>
      <c r="W125" s="130" t="e">
        <f t="shared" si="4"/>
        <v>#VALUE!</v>
      </c>
      <c r="X125" s="129">
        <v>0</v>
      </c>
      <c r="Y125" s="130" t="e">
        <f t="shared" si="5"/>
        <v>#VALUE!</v>
      </c>
      <c r="Z125" s="129">
        <v>0</v>
      </c>
      <c r="AA125" s="130" t="e">
        <f t="shared" si="6"/>
        <v>#VALUE!</v>
      </c>
    </row>
    <row r="126" spans="1:27" x14ac:dyDescent="0.3">
      <c r="A126">
        <v>150700</v>
      </c>
      <c r="B126">
        <v>17031150700</v>
      </c>
      <c r="C126">
        <v>17031</v>
      </c>
      <c r="D126">
        <v>2010</v>
      </c>
      <c r="E126">
        <v>15</v>
      </c>
      <c r="F126">
        <v>7130303.9596162103</v>
      </c>
      <c r="G126" s="43">
        <v>0.25576446136134823</v>
      </c>
      <c r="H126" s="58" t="str">
        <f>_xlfn.IFNA(
INDEX(CA!B$2:B$78,MATCH($E126,CA!$A$2:$A$78,0)),
"")</f>
        <v>PORTAGE PARK</v>
      </c>
      <c r="I126" s="60" t="str">
        <f>_xlfn.IFNA(
INDEX(CA!C$2:C$78,MATCH($E126,CA!$A$2:$A$78,0)),
"")</f>
        <v>2-C</v>
      </c>
      <c r="J126" s="60">
        <f>_xlfn.IFNA(
INDEX(CA!D$2:D$78,MATCH($E126,CA!$A$2:$A$78,0)),
"")</f>
        <v>2</v>
      </c>
      <c r="K126" s="58" t="str">
        <f>_xlfn.IFNA(
INDEX(CA!E$2:E$78,MATCH($E126,CA!$A$2:$A$78,0)),
"")</f>
        <v>NORTHWEST</v>
      </c>
      <c r="L126" s="15" t="e">
        <v>#VALUE!</v>
      </c>
      <c r="M126" s="15" t="e">
        <v>#VALUE!</v>
      </c>
      <c r="N126" s="15" t="e">
        <v>#VALUE!</v>
      </c>
      <c r="O126" s="15" t="e">
        <v>#VALUE!</v>
      </c>
      <c r="P126" s="15" t="e">
        <v>#VALUE!</v>
      </c>
      <c r="Q126" s="15" t="e">
        <v>#VALUE!</v>
      </c>
      <c r="R126" s="15" t="e">
        <v>#VALUE!</v>
      </c>
      <c r="S126" s="15" t="e">
        <v>#VALUE!</v>
      </c>
      <c r="T126" s="129">
        <v>1.3556321566576346E-2</v>
      </c>
      <c r="U126" s="130" t="e">
        <f t="shared" si="7"/>
        <v>#VALUE!</v>
      </c>
      <c r="V126" s="129">
        <v>0</v>
      </c>
      <c r="W126" s="130" t="e">
        <f t="shared" si="4"/>
        <v>#VALUE!</v>
      </c>
      <c r="X126" s="129">
        <v>0</v>
      </c>
      <c r="Y126" s="130" t="e">
        <f t="shared" si="5"/>
        <v>#VALUE!</v>
      </c>
      <c r="Z126" s="129">
        <v>0</v>
      </c>
      <c r="AA126" s="130" t="e">
        <f t="shared" si="6"/>
        <v>#VALUE!</v>
      </c>
    </row>
    <row r="127" spans="1:27" x14ac:dyDescent="0.3">
      <c r="A127">
        <v>151001</v>
      </c>
      <c r="B127">
        <v>17031151001</v>
      </c>
      <c r="C127">
        <v>17031</v>
      </c>
      <c r="D127">
        <v>2010</v>
      </c>
      <c r="E127">
        <v>15</v>
      </c>
      <c r="F127">
        <v>3553158.7935861298</v>
      </c>
      <c r="G127" s="43">
        <v>0.12745203431997998</v>
      </c>
      <c r="H127" s="58" t="str">
        <f>_xlfn.IFNA(
INDEX(CA!B$2:B$78,MATCH($E127,CA!$A$2:$A$78,0)),
"")</f>
        <v>PORTAGE PARK</v>
      </c>
      <c r="I127" s="60" t="str">
        <f>_xlfn.IFNA(
INDEX(CA!C$2:C$78,MATCH($E127,CA!$A$2:$A$78,0)),
"")</f>
        <v>2-C</v>
      </c>
      <c r="J127" s="60">
        <f>_xlfn.IFNA(
INDEX(CA!D$2:D$78,MATCH($E127,CA!$A$2:$A$78,0)),
"")</f>
        <v>2</v>
      </c>
      <c r="K127" s="58" t="str">
        <f>_xlfn.IFNA(
INDEX(CA!E$2:E$78,MATCH($E127,CA!$A$2:$A$78,0)),
"")</f>
        <v>NORTHWEST</v>
      </c>
      <c r="L127" s="15" t="e">
        <v>#VALUE!</v>
      </c>
      <c r="M127" s="15" t="e">
        <v>#VALUE!</v>
      </c>
      <c r="N127" s="15" t="e">
        <v>#VALUE!</v>
      </c>
      <c r="O127" s="15" t="e">
        <v>#VALUE!</v>
      </c>
      <c r="P127" s="15" t="e">
        <v>#VALUE!</v>
      </c>
      <c r="Q127" s="15" t="e">
        <v>#VALUE!</v>
      </c>
      <c r="R127" s="15" t="e">
        <v>#VALUE!</v>
      </c>
      <c r="S127" s="15" t="e">
        <v>#VALUE!</v>
      </c>
      <c r="T127" s="129">
        <v>0</v>
      </c>
      <c r="U127" s="130" t="e">
        <f t="shared" si="7"/>
        <v>#VALUE!</v>
      </c>
      <c r="V127" s="129">
        <v>0</v>
      </c>
      <c r="W127" s="130" t="e">
        <f t="shared" si="4"/>
        <v>#VALUE!</v>
      </c>
      <c r="X127" s="129">
        <v>0</v>
      </c>
      <c r="Y127" s="130" t="e">
        <f t="shared" si="5"/>
        <v>#VALUE!</v>
      </c>
      <c r="Z127" s="129">
        <v>0</v>
      </c>
      <c r="AA127" s="130" t="e">
        <f t="shared" si="6"/>
        <v>#VALUE!</v>
      </c>
    </row>
    <row r="128" spans="1:27" x14ac:dyDescent="0.3">
      <c r="A128">
        <v>151200</v>
      </c>
      <c r="B128">
        <v>17031151200</v>
      </c>
      <c r="C128">
        <v>17031</v>
      </c>
      <c r="D128">
        <v>2010</v>
      </c>
      <c r="E128">
        <v>15</v>
      </c>
      <c r="F128">
        <v>7056560.9173635803</v>
      </c>
      <c r="G128" s="43">
        <v>0.25311929369560593</v>
      </c>
      <c r="H128" s="58" t="str">
        <f>_xlfn.IFNA(
INDEX(CA!B$2:B$78,MATCH($E128,CA!$A$2:$A$78,0)),
"")</f>
        <v>PORTAGE PARK</v>
      </c>
      <c r="I128" s="60" t="str">
        <f>_xlfn.IFNA(
INDEX(CA!C$2:C$78,MATCH($E128,CA!$A$2:$A$78,0)),
"")</f>
        <v>2-C</v>
      </c>
      <c r="J128" s="60">
        <f>_xlfn.IFNA(
INDEX(CA!D$2:D$78,MATCH($E128,CA!$A$2:$A$78,0)),
"")</f>
        <v>2</v>
      </c>
      <c r="K128" s="58" t="str">
        <f>_xlfn.IFNA(
INDEX(CA!E$2:E$78,MATCH($E128,CA!$A$2:$A$78,0)),
"")</f>
        <v>NORTHWEST</v>
      </c>
      <c r="L128" s="15" t="e">
        <v>#VALUE!</v>
      </c>
      <c r="M128" s="15" t="e">
        <v>#VALUE!</v>
      </c>
      <c r="N128" s="15" t="e">
        <v>#VALUE!</v>
      </c>
      <c r="O128" s="15" t="e">
        <v>#VALUE!</v>
      </c>
      <c r="P128" s="15" t="e">
        <v>#VALUE!</v>
      </c>
      <c r="Q128" s="15" t="e">
        <v>#VALUE!</v>
      </c>
      <c r="R128" s="15" t="e">
        <v>#VALUE!</v>
      </c>
      <c r="S128" s="15" t="e">
        <v>#VALUE!</v>
      </c>
      <c r="T128" s="129">
        <v>0</v>
      </c>
      <c r="U128" s="130" t="e">
        <f t="shared" si="7"/>
        <v>#VALUE!</v>
      </c>
      <c r="V128" s="129">
        <v>0</v>
      </c>
      <c r="W128" s="130" t="e">
        <f t="shared" si="4"/>
        <v>#VALUE!</v>
      </c>
      <c r="X128" s="129">
        <v>0</v>
      </c>
      <c r="Y128" s="130" t="e">
        <f t="shared" si="5"/>
        <v>#VALUE!</v>
      </c>
      <c r="Z128" s="129">
        <v>0</v>
      </c>
      <c r="AA128" s="130" t="e">
        <f t="shared" si="6"/>
        <v>#VALUE!</v>
      </c>
    </row>
    <row r="129" spans="1:27" x14ac:dyDescent="0.3">
      <c r="A129">
        <v>150402</v>
      </c>
      <c r="B129">
        <v>17031150402</v>
      </c>
      <c r="C129">
        <v>17031</v>
      </c>
      <c r="D129">
        <v>2010</v>
      </c>
      <c r="E129">
        <v>15</v>
      </c>
      <c r="F129">
        <v>7132069.6813779296</v>
      </c>
      <c r="G129" s="43">
        <v>0.25582779791444021</v>
      </c>
      <c r="H129" s="58" t="str">
        <f>_xlfn.IFNA(
INDEX(CA!B$2:B$78,MATCH($E129,CA!$A$2:$A$78,0)),
"")</f>
        <v>PORTAGE PARK</v>
      </c>
      <c r="I129" s="60" t="str">
        <f>_xlfn.IFNA(
INDEX(CA!C$2:C$78,MATCH($E129,CA!$A$2:$A$78,0)),
"")</f>
        <v>2-C</v>
      </c>
      <c r="J129" s="60">
        <f>_xlfn.IFNA(
INDEX(CA!D$2:D$78,MATCH($E129,CA!$A$2:$A$78,0)),
"")</f>
        <v>2</v>
      </c>
      <c r="K129" s="58" t="str">
        <f>_xlfn.IFNA(
INDEX(CA!E$2:E$78,MATCH($E129,CA!$A$2:$A$78,0)),
"")</f>
        <v>NORTHWEST</v>
      </c>
      <c r="L129" s="15" t="e">
        <v>#VALUE!</v>
      </c>
      <c r="M129" s="15" t="e">
        <v>#VALUE!</v>
      </c>
      <c r="N129" s="15" t="e">
        <v>#VALUE!</v>
      </c>
      <c r="O129" s="15" t="e">
        <v>#VALUE!</v>
      </c>
      <c r="P129" s="15" t="e">
        <v>#VALUE!</v>
      </c>
      <c r="Q129" s="15" t="e">
        <v>#VALUE!</v>
      </c>
      <c r="R129" s="15" t="e">
        <v>#VALUE!</v>
      </c>
      <c r="S129" s="15" t="e">
        <v>#VALUE!</v>
      </c>
      <c r="T129" s="129">
        <v>0.13508049560128452</v>
      </c>
      <c r="U129" s="130" t="e">
        <f t="shared" si="7"/>
        <v>#VALUE!</v>
      </c>
      <c r="V129" s="129">
        <v>0</v>
      </c>
      <c r="W129" s="130" t="e">
        <f t="shared" si="4"/>
        <v>#VALUE!</v>
      </c>
      <c r="X129" s="129">
        <v>0</v>
      </c>
      <c r="Y129" s="130" t="e">
        <f t="shared" si="5"/>
        <v>#VALUE!</v>
      </c>
      <c r="Z129" s="129">
        <v>0</v>
      </c>
      <c r="AA129" s="130" t="e">
        <f t="shared" si="6"/>
        <v>#VALUE!</v>
      </c>
    </row>
    <row r="130" spans="1:27" x14ac:dyDescent="0.3">
      <c r="A130">
        <v>151100</v>
      </c>
      <c r="B130">
        <v>17031151100</v>
      </c>
      <c r="C130">
        <v>17031</v>
      </c>
      <c r="D130">
        <v>2010</v>
      </c>
      <c r="E130">
        <v>15</v>
      </c>
      <c r="F130">
        <v>7113336.2662517102</v>
      </c>
      <c r="G130" s="43">
        <v>0.25515582910969459</v>
      </c>
      <c r="H130" s="58" t="str">
        <f>_xlfn.IFNA(
INDEX(CA!B$2:B$78,MATCH($E130,CA!$A$2:$A$78,0)),
"")</f>
        <v>PORTAGE PARK</v>
      </c>
      <c r="I130" s="60" t="str">
        <f>_xlfn.IFNA(
INDEX(CA!C$2:C$78,MATCH($E130,CA!$A$2:$A$78,0)),
"")</f>
        <v>2-C</v>
      </c>
      <c r="J130" s="60">
        <f>_xlfn.IFNA(
INDEX(CA!D$2:D$78,MATCH($E130,CA!$A$2:$A$78,0)),
"")</f>
        <v>2</v>
      </c>
      <c r="K130" s="58" t="str">
        <f>_xlfn.IFNA(
INDEX(CA!E$2:E$78,MATCH($E130,CA!$A$2:$A$78,0)),
"")</f>
        <v>NORTHWEST</v>
      </c>
      <c r="L130" s="15" t="e">
        <v>#VALUE!</v>
      </c>
      <c r="M130" s="15" t="e">
        <v>#VALUE!</v>
      </c>
      <c r="N130" s="15" t="e">
        <v>#VALUE!</v>
      </c>
      <c r="O130" s="15" t="e">
        <v>#VALUE!</v>
      </c>
      <c r="P130" s="15" t="e">
        <v>#VALUE!</v>
      </c>
      <c r="Q130" s="15" t="e">
        <v>#VALUE!</v>
      </c>
      <c r="R130" s="15" t="e">
        <v>#VALUE!</v>
      </c>
      <c r="S130" s="15" t="e">
        <v>#VALUE!</v>
      </c>
      <c r="T130" s="129">
        <v>0</v>
      </c>
      <c r="U130" s="130" t="e">
        <f t="shared" si="7"/>
        <v>#VALUE!</v>
      </c>
      <c r="V130" s="129">
        <v>0</v>
      </c>
      <c r="W130" s="130" t="e">
        <f t="shared" si="4"/>
        <v>#VALUE!</v>
      </c>
      <c r="X130" s="129">
        <v>0</v>
      </c>
      <c r="Y130" s="130" t="e">
        <f t="shared" si="5"/>
        <v>#VALUE!</v>
      </c>
      <c r="Z130" s="129">
        <v>0</v>
      </c>
      <c r="AA130" s="130" t="e">
        <f t="shared" si="6"/>
        <v>#VALUE!</v>
      </c>
    </row>
    <row r="131" spans="1:27" x14ac:dyDescent="0.3">
      <c r="A131">
        <v>150300</v>
      </c>
      <c r="B131">
        <v>17031150300</v>
      </c>
      <c r="C131">
        <v>17031</v>
      </c>
      <c r="D131">
        <v>2010</v>
      </c>
      <c r="E131">
        <v>15</v>
      </c>
      <c r="F131">
        <v>14279049.5979826</v>
      </c>
      <c r="G131" s="43">
        <v>0.51219042692488093</v>
      </c>
      <c r="H131" s="58" t="str">
        <f>_xlfn.IFNA(
INDEX(CA!B$2:B$78,MATCH($E131,CA!$A$2:$A$78,0)),
"")</f>
        <v>PORTAGE PARK</v>
      </c>
      <c r="I131" s="60" t="str">
        <f>_xlfn.IFNA(
INDEX(CA!C$2:C$78,MATCH($E131,CA!$A$2:$A$78,0)),
"")</f>
        <v>2-C</v>
      </c>
      <c r="J131" s="60">
        <f>_xlfn.IFNA(
INDEX(CA!D$2:D$78,MATCH($E131,CA!$A$2:$A$78,0)),
"")</f>
        <v>2</v>
      </c>
      <c r="K131" s="58" t="str">
        <f>_xlfn.IFNA(
INDEX(CA!E$2:E$78,MATCH($E131,CA!$A$2:$A$78,0)),
"")</f>
        <v>NORTHWEST</v>
      </c>
      <c r="L131" s="15" t="e">
        <v>#VALUE!</v>
      </c>
      <c r="M131" s="15" t="e">
        <v>#VALUE!</v>
      </c>
      <c r="N131" s="15" t="e">
        <v>#VALUE!</v>
      </c>
      <c r="O131" s="15" t="e">
        <v>#VALUE!</v>
      </c>
      <c r="P131" s="15" t="e">
        <v>#VALUE!</v>
      </c>
      <c r="Q131" s="15" t="e">
        <v>#VALUE!</v>
      </c>
      <c r="R131" s="15" t="e">
        <v>#VALUE!</v>
      </c>
      <c r="S131" s="15" t="e">
        <v>#VALUE!</v>
      </c>
      <c r="T131" s="129">
        <v>0.45987407391198204</v>
      </c>
      <c r="U131" s="130" t="e">
        <f t="shared" si="7"/>
        <v>#VALUE!</v>
      </c>
      <c r="V131" s="129">
        <v>0.25800596157834704</v>
      </c>
      <c r="W131" s="130" t="e">
        <f t="shared" si="4"/>
        <v>#VALUE!</v>
      </c>
      <c r="X131" s="129">
        <v>0.25800596157834704</v>
      </c>
      <c r="Y131" s="130" t="e">
        <f t="shared" si="5"/>
        <v>#VALUE!</v>
      </c>
      <c r="Z131" s="129">
        <v>0.25800596157834704</v>
      </c>
      <c r="AA131" s="130" t="e">
        <f t="shared" si="6"/>
        <v>#VALUE!</v>
      </c>
    </row>
    <row r="132" spans="1:27" x14ac:dyDescent="0.3">
      <c r="A132">
        <v>160800</v>
      </c>
      <c r="B132">
        <v>17031160800</v>
      </c>
      <c r="C132">
        <v>17031</v>
      </c>
      <c r="D132">
        <v>2010</v>
      </c>
      <c r="E132">
        <v>16</v>
      </c>
      <c r="F132">
        <v>7080076.2386456802</v>
      </c>
      <c r="G132" s="43">
        <v>0.25396278978153985</v>
      </c>
      <c r="H132" s="58" t="str">
        <f>_xlfn.IFNA(
INDEX(CA!B$2:B$78,MATCH($E132,CA!$A$2:$A$78,0)),
"")</f>
        <v>IRVING PARK</v>
      </c>
      <c r="I132" s="60" t="str">
        <f>_xlfn.IFNA(
INDEX(CA!C$2:C$78,MATCH($E132,CA!$A$2:$A$78,0)),
"")</f>
        <v>2-A</v>
      </c>
      <c r="J132" s="60">
        <f>_xlfn.IFNA(
INDEX(CA!D$2:D$78,MATCH($E132,CA!$A$2:$A$78,0)),
"")</f>
        <v>2</v>
      </c>
      <c r="K132" s="58" t="str">
        <f>_xlfn.IFNA(
INDEX(CA!E$2:E$78,MATCH($E132,CA!$A$2:$A$78,0)),
"")</f>
        <v>NORTHWEST</v>
      </c>
      <c r="L132" s="15" t="e">
        <v>#VALUE!</v>
      </c>
      <c r="M132" s="15" t="e">
        <v>#VALUE!</v>
      </c>
      <c r="N132" s="15" t="e">
        <v>#VALUE!</v>
      </c>
      <c r="O132" s="15" t="e">
        <v>#VALUE!</v>
      </c>
      <c r="P132" s="15" t="e">
        <v>#VALUE!</v>
      </c>
      <c r="Q132" s="15" t="e">
        <v>#VALUE!</v>
      </c>
      <c r="R132" s="15" t="e">
        <v>#VALUE!</v>
      </c>
      <c r="S132" s="15" t="e">
        <v>#VALUE!</v>
      </c>
      <c r="T132" s="129">
        <v>0.25396279481606365</v>
      </c>
      <c r="U132" s="130" t="e">
        <f t="shared" si="7"/>
        <v>#VALUE!</v>
      </c>
      <c r="V132" s="129">
        <v>0.25396279481606365</v>
      </c>
      <c r="W132" s="130" t="e">
        <f t="shared" si="4"/>
        <v>#VALUE!</v>
      </c>
      <c r="X132" s="129">
        <v>0.25396279481606365</v>
      </c>
      <c r="Y132" s="130" t="e">
        <f t="shared" si="5"/>
        <v>#VALUE!</v>
      </c>
      <c r="Z132" s="129">
        <v>0.25396279481606365</v>
      </c>
      <c r="AA132" s="130" t="e">
        <f t="shared" si="6"/>
        <v>#VALUE!</v>
      </c>
    </row>
    <row r="133" spans="1:27" x14ac:dyDescent="0.3">
      <c r="A133">
        <v>161100</v>
      </c>
      <c r="B133">
        <v>17031161100</v>
      </c>
      <c r="C133">
        <v>17031</v>
      </c>
      <c r="D133">
        <v>2010</v>
      </c>
      <c r="E133">
        <v>16</v>
      </c>
      <c r="F133">
        <v>6190214.5800150698</v>
      </c>
      <c r="G133" s="43">
        <v>0.22204339488690419</v>
      </c>
      <c r="H133" s="58" t="str">
        <f>_xlfn.IFNA(
INDEX(CA!B$2:B$78,MATCH($E133,CA!$A$2:$A$78,0)),
"")</f>
        <v>IRVING PARK</v>
      </c>
      <c r="I133" s="60" t="str">
        <f>_xlfn.IFNA(
INDEX(CA!C$2:C$78,MATCH($E133,CA!$A$2:$A$78,0)),
"")</f>
        <v>2-A</v>
      </c>
      <c r="J133" s="60">
        <f>_xlfn.IFNA(
INDEX(CA!D$2:D$78,MATCH($E133,CA!$A$2:$A$78,0)),
"")</f>
        <v>2</v>
      </c>
      <c r="K133" s="58" t="str">
        <f>_xlfn.IFNA(
INDEX(CA!E$2:E$78,MATCH($E133,CA!$A$2:$A$78,0)),
"")</f>
        <v>NORTHWEST</v>
      </c>
      <c r="L133" s="15" t="e">
        <v>#VALUE!</v>
      </c>
      <c r="M133" s="15" t="e">
        <v>#VALUE!</v>
      </c>
      <c r="N133" s="15" t="e">
        <v>#VALUE!</v>
      </c>
      <c r="O133" s="15" t="e">
        <v>#VALUE!</v>
      </c>
      <c r="P133" s="15" t="e">
        <v>#VALUE!</v>
      </c>
      <c r="Q133" s="15" t="e">
        <v>#VALUE!</v>
      </c>
      <c r="R133" s="15" t="e">
        <v>#VALUE!</v>
      </c>
      <c r="S133" s="15" t="e">
        <v>#VALUE!</v>
      </c>
      <c r="T133" s="129">
        <v>0.22204339373902302</v>
      </c>
      <c r="U133" s="130" t="e">
        <f t="shared" si="7"/>
        <v>#VALUE!</v>
      </c>
      <c r="V133" s="129">
        <v>0.22204339373902302</v>
      </c>
      <c r="W133" s="130" t="e">
        <f t="shared" si="4"/>
        <v>#VALUE!</v>
      </c>
      <c r="X133" s="129">
        <v>0.22204339373902302</v>
      </c>
      <c r="Y133" s="130" t="e">
        <f t="shared" si="5"/>
        <v>#VALUE!</v>
      </c>
      <c r="Z133" s="129">
        <v>0.22204339373902302</v>
      </c>
      <c r="AA133" s="130" t="e">
        <f t="shared" si="6"/>
        <v>#VALUE!</v>
      </c>
    </row>
    <row r="134" spans="1:27" x14ac:dyDescent="0.3">
      <c r="A134">
        <v>161300</v>
      </c>
      <c r="B134">
        <v>17031161300</v>
      </c>
      <c r="C134">
        <v>17031</v>
      </c>
      <c r="D134">
        <v>2010</v>
      </c>
      <c r="E134">
        <v>16</v>
      </c>
      <c r="F134">
        <v>5355536.1203330001</v>
      </c>
      <c r="G134" s="43">
        <v>0.19210342488568211</v>
      </c>
      <c r="H134" s="58" t="str">
        <f>_xlfn.IFNA(
INDEX(CA!B$2:B$78,MATCH($E134,CA!$A$2:$A$78,0)),
"")</f>
        <v>IRVING PARK</v>
      </c>
      <c r="I134" s="60" t="str">
        <f>_xlfn.IFNA(
INDEX(CA!C$2:C$78,MATCH($E134,CA!$A$2:$A$78,0)),
"")</f>
        <v>2-A</v>
      </c>
      <c r="J134" s="60">
        <f>_xlfn.IFNA(
INDEX(CA!D$2:D$78,MATCH($E134,CA!$A$2:$A$78,0)),
"")</f>
        <v>2</v>
      </c>
      <c r="K134" s="58" t="str">
        <f>_xlfn.IFNA(
INDEX(CA!E$2:E$78,MATCH($E134,CA!$A$2:$A$78,0)),
"")</f>
        <v>NORTHWEST</v>
      </c>
      <c r="L134" s="15" t="e">
        <v>#VALUE!</v>
      </c>
      <c r="M134" s="15" t="e">
        <v>#VALUE!</v>
      </c>
      <c r="N134" s="15" t="e">
        <v>#VALUE!</v>
      </c>
      <c r="O134" s="15" t="e">
        <v>#VALUE!</v>
      </c>
      <c r="P134" s="15" t="e">
        <v>#VALUE!</v>
      </c>
      <c r="Q134" s="15" t="e">
        <v>#VALUE!</v>
      </c>
      <c r="R134" s="15" t="e">
        <v>#VALUE!</v>
      </c>
      <c r="S134" s="15" t="e">
        <v>#VALUE!</v>
      </c>
      <c r="T134" s="129">
        <v>0.16136932750521371</v>
      </c>
      <c r="U134" s="130" t="e">
        <f t="shared" si="7"/>
        <v>#VALUE!</v>
      </c>
      <c r="V134" s="129">
        <v>0.16136932750521371</v>
      </c>
      <c r="W134" s="130" t="e">
        <f t="shared" ref="W134:W197" si="8">(V134/$G134)*$L134</f>
        <v>#VALUE!</v>
      </c>
      <c r="X134" s="129">
        <v>0.16136932750521371</v>
      </c>
      <c r="Y134" s="130" t="e">
        <f t="shared" ref="Y134:Y197" si="9">(X134/$G134)*$L134</f>
        <v>#VALUE!</v>
      </c>
      <c r="Z134" s="129">
        <v>0.16136932750521371</v>
      </c>
      <c r="AA134" s="130" t="e">
        <f t="shared" ref="AA134:AA197" si="10">(Z134/$G134)*$L134</f>
        <v>#VALUE!</v>
      </c>
    </row>
    <row r="135" spans="1:27" x14ac:dyDescent="0.3">
      <c r="A135">
        <v>160200</v>
      </c>
      <c r="B135">
        <v>17031160200</v>
      </c>
      <c r="C135">
        <v>17031</v>
      </c>
      <c r="D135">
        <v>2010</v>
      </c>
      <c r="E135">
        <v>16</v>
      </c>
      <c r="F135">
        <v>10282044.4927583</v>
      </c>
      <c r="G135" s="43">
        <v>0.36881759687637383</v>
      </c>
      <c r="H135" s="58" t="str">
        <f>_xlfn.IFNA(
INDEX(CA!B$2:B$78,MATCH($E135,CA!$A$2:$A$78,0)),
"")</f>
        <v>IRVING PARK</v>
      </c>
      <c r="I135" s="60" t="str">
        <f>_xlfn.IFNA(
INDEX(CA!C$2:C$78,MATCH($E135,CA!$A$2:$A$78,0)),
"")</f>
        <v>2-A</v>
      </c>
      <c r="J135" s="60">
        <f>_xlfn.IFNA(
INDEX(CA!D$2:D$78,MATCH($E135,CA!$A$2:$A$78,0)),
"")</f>
        <v>2</v>
      </c>
      <c r="K135" s="58" t="str">
        <f>_xlfn.IFNA(
INDEX(CA!E$2:E$78,MATCH($E135,CA!$A$2:$A$78,0)),
"")</f>
        <v>NORTHWEST</v>
      </c>
      <c r="L135" s="15" t="e">
        <v>#VALUE!</v>
      </c>
      <c r="M135" s="15" t="e">
        <v>#VALUE!</v>
      </c>
      <c r="N135" s="15" t="e">
        <v>#VALUE!</v>
      </c>
      <c r="O135" s="15" t="e">
        <v>#VALUE!</v>
      </c>
      <c r="P135" s="15" t="e">
        <v>#VALUE!</v>
      </c>
      <c r="Q135" s="15" t="e">
        <v>#VALUE!</v>
      </c>
      <c r="R135" s="15" t="e">
        <v>#VALUE!</v>
      </c>
      <c r="S135" s="15" t="e">
        <v>#VALUE!</v>
      </c>
      <c r="T135" s="129">
        <v>0.3688141176626959</v>
      </c>
      <c r="U135" s="130" t="e">
        <f t="shared" ref="U135:U198" si="11">(T135/$G135)*$L135</f>
        <v>#VALUE!</v>
      </c>
      <c r="V135" s="129">
        <v>0.36403705014013715</v>
      </c>
      <c r="W135" s="130" t="e">
        <f t="shared" si="8"/>
        <v>#VALUE!</v>
      </c>
      <c r="X135" s="129">
        <v>0.36403705014013715</v>
      </c>
      <c r="Y135" s="130" t="e">
        <f t="shared" si="9"/>
        <v>#VALUE!</v>
      </c>
      <c r="Z135" s="129">
        <v>0.36403705014013715</v>
      </c>
      <c r="AA135" s="130" t="e">
        <f t="shared" si="10"/>
        <v>#VALUE!</v>
      </c>
    </row>
    <row r="136" spans="1:27" x14ac:dyDescent="0.3">
      <c r="A136">
        <v>160100</v>
      </c>
      <c r="B136">
        <v>17031160100</v>
      </c>
      <c r="C136">
        <v>17031</v>
      </c>
      <c r="D136">
        <v>2010</v>
      </c>
      <c r="E136">
        <v>16</v>
      </c>
      <c r="F136">
        <v>6374388.2669359101</v>
      </c>
      <c r="G136" s="43">
        <v>0.22864971687528374</v>
      </c>
      <c r="H136" s="58" t="str">
        <f>_xlfn.IFNA(
INDEX(CA!B$2:B$78,MATCH($E136,CA!$A$2:$A$78,0)),
"")</f>
        <v>IRVING PARK</v>
      </c>
      <c r="I136" s="60" t="str">
        <f>_xlfn.IFNA(
INDEX(CA!C$2:C$78,MATCH($E136,CA!$A$2:$A$78,0)),
"")</f>
        <v>2-A</v>
      </c>
      <c r="J136" s="60">
        <f>_xlfn.IFNA(
INDEX(CA!D$2:D$78,MATCH($E136,CA!$A$2:$A$78,0)),
"")</f>
        <v>2</v>
      </c>
      <c r="K136" s="58" t="str">
        <f>_xlfn.IFNA(
INDEX(CA!E$2:E$78,MATCH($E136,CA!$A$2:$A$78,0)),
"")</f>
        <v>NORTHWEST</v>
      </c>
      <c r="L136" s="15" t="e">
        <v>#VALUE!</v>
      </c>
      <c r="M136" s="15" t="e">
        <v>#VALUE!</v>
      </c>
      <c r="N136" s="15" t="e">
        <v>#VALUE!</v>
      </c>
      <c r="O136" s="15" t="e">
        <v>#VALUE!</v>
      </c>
      <c r="P136" s="15" t="e">
        <v>#VALUE!</v>
      </c>
      <c r="Q136" s="15" t="e">
        <v>#VALUE!</v>
      </c>
      <c r="R136" s="15" t="e">
        <v>#VALUE!</v>
      </c>
      <c r="S136" s="15" t="e">
        <v>#VALUE!</v>
      </c>
      <c r="T136" s="129">
        <v>0.22864971481225896</v>
      </c>
      <c r="U136" s="130" t="e">
        <f t="shared" si="11"/>
        <v>#VALUE!</v>
      </c>
      <c r="V136" s="129">
        <v>0.22849940264162111</v>
      </c>
      <c r="W136" s="130" t="e">
        <f t="shared" si="8"/>
        <v>#VALUE!</v>
      </c>
      <c r="X136" s="129">
        <v>0.22849940264162111</v>
      </c>
      <c r="Y136" s="130" t="e">
        <f t="shared" si="9"/>
        <v>#VALUE!</v>
      </c>
      <c r="Z136" s="129">
        <v>0.22849940264162111</v>
      </c>
      <c r="AA136" s="130" t="e">
        <f t="shared" si="10"/>
        <v>#VALUE!</v>
      </c>
    </row>
    <row r="137" spans="1:27" x14ac:dyDescent="0.3">
      <c r="A137">
        <v>160300</v>
      </c>
      <c r="B137">
        <v>17031160300</v>
      </c>
      <c r="C137">
        <v>17031</v>
      </c>
      <c r="D137">
        <v>2010</v>
      </c>
      <c r="E137">
        <v>16</v>
      </c>
      <c r="F137">
        <v>4595878.6161902202</v>
      </c>
      <c r="G137" s="43">
        <v>0.16485446138193799</v>
      </c>
      <c r="H137" s="58" t="str">
        <f>_xlfn.IFNA(
INDEX(CA!B$2:B$78,MATCH($E137,CA!$A$2:$A$78,0)),
"")</f>
        <v>IRVING PARK</v>
      </c>
      <c r="I137" s="60" t="str">
        <f>_xlfn.IFNA(
INDEX(CA!C$2:C$78,MATCH($E137,CA!$A$2:$A$78,0)),
"")</f>
        <v>2-A</v>
      </c>
      <c r="J137" s="60">
        <f>_xlfn.IFNA(
INDEX(CA!D$2:D$78,MATCH($E137,CA!$A$2:$A$78,0)),
"")</f>
        <v>2</v>
      </c>
      <c r="K137" s="58" t="str">
        <f>_xlfn.IFNA(
INDEX(CA!E$2:E$78,MATCH($E137,CA!$A$2:$A$78,0)),
"")</f>
        <v>NORTHWEST</v>
      </c>
      <c r="L137" s="15" t="e">
        <v>#VALUE!</v>
      </c>
      <c r="M137" s="15" t="e">
        <v>#VALUE!</v>
      </c>
      <c r="N137" s="15" t="e">
        <v>#VALUE!</v>
      </c>
      <c r="O137" s="15" t="e">
        <v>#VALUE!</v>
      </c>
      <c r="P137" s="15" t="e">
        <v>#VALUE!</v>
      </c>
      <c r="Q137" s="15" t="e">
        <v>#VALUE!</v>
      </c>
      <c r="R137" s="15" t="e">
        <v>#VALUE!</v>
      </c>
      <c r="S137" s="15" t="e">
        <v>#VALUE!</v>
      </c>
      <c r="T137" s="129">
        <v>0.16485446324721828</v>
      </c>
      <c r="U137" s="130" t="e">
        <f t="shared" si="11"/>
        <v>#VALUE!</v>
      </c>
      <c r="V137" s="129">
        <v>0.16485446324721828</v>
      </c>
      <c r="W137" s="130" t="e">
        <f t="shared" si="8"/>
        <v>#VALUE!</v>
      </c>
      <c r="X137" s="129">
        <v>0.16485446324721828</v>
      </c>
      <c r="Y137" s="130" t="e">
        <f t="shared" si="9"/>
        <v>#VALUE!</v>
      </c>
      <c r="Z137" s="129">
        <v>0.16485446324721828</v>
      </c>
      <c r="AA137" s="130" t="e">
        <f t="shared" si="10"/>
        <v>#VALUE!</v>
      </c>
    </row>
    <row r="138" spans="1:27" x14ac:dyDescent="0.3">
      <c r="A138">
        <v>160501</v>
      </c>
      <c r="B138">
        <v>17031160501</v>
      </c>
      <c r="C138">
        <v>17031</v>
      </c>
      <c r="D138">
        <v>2010</v>
      </c>
      <c r="E138">
        <v>16</v>
      </c>
      <c r="F138">
        <v>3716274.1574826399</v>
      </c>
      <c r="G138" s="43">
        <v>0.1333029929078656</v>
      </c>
      <c r="H138" s="58" t="str">
        <f>_xlfn.IFNA(
INDEX(CA!B$2:B$78,MATCH($E138,CA!$A$2:$A$78,0)),
"")</f>
        <v>IRVING PARK</v>
      </c>
      <c r="I138" s="60" t="str">
        <f>_xlfn.IFNA(
INDEX(CA!C$2:C$78,MATCH($E138,CA!$A$2:$A$78,0)),
"")</f>
        <v>2-A</v>
      </c>
      <c r="J138" s="60">
        <f>_xlfn.IFNA(
INDEX(CA!D$2:D$78,MATCH($E138,CA!$A$2:$A$78,0)),
"")</f>
        <v>2</v>
      </c>
      <c r="K138" s="58" t="str">
        <f>_xlfn.IFNA(
INDEX(CA!E$2:E$78,MATCH($E138,CA!$A$2:$A$78,0)),
"")</f>
        <v>NORTHWEST</v>
      </c>
      <c r="L138" s="15" t="e">
        <v>#VALUE!</v>
      </c>
      <c r="M138" s="15" t="e">
        <v>#VALUE!</v>
      </c>
      <c r="N138" s="15" t="e">
        <v>#VALUE!</v>
      </c>
      <c r="O138" s="15" t="e">
        <v>#VALUE!</v>
      </c>
      <c r="P138" s="15" t="e">
        <v>#VALUE!</v>
      </c>
      <c r="Q138" s="15" t="e">
        <v>#VALUE!</v>
      </c>
      <c r="R138" s="15" t="e">
        <v>#VALUE!</v>
      </c>
      <c r="S138" s="15" t="e">
        <v>#VALUE!</v>
      </c>
      <c r="T138" s="129">
        <v>0.1333029971831364</v>
      </c>
      <c r="U138" s="130" t="e">
        <f t="shared" si="11"/>
        <v>#VALUE!</v>
      </c>
      <c r="V138" s="129">
        <v>6.9321325367706535E-2</v>
      </c>
      <c r="W138" s="130" t="e">
        <f t="shared" si="8"/>
        <v>#VALUE!</v>
      </c>
      <c r="X138" s="129">
        <v>6.9321325367706535E-2</v>
      </c>
      <c r="Y138" s="130" t="e">
        <f t="shared" si="9"/>
        <v>#VALUE!</v>
      </c>
      <c r="Z138" s="129">
        <v>6.9321325367706535E-2</v>
      </c>
      <c r="AA138" s="130" t="e">
        <f t="shared" si="10"/>
        <v>#VALUE!</v>
      </c>
    </row>
    <row r="139" spans="1:27" x14ac:dyDescent="0.3">
      <c r="A139">
        <v>160602</v>
      </c>
      <c r="B139">
        <v>17031160602</v>
      </c>
      <c r="C139">
        <v>17031</v>
      </c>
      <c r="D139">
        <v>2010</v>
      </c>
      <c r="E139">
        <v>16</v>
      </c>
      <c r="F139">
        <v>5514412.1644967804</v>
      </c>
      <c r="G139" s="43">
        <v>0.1978023188022548</v>
      </c>
      <c r="H139" s="58" t="str">
        <f>_xlfn.IFNA(
INDEX(CA!B$2:B$78,MATCH($E139,CA!$A$2:$A$78,0)),
"")</f>
        <v>IRVING PARK</v>
      </c>
      <c r="I139" s="60" t="str">
        <f>_xlfn.IFNA(
INDEX(CA!C$2:C$78,MATCH($E139,CA!$A$2:$A$78,0)),
"")</f>
        <v>2-A</v>
      </c>
      <c r="J139" s="60">
        <f>_xlfn.IFNA(
INDEX(CA!D$2:D$78,MATCH($E139,CA!$A$2:$A$78,0)),
"")</f>
        <v>2</v>
      </c>
      <c r="K139" s="58" t="str">
        <f>_xlfn.IFNA(
INDEX(CA!E$2:E$78,MATCH($E139,CA!$A$2:$A$78,0)),
"")</f>
        <v>NORTHWEST</v>
      </c>
      <c r="L139" s="15" t="e">
        <v>#VALUE!</v>
      </c>
      <c r="M139" s="15" t="e">
        <v>#VALUE!</v>
      </c>
      <c r="N139" s="15" t="e">
        <v>#VALUE!</v>
      </c>
      <c r="O139" s="15" t="e">
        <v>#VALUE!</v>
      </c>
      <c r="P139" s="15" t="e">
        <v>#VALUE!</v>
      </c>
      <c r="Q139" s="15" t="e">
        <v>#VALUE!</v>
      </c>
      <c r="R139" s="15" t="e">
        <v>#VALUE!</v>
      </c>
      <c r="S139" s="15" t="e">
        <v>#VALUE!</v>
      </c>
      <c r="T139" s="129">
        <v>0.19780232118794192</v>
      </c>
      <c r="U139" s="130" t="e">
        <f t="shared" si="11"/>
        <v>#VALUE!</v>
      </c>
      <c r="V139" s="129">
        <v>0.19448295410845456</v>
      </c>
      <c r="W139" s="130" t="e">
        <f t="shared" si="8"/>
        <v>#VALUE!</v>
      </c>
      <c r="X139" s="129">
        <v>0.19448295410845456</v>
      </c>
      <c r="Y139" s="130" t="e">
        <f t="shared" si="9"/>
        <v>#VALUE!</v>
      </c>
      <c r="Z139" s="129">
        <v>0.19448295410845456</v>
      </c>
      <c r="AA139" s="130" t="e">
        <f t="shared" si="10"/>
        <v>#VALUE!</v>
      </c>
    </row>
    <row r="140" spans="1:27" x14ac:dyDescent="0.3">
      <c r="A140">
        <v>160601</v>
      </c>
      <c r="B140">
        <v>17031160601</v>
      </c>
      <c r="C140">
        <v>17031</v>
      </c>
      <c r="D140">
        <v>2010</v>
      </c>
      <c r="E140">
        <v>16</v>
      </c>
      <c r="F140">
        <v>4319984.7093799999</v>
      </c>
      <c r="G140" s="43">
        <v>0.15495812921042815</v>
      </c>
      <c r="H140" s="58" t="str">
        <f>_xlfn.IFNA(
INDEX(CA!B$2:B$78,MATCH($E140,CA!$A$2:$A$78,0)),
"")</f>
        <v>IRVING PARK</v>
      </c>
      <c r="I140" s="60" t="str">
        <f>_xlfn.IFNA(
INDEX(CA!C$2:C$78,MATCH($E140,CA!$A$2:$A$78,0)),
"")</f>
        <v>2-A</v>
      </c>
      <c r="J140" s="60">
        <f>_xlfn.IFNA(
INDEX(CA!D$2:D$78,MATCH($E140,CA!$A$2:$A$78,0)),
"")</f>
        <v>2</v>
      </c>
      <c r="K140" s="58" t="str">
        <f>_xlfn.IFNA(
INDEX(CA!E$2:E$78,MATCH($E140,CA!$A$2:$A$78,0)),
"")</f>
        <v>NORTHWEST</v>
      </c>
      <c r="L140" s="15" t="e">
        <v>#VALUE!</v>
      </c>
      <c r="M140" s="15" t="e">
        <v>#VALUE!</v>
      </c>
      <c r="N140" s="15" t="e">
        <v>#VALUE!</v>
      </c>
      <c r="O140" s="15" t="e">
        <v>#VALUE!</v>
      </c>
      <c r="P140" s="15" t="e">
        <v>#VALUE!</v>
      </c>
      <c r="Q140" s="15" t="e">
        <v>#VALUE!</v>
      </c>
      <c r="R140" s="15" t="e">
        <v>#VALUE!</v>
      </c>
      <c r="S140" s="15" t="e">
        <v>#VALUE!</v>
      </c>
      <c r="T140" s="129">
        <v>0.15495812527206765</v>
      </c>
      <c r="U140" s="130" t="e">
        <f t="shared" si="11"/>
        <v>#VALUE!</v>
      </c>
      <c r="V140" s="129">
        <v>0.15280088700784406</v>
      </c>
      <c r="W140" s="130" t="e">
        <f t="shared" si="8"/>
        <v>#VALUE!</v>
      </c>
      <c r="X140" s="129">
        <v>0.15280088700784406</v>
      </c>
      <c r="Y140" s="130" t="e">
        <f t="shared" si="9"/>
        <v>#VALUE!</v>
      </c>
      <c r="Z140" s="129">
        <v>0.15280088700784406</v>
      </c>
      <c r="AA140" s="130" t="e">
        <f t="shared" si="10"/>
        <v>#VALUE!</v>
      </c>
    </row>
    <row r="141" spans="1:27" x14ac:dyDescent="0.3">
      <c r="A141">
        <v>160400</v>
      </c>
      <c r="B141">
        <v>17031160400</v>
      </c>
      <c r="C141">
        <v>17031</v>
      </c>
      <c r="D141">
        <v>2010</v>
      </c>
      <c r="E141">
        <v>16</v>
      </c>
      <c r="F141">
        <v>7086478.1444504298</v>
      </c>
      <c r="G141" s="43">
        <v>0.25419242655426533</v>
      </c>
      <c r="H141" s="58" t="str">
        <f>_xlfn.IFNA(
INDEX(CA!B$2:B$78,MATCH($E141,CA!$A$2:$A$78,0)),
"")</f>
        <v>IRVING PARK</v>
      </c>
      <c r="I141" s="60" t="str">
        <f>_xlfn.IFNA(
INDEX(CA!C$2:C$78,MATCH($E141,CA!$A$2:$A$78,0)),
"")</f>
        <v>2-A</v>
      </c>
      <c r="J141" s="60">
        <f>_xlfn.IFNA(
INDEX(CA!D$2:D$78,MATCH($E141,CA!$A$2:$A$78,0)),
"")</f>
        <v>2</v>
      </c>
      <c r="K141" s="58" t="str">
        <f>_xlfn.IFNA(
INDEX(CA!E$2:E$78,MATCH($E141,CA!$A$2:$A$78,0)),
"")</f>
        <v>NORTHWEST</v>
      </c>
      <c r="L141" s="15" t="e">
        <v>#VALUE!</v>
      </c>
      <c r="M141" s="15" t="e">
        <v>#VALUE!</v>
      </c>
      <c r="N141" s="15" t="e">
        <v>#VALUE!</v>
      </c>
      <c r="O141" s="15" t="e">
        <v>#VALUE!</v>
      </c>
      <c r="P141" s="15" t="e">
        <v>#VALUE!</v>
      </c>
      <c r="Q141" s="15" t="e">
        <v>#VALUE!</v>
      </c>
      <c r="R141" s="15" t="e">
        <v>#VALUE!</v>
      </c>
      <c r="S141" s="15" t="e">
        <v>#VALUE!</v>
      </c>
      <c r="T141" s="129">
        <v>0.25419242862688463</v>
      </c>
      <c r="U141" s="130" t="e">
        <f t="shared" si="11"/>
        <v>#VALUE!</v>
      </c>
      <c r="V141" s="129">
        <v>0.25419242862688463</v>
      </c>
      <c r="W141" s="130" t="e">
        <f t="shared" si="8"/>
        <v>#VALUE!</v>
      </c>
      <c r="X141" s="129">
        <v>0.25419242862688463</v>
      </c>
      <c r="Y141" s="130" t="e">
        <f t="shared" si="9"/>
        <v>#VALUE!</v>
      </c>
      <c r="Z141" s="129">
        <v>0.25419242862688463</v>
      </c>
      <c r="AA141" s="130" t="e">
        <f t="shared" si="10"/>
        <v>#VALUE!</v>
      </c>
    </row>
    <row r="142" spans="1:27" x14ac:dyDescent="0.3">
      <c r="A142">
        <v>160502</v>
      </c>
      <c r="B142">
        <v>17031160502</v>
      </c>
      <c r="C142">
        <v>17031</v>
      </c>
      <c r="D142">
        <v>2010</v>
      </c>
      <c r="E142">
        <v>16</v>
      </c>
      <c r="F142">
        <v>3346850.37175088</v>
      </c>
      <c r="G142" s="43">
        <v>0.1200517379674185</v>
      </c>
      <c r="H142" s="58" t="str">
        <f>_xlfn.IFNA(
INDEX(CA!B$2:B$78,MATCH($E142,CA!$A$2:$A$78,0)),
"")</f>
        <v>IRVING PARK</v>
      </c>
      <c r="I142" s="60" t="str">
        <f>_xlfn.IFNA(
INDEX(CA!C$2:C$78,MATCH($E142,CA!$A$2:$A$78,0)),
"")</f>
        <v>2-A</v>
      </c>
      <c r="J142" s="60">
        <f>_xlfn.IFNA(
INDEX(CA!D$2:D$78,MATCH($E142,CA!$A$2:$A$78,0)),
"")</f>
        <v>2</v>
      </c>
      <c r="K142" s="58" t="str">
        <f>_xlfn.IFNA(
INDEX(CA!E$2:E$78,MATCH($E142,CA!$A$2:$A$78,0)),
"")</f>
        <v>NORTHWEST</v>
      </c>
      <c r="L142" s="15" t="e">
        <v>#VALUE!</v>
      </c>
      <c r="M142" s="15" t="e">
        <v>#VALUE!</v>
      </c>
      <c r="N142" s="15" t="e">
        <v>#VALUE!</v>
      </c>
      <c r="O142" s="15" t="e">
        <v>#VALUE!</v>
      </c>
      <c r="P142" s="15" t="e">
        <v>#VALUE!</v>
      </c>
      <c r="Q142" s="15" t="e">
        <v>#VALUE!</v>
      </c>
      <c r="R142" s="15" t="e">
        <v>#VALUE!</v>
      </c>
      <c r="S142" s="15" t="e">
        <v>#VALUE!</v>
      </c>
      <c r="T142" s="129">
        <v>0.12005173389687643</v>
      </c>
      <c r="U142" s="130" t="e">
        <f t="shared" si="11"/>
        <v>#VALUE!</v>
      </c>
      <c r="V142" s="129">
        <v>0.11568231261965607</v>
      </c>
      <c r="W142" s="130" t="e">
        <f t="shared" si="8"/>
        <v>#VALUE!</v>
      </c>
      <c r="X142" s="129">
        <v>0.11568231261965607</v>
      </c>
      <c r="Y142" s="130" t="e">
        <f t="shared" si="9"/>
        <v>#VALUE!</v>
      </c>
      <c r="Z142" s="129">
        <v>0.11568231261965607</v>
      </c>
      <c r="AA142" s="130" t="e">
        <f t="shared" si="10"/>
        <v>#VALUE!</v>
      </c>
    </row>
    <row r="143" spans="1:27" x14ac:dyDescent="0.3">
      <c r="A143">
        <v>160700</v>
      </c>
      <c r="B143">
        <v>17031160700</v>
      </c>
      <c r="C143">
        <v>17031</v>
      </c>
      <c r="D143">
        <v>2010</v>
      </c>
      <c r="E143">
        <v>16</v>
      </c>
      <c r="F143">
        <v>8520763.4417107403</v>
      </c>
      <c r="G143" s="43">
        <v>0.30564033236163984</v>
      </c>
      <c r="H143" s="58" t="str">
        <f>_xlfn.IFNA(
INDEX(CA!B$2:B$78,MATCH($E143,CA!$A$2:$A$78,0)),
"")</f>
        <v>IRVING PARK</v>
      </c>
      <c r="I143" s="60" t="str">
        <f>_xlfn.IFNA(
INDEX(CA!C$2:C$78,MATCH($E143,CA!$A$2:$A$78,0)),
"")</f>
        <v>2-A</v>
      </c>
      <c r="J143" s="60">
        <f>_xlfn.IFNA(
INDEX(CA!D$2:D$78,MATCH($E143,CA!$A$2:$A$78,0)),
"")</f>
        <v>2</v>
      </c>
      <c r="K143" s="58" t="str">
        <f>_xlfn.IFNA(
INDEX(CA!E$2:E$78,MATCH($E143,CA!$A$2:$A$78,0)),
"")</f>
        <v>NORTHWEST</v>
      </c>
      <c r="L143" s="15" t="e">
        <v>#VALUE!</v>
      </c>
      <c r="M143" s="15" t="e">
        <v>#VALUE!</v>
      </c>
      <c r="N143" s="15" t="e">
        <v>#VALUE!</v>
      </c>
      <c r="O143" s="15" t="e">
        <v>#VALUE!</v>
      </c>
      <c r="P143" s="15" t="e">
        <v>#VALUE!</v>
      </c>
      <c r="Q143" s="15" t="e">
        <v>#VALUE!</v>
      </c>
      <c r="R143" s="15" t="e">
        <v>#VALUE!</v>
      </c>
      <c r="S143" s="15" t="e">
        <v>#VALUE!</v>
      </c>
      <c r="T143" s="129">
        <v>0.30564033617105646</v>
      </c>
      <c r="U143" s="130" t="e">
        <f t="shared" si="11"/>
        <v>#VALUE!</v>
      </c>
      <c r="V143" s="129">
        <v>0.30564033617105646</v>
      </c>
      <c r="W143" s="130" t="e">
        <f t="shared" si="8"/>
        <v>#VALUE!</v>
      </c>
      <c r="X143" s="129">
        <v>0.30564033617105646</v>
      </c>
      <c r="Y143" s="130" t="e">
        <f t="shared" si="9"/>
        <v>#VALUE!</v>
      </c>
      <c r="Z143" s="129">
        <v>0.30564033617105646</v>
      </c>
      <c r="AA143" s="130" t="e">
        <f t="shared" si="10"/>
        <v>#VALUE!</v>
      </c>
    </row>
    <row r="144" spans="1:27" x14ac:dyDescent="0.3">
      <c r="A144">
        <v>161000</v>
      </c>
      <c r="B144">
        <v>17031161000</v>
      </c>
      <c r="C144">
        <v>17031</v>
      </c>
      <c r="D144">
        <v>2010</v>
      </c>
      <c r="E144">
        <v>16</v>
      </c>
      <c r="F144">
        <v>4588196.6698553301</v>
      </c>
      <c r="G144" s="43">
        <v>0.16457890947311646</v>
      </c>
      <c r="H144" s="58" t="str">
        <f>_xlfn.IFNA(
INDEX(CA!B$2:B$78,MATCH($E144,CA!$A$2:$A$78,0)),
"")</f>
        <v>IRVING PARK</v>
      </c>
      <c r="I144" s="60" t="str">
        <f>_xlfn.IFNA(
INDEX(CA!C$2:C$78,MATCH($E144,CA!$A$2:$A$78,0)),
"")</f>
        <v>2-A</v>
      </c>
      <c r="J144" s="60">
        <f>_xlfn.IFNA(
INDEX(CA!D$2:D$78,MATCH($E144,CA!$A$2:$A$78,0)),
"")</f>
        <v>2</v>
      </c>
      <c r="K144" s="58" t="str">
        <f>_xlfn.IFNA(
INDEX(CA!E$2:E$78,MATCH($E144,CA!$A$2:$A$78,0)),
"")</f>
        <v>NORTHWEST</v>
      </c>
      <c r="L144" s="15" t="e">
        <v>#VALUE!</v>
      </c>
      <c r="M144" s="15" t="e">
        <v>#VALUE!</v>
      </c>
      <c r="N144" s="15" t="e">
        <v>#VALUE!</v>
      </c>
      <c r="O144" s="15" t="e">
        <v>#VALUE!</v>
      </c>
      <c r="P144" s="15" t="e">
        <v>#VALUE!</v>
      </c>
      <c r="Q144" s="15" t="e">
        <v>#VALUE!</v>
      </c>
      <c r="R144" s="15" t="e">
        <v>#VALUE!</v>
      </c>
      <c r="S144" s="15" t="e">
        <v>#VALUE!</v>
      </c>
      <c r="T144" s="129">
        <v>0.1645789118102603</v>
      </c>
      <c r="U144" s="130" t="e">
        <f t="shared" si="11"/>
        <v>#VALUE!</v>
      </c>
      <c r="V144" s="129">
        <v>0.1645789118102603</v>
      </c>
      <c r="W144" s="130" t="e">
        <f t="shared" si="8"/>
        <v>#VALUE!</v>
      </c>
      <c r="X144" s="129">
        <v>0.1645789118102603</v>
      </c>
      <c r="Y144" s="130" t="e">
        <f t="shared" si="9"/>
        <v>#VALUE!</v>
      </c>
      <c r="Z144" s="129">
        <v>0.1645789118102603</v>
      </c>
      <c r="AA144" s="130" t="e">
        <f t="shared" si="10"/>
        <v>#VALUE!</v>
      </c>
    </row>
    <row r="145" spans="1:27" x14ac:dyDescent="0.3">
      <c r="A145">
        <v>161200</v>
      </c>
      <c r="B145">
        <v>17031161200</v>
      </c>
      <c r="C145">
        <v>17031</v>
      </c>
      <c r="D145">
        <v>2010</v>
      </c>
      <c r="E145">
        <v>16</v>
      </c>
      <c r="F145">
        <v>5572129.7227632403</v>
      </c>
      <c r="G145" s="43">
        <v>0.19987265132730861</v>
      </c>
      <c r="H145" s="58" t="str">
        <f>_xlfn.IFNA(
INDEX(CA!B$2:B$78,MATCH($E145,CA!$A$2:$A$78,0)),
"")</f>
        <v>IRVING PARK</v>
      </c>
      <c r="I145" s="60" t="str">
        <f>_xlfn.IFNA(
INDEX(CA!C$2:C$78,MATCH($E145,CA!$A$2:$A$78,0)),
"")</f>
        <v>2-A</v>
      </c>
      <c r="J145" s="60">
        <f>_xlfn.IFNA(
INDEX(CA!D$2:D$78,MATCH($E145,CA!$A$2:$A$78,0)),
"")</f>
        <v>2</v>
      </c>
      <c r="K145" s="58" t="str">
        <f>_xlfn.IFNA(
INDEX(CA!E$2:E$78,MATCH($E145,CA!$A$2:$A$78,0)),
"")</f>
        <v>NORTHWEST</v>
      </c>
      <c r="L145" s="15" t="e">
        <v>#VALUE!</v>
      </c>
      <c r="M145" s="15" t="e">
        <v>#VALUE!</v>
      </c>
      <c r="N145" s="15" t="e">
        <v>#VALUE!</v>
      </c>
      <c r="O145" s="15" t="e">
        <v>#VALUE!</v>
      </c>
      <c r="P145" s="15" t="e">
        <v>#VALUE!</v>
      </c>
      <c r="Q145" s="15" t="e">
        <v>#VALUE!</v>
      </c>
      <c r="R145" s="15" t="e">
        <v>#VALUE!</v>
      </c>
      <c r="S145" s="15" t="e">
        <v>#VALUE!</v>
      </c>
      <c r="T145" s="129">
        <v>0.18291623676263485</v>
      </c>
      <c r="U145" s="130" t="e">
        <f t="shared" si="11"/>
        <v>#VALUE!</v>
      </c>
      <c r="V145" s="129">
        <v>0.18291623676263485</v>
      </c>
      <c r="W145" s="130" t="e">
        <f t="shared" si="8"/>
        <v>#VALUE!</v>
      </c>
      <c r="X145" s="129">
        <v>0.18291623676263485</v>
      </c>
      <c r="Y145" s="130" t="e">
        <f t="shared" si="9"/>
        <v>#VALUE!</v>
      </c>
      <c r="Z145" s="129">
        <v>0.18291623676263485</v>
      </c>
      <c r="AA145" s="130" t="e">
        <f t="shared" si="10"/>
        <v>#VALUE!</v>
      </c>
    </row>
    <row r="146" spans="1:27" x14ac:dyDescent="0.3">
      <c r="A146">
        <v>160900</v>
      </c>
      <c r="B146">
        <v>17031160900</v>
      </c>
      <c r="C146">
        <v>17031</v>
      </c>
      <c r="D146">
        <v>2010</v>
      </c>
      <c r="E146">
        <v>16</v>
      </c>
      <c r="F146">
        <v>7068154.6138654398</v>
      </c>
      <c r="G146" s="43">
        <v>0.25353516033436063</v>
      </c>
      <c r="H146" s="58" t="str">
        <f>_xlfn.IFNA(
INDEX(CA!B$2:B$78,MATCH($E146,CA!$A$2:$A$78,0)),
"")</f>
        <v>IRVING PARK</v>
      </c>
      <c r="I146" s="60" t="str">
        <f>_xlfn.IFNA(
INDEX(CA!C$2:C$78,MATCH($E146,CA!$A$2:$A$78,0)),
"")</f>
        <v>2-A</v>
      </c>
      <c r="J146" s="60">
        <f>_xlfn.IFNA(
INDEX(CA!D$2:D$78,MATCH($E146,CA!$A$2:$A$78,0)),
"")</f>
        <v>2</v>
      </c>
      <c r="K146" s="58" t="str">
        <f>_xlfn.IFNA(
INDEX(CA!E$2:E$78,MATCH($E146,CA!$A$2:$A$78,0)),
"")</f>
        <v>NORTHWEST</v>
      </c>
      <c r="L146" s="15" t="e">
        <v>#VALUE!</v>
      </c>
      <c r="M146" s="15" t="e">
        <v>#VALUE!</v>
      </c>
      <c r="N146" s="15" t="e">
        <v>#VALUE!</v>
      </c>
      <c r="O146" s="15" t="e">
        <v>#VALUE!</v>
      </c>
      <c r="P146" s="15" t="e">
        <v>#VALUE!</v>
      </c>
      <c r="Q146" s="15" t="e">
        <v>#VALUE!</v>
      </c>
      <c r="R146" s="15" t="e">
        <v>#VALUE!</v>
      </c>
      <c r="S146" s="15" t="e">
        <v>#VALUE!</v>
      </c>
      <c r="T146" s="129">
        <v>0.24053327441916503</v>
      </c>
      <c r="U146" s="130" t="e">
        <f t="shared" si="11"/>
        <v>#VALUE!</v>
      </c>
      <c r="V146" s="129">
        <v>0.24053327441916503</v>
      </c>
      <c r="W146" s="130" t="e">
        <f t="shared" si="8"/>
        <v>#VALUE!</v>
      </c>
      <c r="X146" s="129">
        <v>0.24053327441916503</v>
      </c>
      <c r="Y146" s="130" t="e">
        <f t="shared" si="9"/>
        <v>#VALUE!</v>
      </c>
      <c r="Z146" s="129">
        <v>0.24053327441916503</v>
      </c>
      <c r="AA146" s="130" t="e">
        <f t="shared" si="10"/>
        <v>#VALUE!</v>
      </c>
    </row>
    <row r="147" spans="1:27" x14ac:dyDescent="0.3">
      <c r="A147">
        <v>170500</v>
      </c>
      <c r="B147">
        <v>17031170500</v>
      </c>
      <c r="C147">
        <v>17031</v>
      </c>
      <c r="D147">
        <v>2010</v>
      </c>
      <c r="E147">
        <v>17</v>
      </c>
      <c r="F147">
        <v>16497545.6732627</v>
      </c>
      <c r="G147" s="43">
        <v>0.59176802374823168</v>
      </c>
      <c r="H147" s="58" t="str">
        <f>_xlfn.IFNA(
INDEX(CA!B$2:B$78,MATCH($E147,CA!$A$2:$A$78,0)),
"")</f>
        <v>DUNNING</v>
      </c>
      <c r="I147" s="60" t="str">
        <f>_xlfn.IFNA(
INDEX(CA!C$2:C$78,MATCH($E147,CA!$A$2:$A$78,0)),
"")</f>
        <v>2-C</v>
      </c>
      <c r="J147" s="60">
        <f>_xlfn.IFNA(
INDEX(CA!D$2:D$78,MATCH($E147,CA!$A$2:$A$78,0)),
"")</f>
        <v>2</v>
      </c>
      <c r="K147" s="58" t="str">
        <f>_xlfn.IFNA(
INDEX(CA!E$2:E$78,MATCH($E147,CA!$A$2:$A$78,0)),
"")</f>
        <v>NORTHWEST</v>
      </c>
      <c r="L147" s="15" t="e">
        <v>#VALUE!</v>
      </c>
      <c r="M147" s="15" t="e">
        <v>#VALUE!</v>
      </c>
      <c r="N147" s="15" t="e">
        <v>#VALUE!</v>
      </c>
      <c r="O147" s="15" t="e">
        <v>#VALUE!</v>
      </c>
      <c r="P147" s="15" t="e">
        <v>#VALUE!</v>
      </c>
      <c r="Q147" s="15" t="e">
        <v>#VALUE!</v>
      </c>
      <c r="R147" s="15" t="e">
        <v>#VALUE!</v>
      </c>
      <c r="S147" s="15" t="e">
        <v>#VALUE!</v>
      </c>
      <c r="T147" s="129">
        <v>0</v>
      </c>
      <c r="U147" s="130" t="e">
        <f t="shared" si="11"/>
        <v>#VALUE!</v>
      </c>
      <c r="V147" s="129">
        <v>0</v>
      </c>
      <c r="W147" s="130" t="e">
        <f t="shared" si="8"/>
        <v>#VALUE!</v>
      </c>
      <c r="X147" s="129">
        <v>0</v>
      </c>
      <c r="Y147" s="130" t="e">
        <f t="shared" si="9"/>
        <v>#VALUE!</v>
      </c>
      <c r="Z147" s="129">
        <v>0</v>
      </c>
      <c r="AA147" s="130" t="e">
        <f t="shared" si="10"/>
        <v>#VALUE!</v>
      </c>
    </row>
    <row r="148" spans="1:27" x14ac:dyDescent="0.3">
      <c r="A148">
        <v>170800</v>
      </c>
      <c r="B148">
        <v>17031170800</v>
      </c>
      <c r="C148">
        <v>17031</v>
      </c>
      <c r="D148">
        <v>2010</v>
      </c>
      <c r="E148">
        <v>17</v>
      </c>
      <c r="F148">
        <v>7861719.8341017999</v>
      </c>
      <c r="G148" s="43">
        <v>0.28200039579394082</v>
      </c>
      <c r="H148" s="58" t="str">
        <f>_xlfn.IFNA(
INDEX(CA!B$2:B$78,MATCH($E148,CA!$A$2:$A$78,0)),
"")</f>
        <v>DUNNING</v>
      </c>
      <c r="I148" s="60" t="str">
        <f>_xlfn.IFNA(
INDEX(CA!C$2:C$78,MATCH($E148,CA!$A$2:$A$78,0)),
"")</f>
        <v>2-C</v>
      </c>
      <c r="J148" s="60">
        <f>_xlfn.IFNA(
INDEX(CA!D$2:D$78,MATCH($E148,CA!$A$2:$A$78,0)),
"")</f>
        <v>2</v>
      </c>
      <c r="K148" s="58" t="str">
        <f>_xlfn.IFNA(
INDEX(CA!E$2:E$78,MATCH($E148,CA!$A$2:$A$78,0)),
"")</f>
        <v>NORTHWEST</v>
      </c>
      <c r="L148" s="15" t="e">
        <v>#VALUE!</v>
      </c>
      <c r="M148" s="15" t="e">
        <v>#VALUE!</v>
      </c>
      <c r="N148" s="15" t="e">
        <v>#VALUE!</v>
      </c>
      <c r="O148" s="15" t="e">
        <v>#VALUE!</v>
      </c>
      <c r="P148" s="15" t="e">
        <v>#VALUE!</v>
      </c>
      <c r="Q148" s="15" t="e">
        <v>#VALUE!</v>
      </c>
      <c r="R148" s="15" t="e">
        <v>#VALUE!</v>
      </c>
      <c r="S148" s="15" t="e">
        <v>#VALUE!</v>
      </c>
      <c r="T148" s="129">
        <v>0</v>
      </c>
      <c r="U148" s="130" t="e">
        <f t="shared" si="11"/>
        <v>#VALUE!</v>
      </c>
      <c r="V148" s="129">
        <v>0</v>
      </c>
      <c r="W148" s="130" t="e">
        <f t="shared" si="8"/>
        <v>#VALUE!</v>
      </c>
      <c r="X148" s="129">
        <v>0</v>
      </c>
      <c r="Y148" s="130" t="e">
        <f t="shared" si="9"/>
        <v>#VALUE!</v>
      </c>
      <c r="Z148" s="129">
        <v>0</v>
      </c>
      <c r="AA148" s="130" t="e">
        <f t="shared" si="10"/>
        <v>#VALUE!</v>
      </c>
    </row>
    <row r="149" spans="1:27" x14ac:dyDescent="0.3">
      <c r="A149">
        <v>171100</v>
      </c>
      <c r="B149">
        <v>17031171100</v>
      </c>
      <c r="C149">
        <v>17031</v>
      </c>
      <c r="D149">
        <v>2010</v>
      </c>
      <c r="E149">
        <v>17</v>
      </c>
      <c r="F149">
        <v>7170076.4718023399</v>
      </c>
      <c r="G149" s="43">
        <v>0.25719110393000816</v>
      </c>
      <c r="H149" s="58" t="str">
        <f>_xlfn.IFNA(
INDEX(CA!B$2:B$78,MATCH($E149,CA!$A$2:$A$78,0)),
"")</f>
        <v>DUNNING</v>
      </c>
      <c r="I149" s="60" t="str">
        <f>_xlfn.IFNA(
INDEX(CA!C$2:C$78,MATCH($E149,CA!$A$2:$A$78,0)),
"")</f>
        <v>2-C</v>
      </c>
      <c r="J149" s="60">
        <f>_xlfn.IFNA(
INDEX(CA!D$2:D$78,MATCH($E149,CA!$A$2:$A$78,0)),
"")</f>
        <v>2</v>
      </c>
      <c r="K149" s="58" t="str">
        <f>_xlfn.IFNA(
INDEX(CA!E$2:E$78,MATCH($E149,CA!$A$2:$A$78,0)),
"")</f>
        <v>NORTHWEST</v>
      </c>
      <c r="L149" s="15" t="e">
        <v>#VALUE!</v>
      </c>
      <c r="M149" s="15" t="e">
        <v>#VALUE!</v>
      </c>
      <c r="N149" s="15" t="e">
        <v>#VALUE!</v>
      </c>
      <c r="O149" s="15" t="e">
        <v>#VALUE!</v>
      </c>
      <c r="P149" s="15" t="e">
        <v>#VALUE!</v>
      </c>
      <c r="Q149" s="15" t="e">
        <v>#VALUE!</v>
      </c>
      <c r="R149" s="15" t="e">
        <v>#VALUE!</v>
      </c>
      <c r="S149" s="15" t="e">
        <v>#VALUE!</v>
      </c>
      <c r="T149" s="129">
        <v>0.25356751071503925</v>
      </c>
      <c r="U149" s="130" t="e">
        <f t="shared" si="11"/>
        <v>#VALUE!</v>
      </c>
      <c r="V149" s="129">
        <v>0.19586173838991872</v>
      </c>
      <c r="W149" s="130" t="e">
        <f t="shared" si="8"/>
        <v>#VALUE!</v>
      </c>
      <c r="X149" s="129">
        <v>0.19586173838991872</v>
      </c>
      <c r="Y149" s="130" t="e">
        <f t="shared" si="9"/>
        <v>#VALUE!</v>
      </c>
      <c r="Z149" s="129">
        <v>0.19586173838991872</v>
      </c>
      <c r="AA149" s="130" t="e">
        <f t="shared" si="10"/>
        <v>#VALUE!</v>
      </c>
    </row>
    <row r="150" spans="1:27" x14ac:dyDescent="0.3">
      <c r="A150">
        <v>170300</v>
      </c>
      <c r="B150">
        <v>17031170300</v>
      </c>
      <c r="C150">
        <v>17031</v>
      </c>
      <c r="D150">
        <v>2010</v>
      </c>
      <c r="E150">
        <v>17</v>
      </c>
      <c r="F150">
        <v>15057898.628687801</v>
      </c>
      <c r="G150" s="43">
        <v>0.54012779172003422</v>
      </c>
      <c r="H150" s="58" t="str">
        <f>_xlfn.IFNA(
INDEX(CA!B$2:B$78,MATCH($E150,CA!$A$2:$A$78,0)),
"")</f>
        <v>DUNNING</v>
      </c>
      <c r="I150" s="60" t="str">
        <f>_xlfn.IFNA(
INDEX(CA!C$2:C$78,MATCH($E150,CA!$A$2:$A$78,0)),
"")</f>
        <v>2-C</v>
      </c>
      <c r="J150" s="60">
        <f>_xlfn.IFNA(
INDEX(CA!D$2:D$78,MATCH($E150,CA!$A$2:$A$78,0)),
"")</f>
        <v>2</v>
      </c>
      <c r="K150" s="58" t="str">
        <f>_xlfn.IFNA(
INDEX(CA!E$2:E$78,MATCH($E150,CA!$A$2:$A$78,0)),
"")</f>
        <v>NORTHWEST</v>
      </c>
      <c r="L150" s="15" t="e">
        <v>#VALUE!</v>
      </c>
      <c r="M150" s="15" t="e">
        <v>#VALUE!</v>
      </c>
      <c r="N150" s="15" t="e">
        <v>#VALUE!</v>
      </c>
      <c r="O150" s="15" t="e">
        <v>#VALUE!</v>
      </c>
      <c r="P150" s="15" t="e">
        <v>#VALUE!</v>
      </c>
      <c r="Q150" s="15" t="e">
        <v>#VALUE!</v>
      </c>
      <c r="R150" s="15" t="e">
        <v>#VALUE!</v>
      </c>
      <c r="S150" s="15" t="e">
        <v>#VALUE!</v>
      </c>
      <c r="T150" s="129">
        <v>0.45133204278409811</v>
      </c>
      <c r="U150" s="130" t="e">
        <f t="shared" si="11"/>
        <v>#VALUE!</v>
      </c>
      <c r="V150" s="129">
        <v>0.45132824708684499</v>
      </c>
      <c r="W150" s="130" t="e">
        <f t="shared" si="8"/>
        <v>#VALUE!</v>
      </c>
      <c r="X150" s="129">
        <v>0.45132824708684499</v>
      </c>
      <c r="Y150" s="130" t="e">
        <f t="shared" si="9"/>
        <v>#VALUE!</v>
      </c>
      <c r="Z150" s="129">
        <v>0.45132824708684499</v>
      </c>
      <c r="AA150" s="130" t="e">
        <f t="shared" si="10"/>
        <v>#VALUE!</v>
      </c>
    </row>
    <row r="151" spans="1:27" x14ac:dyDescent="0.3">
      <c r="A151">
        <v>170900</v>
      </c>
      <c r="B151">
        <v>17031170900</v>
      </c>
      <c r="C151">
        <v>17031</v>
      </c>
      <c r="D151">
        <v>2010</v>
      </c>
      <c r="E151">
        <v>17</v>
      </c>
      <c r="F151">
        <v>3450673.2510998999</v>
      </c>
      <c r="G151" s="43">
        <v>0.12377587132331482</v>
      </c>
      <c r="H151" s="58" t="str">
        <f>_xlfn.IFNA(
INDEX(CA!B$2:B$78,MATCH($E151,CA!$A$2:$A$78,0)),
"")</f>
        <v>DUNNING</v>
      </c>
      <c r="I151" s="60" t="str">
        <f>_xlfn.IFNA(
INDEX(CA!C$2:C$78,MATCH($E151,CA!$A$2:$A$78,0)),
"")</f>
        <v>2-C</v>
      </c>
      <c r="J151" s="60">
        <f>_xlfn.IFNA(
INDEX(CA!D$2:D$78,MATCH($E151,CA!$A$2:$A$78,0)),
"")</f>
        <v>2</v>
      </c>
      <c r="K151" s="58" t="str">
        <f>_xlfn.IFNA(
INDEX(CA!E$2:E$78,MATCH($E151,CA!$A$2:$A$78,0)),
"")</f>
        <v>NORTHWEST</v>
      </c>
      <c r="L151" s="15" t="e">
        <v>#VALUE!</v>
      </c>
      <c r="M151" s="15" t="e">
        <v>#VALUE!</v>
      </c>
      <c r="N151" s="15" t="e">
        <v>#VALUE!</v>
      </c>
      <c r="O151" s="15" t="e">
        <v>#VALUE!</v>
      </c>
      <c r="P151" s="15" t="e">
        <v>#VALUE!</v>
      </c>
      <c r="Q151" s="15" t="e">
        <v>#VALUE!</v>
      </c>
      <c r="R151" s="15" t="e">
        <v>#VALUE!</v>
      </c>
      <c r="S151" s="15" t="e">
        <v>#VALUE!</v>
      </c>
      <c r="T151" s="129">
        <v>0</v>
      </c>
      <c r="U151" s="130" t="e">
        <f t="shared" si="11"/>
        <v>#VALUE!</v>
      </c>
      <c r="V151" s="129">
        <v>0</v>
      </c>
      <c r="W151" s="130" t="e">
        <f t="shared" si="8"/>
        <v>#VALUE!</v>
      </c>
      <c r="X151" s="129">
        <v>0</v>
      </c>
      <c r="Y151" s="130" t="e">
        <f t="shared" si="9"/>
        <v>#VALUE!</v>
      </c>
      <c r="Z151" s="129">
        <v>0</v>
      </c>
      <c r="AA151" s="130" t="e">
        <f t="shared" si="10"/>
        <v>#VALUE!</v>
      </c>
    </row>
    <row r="152" spans="1:27" x14ac:dyDescent="0.3">
      <c r="A152">
        <v>171000</v>
      </c>
      <c r="B152">
        <v>17031171000</v>
      </c>
      <c r="C152">
        <v>17031</v>
      </c>
      <c r="D152">
        <v>2010</v>
      </c>
      <c r="E152">
        <v>17</v>
      </c>
      <c r="F152">
        <v>14994089.654341299</v>
      </c>
      <c r="G152" s="43">
        <v>0.53783895970863815</v>
      </c>
      <c r="H152" s="58" t="str">
        <f>_xlfn.IFNA(
INDEX(CA!B$2:B$78,MATCH($E152,CA!$A$2:$A$78,0)),
"")</f>
        <v>DUNNING</v>
      </c>
      <c r="I152" s="60" t="str">
        <f>_xlfn.IFNA(
INDEX(CA!C$2:C$78,MATCH($E152,CA!$A$2:$A$78,0)),
"")</f>
        <v>2-C</v>
      </c>
      <c r="J152" s="60">
        <f>_xlfn.IFNA(
INDEX(CA!D$2:D$78,MATCH($E152,CA!$A$2:$A$78,0)),
"")</f>
        <v>2</v>
      </c>
      <c r="K152" s="58" t="str">
        <f>_xlfn.IFNA(
INDEX(CA!E$2:E$78,MATCH($E152,CA!$A$2:$A$78,0)),
"")</f>
        <v>NORTHWEST</v>
      </c>
      <c r="L152" s="15" t="e">
        <v>#VALUE!</v>
      </c>
      <c r="M152" s="15" t="e">
        <v>#VALUE!</v>
      </c>
      <c r="N152" s="15" t="e">
        <v>#VALUE!</v>
      </c>
      <c r="O152" s="15" t="e">
        <v>#VALUE!</v>
      </c>
      <c r="P152" s="15" t="e">
        <v>#VALUE!</v>
      </c>
      <c r="Q152" s="15" t="e">
        <v>#VALUE!</v>
      </c>
      <c r="R152" s="15" t="e">
        <v>#VALUE!</v>
      </c>
      <c r="S152" s="15" t="e">
        <v>#VALUE!</v>
      </c>
      <c r="T152" s="129">
        <v>0.25324915635572304</v>
      </c>
      <c r="U152" s="130" t="e">
        <f t="shared" si="11"/>
        <v>#VALUE!</v>
      </c>
      <c r="V152" s="129">
        <v>0.19556887976421602</v>
      </c>
      <c r="W152" s="130" t="e">
        <f t="shared" si="8"/>
        <v>#VALUE!</v>
      </c>
      <c r="X152" s="129">
        <v>0.19556887976421602</v>
      </c>
      <c r="Y152" s="130" t="e">
        <f t="shared" si="9"/>
        <v>#VALUE!</v>
      </c>
      <c r="Z152" s="129">
        <v>0.19556887976421602</v>
      </c>
      <c r="AA152" s="130" t="e">
        <f t="shared" si="10"/>
        <v>#VALUE!</v>
      </c>
    </row>
    <row r="153" spans="1:27" x14ac:dyDescent="0.3">
      <c r="A153">
        <v>170100</v>
      </c>
      <c r="B153">
        <v>17031170100</v>
      </c>
      <c r="C153">
        <v>17031</v>
      </c>
      <c r="D153">
        <v>2010</v>
      </c>
      <c r="E153">
        <v>17</v>
      </c>
      <c r="F153">
        <v>10918458.2059105</v>
      </c>
      <c r="G153" s="43">
        <v>0.39164579767527907</v>
      </c>
      <c r="H153" s="58" t="str">
        <f>_xlfn.IFNA(
INDEX(CA!B$2:B$78,MATCH($E153,CA!$A$2:$A$78,0)),
"")</f>
        <v>DUNNING</v>
      </c>
      <c r="I153" s="60" t="str">
        <f>_xlfn.IFNA(
INDEX(CA!C$2:C$78,MATCH($E153,CA!$A$2:$A$78,0)),
"")</f>
        <v>2-C</v>
      </c>
      <c r="J153" s="60">
        <f>_xlfn.IFNA(
INDEX(CA!D$2:D$78,MATCH($E153,CA!$A$2:$A$78,0)),
"")</f>
        <v>2</v>
      </c>
      <c r="K153" s="58" t="str">
        <f>_xlfn.IFNA(
INDEX(CA!E$2:E$78,MATCH($E153,CA!$A$2:$A$78,0)),
"")</f>
        <v>NORTHWEST</v>
      </c>
      <c r="L153" s="15" t="e">
        <v>#VALUE!</v>
      </c>
      <c r="M153" s="15" t="e">
        <v>#VALUE!</v>
      </c>
      <c r="N153" s="15" t="e">
        <v>#VALUE!</v>
      </c>
      <c r="O153" s="15" t="e">
        <v>#VALUE!</v>
      </c>
      <c r="P153" s="15" t="e">
        <v>#VALUE!</v>
      </c>
      <c r="Q153" s="15" t="e">
        <v>#VALUE!</v>
      </c>
      <c r="R153" s="15" t="e">
        <v>#VALUE!</v>
      </c>
      <c r="S153" s="15" t="e">
        <v>#VALUE!</v>
      </c>
      <c r="T153" s="129">
        <v>0.38678931395504762</v>
      </c>
      <c r="U153" s="130" t="e">
        <f t="shared" si="11"/>
        <v>#VALUE!</v>
      </c>
      <c r="V153" s="129">
        <v>0.37279338677622459</v>
      </c>
      <c r="W153" s="130" t="e">
        <f t="shared" si="8"/>
        <v>#VALUE!</v>
      </c>
      <c r="X153" s="129">
        <v>0.37279338677622459</v>
      </c>
      <c r="Y153" s="130" t="e">
        <f t="shared" si="9"/>
        <v>#VALUE!</v>
      </c>
      <c r="Z153" s="129">
        <v>0.37279338677622459</v>
      </c>
      <c r="AA153" s="130" t="e">
        <f t="shared" si="10"/>
        <v>#VALUE!</v>
      </c>
    </row>
    <row r="154" spans="1:27" x14ac:dyDescent="0.3">
      <c r="A154">
        <v>170200</v>
      </c>
      <c r="B154">
        <v>17031170200</v>
      </c>
      <c r="C154">
        <v>17031</v>
      </c>
      <c r="D154">
        <v>2010</v>
      </c>
      <c r="E154">
        <v>17</v>
      </c>
      <c r="F154">
        <v>7029100.8870379804</v>
      </c>
      <c r="G154" s="43">
        <v>0.25213430064271913</v>
      </c>
      <c r="H154" s="58" t="str">
        <f>_xlfn.IFNA(
INDEX(CA!B$2:B$78,MATCH($E154,CA!$A$2:$A$78,0)),
"")</f>
        <v>DUNNING</v>
      </c>
      <c r="I154" s="60" t="str">
        <f>_xlfn.IFNA(
INDEX(CA!C$2:C$78,MATCH($E154,CA!$A$2:$A$78,0)),
"")</f>
        <v>2-C</v>
      </c>
      <c r="J154" s="60">
        <f>_xlfn.IFNA(
INDEX(CA!D$2:D$78,MATCH($E154,CA!$A$2:$A$78,0)),
"")</f>
        <v>2</v>
      </c>
      <c r="K154" s="58" t="str">
        <f>_xlfn.IFNA(
INDEX(CA!E$2:E$78,MATCH($E154,CA!$A$2:$A$78,0)),
"")</f>
        <v>NORTHWEST</v>
      </c>
      <c r="L154" s="15" t="e">
        <v>#VALUE!</v>
      </c>
      <c r="M154" s="15" t="e">
        <v>#VALUE!</v>
      </c>
      <c r="N154" s="15" t="e">
        <v>#VALUE!</v>
      </c>
      <c r="O154" s="15" t="e">
        <v>#VALUE!</v>
      </c>
      <c r="P154" s="15" t="e">
        <v>#VALUE!</v>
      </c>
      <c r="Q154" s="15" t="e">
        <v>#VALUE!</v>
      </c>
      <c r="R154" s="15" t="e">
        <v>#VALUE!</v>
      </c>
      <c r="S154" s="15" t="e">
        <v>#VALUE!</v>
      </c>
      <c r="T154" s="129">
        <v>0.25067088010500099</v>
      </c>
      <c r="U154" s="130" t="e">
        <f t="shared" si="11"/>
        <v>#VALUE!</v>
      </c>
      <c r="V154" s="129">
        <v>0.2456253539823921</v>
      </c>
      <c r="W154" s="130" t="e">
        <f t="shared" si="8"/>
        <v>#VALUE!</v>
      </c>
      <c r="X154" s="129">
        <v>0.2456253539823921</v>
      </c>
      <c r="Y154" s="130" t="e">
        <f t="shared" si="9"/>
        <v>#VALUE!</v>
      </c>
      <c r="Z154" s="129">
        <v>0.2456253539823921</v>
      </c>
      <c r="AA154" s="130" t="e">
        <f t="shared" si="10"/>
        <v>#VALUE!</v>
      </c>
    </row>
    <row r="155" spans="1:27" x14ac:dyDescent="0.3">
      <c r="A155">
        <v>170600</v>
      </c>
      <c r="B155">
        <v>17031170600</v>
      </c>
      <c r="C155">
        <v>17031</v>
      </c>
      <c r="D155">
        <v>2010</v>
      </c>
      <c r="E155">
        <v>17</v>
      </c>
      <c r="F155">
        <v>6089395.6793593196</v>
      </c>
      <c r="G155" s="43">
        <v>0.21842701443982868</v>
      </c>
      <c r="H155" s="58" t="str">
        <f>_xlfn.IFNA(
INDEX(CA!B$2:B$78,MATCH($E155,CA!$A$2:$A$78,0)),
"")</f>
        <v>DUNNING</v>
      </c>
      <c r="I155" s="60" t="str">
        <f>_xlfn.IFNA(
INDEX(CA!C$2:C$78,MATCH($E155,CA!$A$2:$A$78,0)),
"")</f>
        <v>2-C</v>
      </c>
      <c r="J155" s="60">
        <f>_xlfn.IFNA(
INDEX(CA!D$2:D$78,MATCH($E155,CA!$A$2:$A$78,0)),
"")</f>
        <v>2</v>
      </c>
      <c r="K155" s="58" t="str">
        <f>_xlfn.IFNA(
INDEX(CA!E$2:E$78,MATCH($E155,CA!$A$2:$A$78,0)),
"")</f>
        <v>NORTHWEST</v>
      </c>
      <c r="L155" s="15" t="e">
        <v>#VALUE!</v>
      </c>
      <c r="M155" s="15" t="e">
        <v>#VALUE!</v>
      </c>
      <c r="N155" s="15" t="e">
        <v>#VALUE!</v>
      </c>
      <c r="O155" s="15" t="e">
        <v>#VALUE!</v>
      </c>
      <c r="P155" s="15" t="e">
        <v>#VALUE!</v>
      </c>
      <c r="Q155" s="15" t="e">
        <v>#VALUE!</v>
      </c>
      <c r="R155" s="15" t="e">
        <v>#VALUE!</v>
      </c>
      <c r="S155" s="15" t="e">
        <v>#VALUE!</v>
      </c>
      <c r="T155" s="129">
        <v>0</v>
      </c>
      <c r="U155" s="130" t="e">
        <f t="shared" si="11"/>
        <v>#VALUE!</v>
      </c>
      <c r="V155" s="129">
        <v>0</v>
      </c>
      <c r="W155" s="130" t="e">
        <f t="shared" si="8"/>
        <v>#VALUE!</v>
      </c>
      <c r="X155" s="129">
        <v>0</v>
      </c>
      <c r="Y155" s="130" t="e">
        <f t="shared" si="9"/>
        <v>#VALUE!</v>
      </c>
      <c r="Z155" s="129">
        <v>0</v>
      </c>
      <c r="AA155" s="130" t="e">
        <f t="shared" si="10"/>
        <v>#VALUE!</v>
      </c>
    </row>
    <row r="156" spans="1:27" x14ac:dyDescent="0.3">
      <c r="A156">
        <v>170400</v>
      </c>
      <c r="B156">
        <v>17031170400</v>
      </c>
      <c r="C156">
        <v>17031</v>
      </c>
      <c r="D156">
        <v>2010</v>
      </c>
      <c r="E156">
        <v>17</v>
      </c>
      <c r="F156">
        <v>8277949.5021973997</v>
      </c>
      <c r="G156" s="43">
        <v>0.29693058074342144</v>
      </c>
      <c r="H156" s="58" t="str">
        <f>_xlfn.IFNA(
INDEX(CA!B$2:B$78,MATCH($E156,CA!$A$2:$A$78,0)),
"")</f>
        <v>DUNNING</v>
      </c>
      <c r="I156" s="60" t="str">
        <f>_xlfn.IFNA(
INDEX(CA!C$2:C$78,MATCH($E156,CA!$A$2:$A$78,0)),
"")</f>
        <v>2-C</v>
      </c>
      <c r="J156" s="60">
        <f>_xlfn.IFNA(
INDEX(CA!D$2:D$78,MATCH($E156,CA!$A$2:$A$78,0)),
"")</f>
        <v>2</v>
      </c>
      <c r="K156" s="58" t="str">
        <f>_xlfn.IFNA(
INDEX(CA!E$2:E$78,MATCH($E156,CA!$A$2:$A$78,0)),
"")</f>
        <v>NORTHWEST</v>
      </c>
      <c r="L156" s="15" t="e">
        <v>#VALUE!</v>
      </c>
      <c r="M156" s="15" t="e">
        <v>#VALUE!</v>
      </c>
      <c r="N156" s="15" t="e">
        <v>#VALUE!</v>
      </c>
      <c r="O156" s="15" t="e">
        <v>#VALUE!</v>
      </c>
      <c r="P156" s="15" t="e">
        <v>#VALUE!</v>
      </c>
      <c r="Q156" s="15" t="e">
        <v>#VALUE!</v>
      </c>
      <c r="R156" s="15" t="e">
        <v>#VALUE!</v>
      </c>
      <c r="S156" s="15" t="e">
        <v>#VALUE!</v>
      </c>
      <c r="T156" s="129">
        <v>0</v>
      </c>
      <c r="U156" s="130" t="e">
        <f t="shared" si="11"/>
        <v>#VALUE!</v>
      </c>
      <c r="V156" s="129">
        <v>0</v>
      </c>
      <c r="W156" s="130" t="e">
        <f t="shared" si="8"/>
        <v>#VALUE!</v>
      </c>
      <c r="X156" s="129">
        <v>0</v>
      </c>
      <c r="Y156" s="130" t="e">
        <f t="shared" si="9"/>
        <v>#VALUE!</v>
      </c>
      <c r="Z156" s="129">
        <v>0</v>
      </c>
      <c r="AA156" s="130" t="e">
        <f t="shared" si="10"/>
        <v>#VALUE!</v>
      </c>
    </row>
    <row r="157" spans="1:27" x14ac:dyDescent="0.3">
      <c r="A157">
        <v>170700</v>
      </c>
      <c r="B157">
        <v>17031170700</v>
      </c>
      <c r="C157">
        <v>17031</v>
      </c>
      <c r="D157">
        <v>2010</v>
      </c>
      <c r="E157">
        <v>17</v>
      </c>
      <c r="F157">
        <v>6248093.3906342797</v>
      </c>
      <c r="G157" s="43">
        <v>0.2241195115442163</v>
      </c>
      <c r="H157" s="58" t="str">
        <f>_xlfn.IFNA(
INDEX(CA!B$2:B$78,MATCH($E157,CA!$A$2:$A$78,0)),
"")</f>
        <v>DUNNING</v>
      </c>
      <c r="I157" s="60" t="str">
        <f>_xlfn.IFNA(
INDEX(CA!C$2:C$78,MATCH($E157,CA!$A$2:$A$78,0)),
"")</f>
        <v>2-C</v>
      </c>
      <c r="J157" s="60">
        <f>_xlfn.IFNA(
INDEX(CA!D$2:D$78,MATCH($E157,CA!$A$2:$A$78,0)),
"")</f>
        <v>2</v>
      </c>
      <c r="K157" s="58" t="str">
        <f>_xlfn.IFNA(
INDEX(CA!E$2:E$78,MATCH($E157,CA!$A$2:$A$78,0)),
"")</f>
        <v>NORTHWEST</v>
      </c>
      <c r="L157" s="15" t="e">
        <v>#VALUE!</v>
      </c>
      <c r="M157" s="15" t="e">
        <v>#VALUE!</v>
      </c>
      <c r="N157" s="15" t="e">
        <v>#VALUE!</v>
      </c>
      <c r="O157" s="15" t="e">
        <v>#VALUE!</v>
      </c>
      <c r="P157" s="15" t="e">
        <v>#VALUE!</v>
      </c>
      <c r="Q157" s="15" t="e">
        <v>#VALUE!</v>
      </c>
      <c r="R157" s="15" t="e">
        <v>#VALUE!</v>
      </c>
      <c r="S157" s="15" t="e">
        <v>#VALUE!</v>
      </c>
      <c r="T157" s="129">
        <v>0</v>
      </c>
      <c r="U157" s="130" t="e">
        <f t="shared" si="11"/>
        <v>#VALUE!</v>
      </c>
      <c r="V157" s="129">
        <v>0</v>
      </c>
      <c r="W157" s="130" t="e">
        <f t="shared" si="8"/>
        <v>#VALUE!</v>
      </c>
      <c r="X157" s="129">
        <v>0</v>
      </c>
      <c r="Y157" s="130" t="e">
        <f t="shared" si="9"/>
        <v>#VALUE!</v>
      </c>
      <c r="Z157" s="129">
        <v>0</v>
      </c>
      <c r="AA157" s="130" t="e">
        <f t="shared" si="10"/>
        <v>#VALUE!</v>
      </c>
    </row>
    <row r="158" spans="1:27" x14ac:dyDescent="0.3">
      <c r="A158">
        <v>180100</v>
      </c>
      <c r="B158">
        <v>17031180100</v>
      </c>
      <c r="C158">
        <v>17031</v>
      </c>
      <c r="D158">
        <v>2010</v>
      </c>
      <c r="E158">
        <v>18</v>
      </c>
      <c r="F158">
        <v>11494660.3218973</v>
      </c>
      <c r="G158" s="43">
        <v>0.41231420461351082</v>
      </c>
      <c r="H158" s="58" t="str">
        <f>_xlfn.IFNA(
INDEX(CA!B$2:B$78,MATCH($E158,CA!$A$2:$A$78,0)),
"")</f>
        <v>MONTCLARE</v>
      </c>
      <c r="I158" s="60" t="str">
        <f>_xlfn.IFNA(
INDEX(CA!C$2:C$78,MATCH($E158,CA!$A$2:$A$78,0)),
"")</f>
        <v>2-B</v>
      </c>
      <c r="J158" s="60">
        <f>_xlfn.IFNA(
INDEX(CA!D$2:D$78,MATCH($E158,CA!$A$2:$A$78,0)),
"")</f>
        <v>2</v>
      </c>
      <c r="K158" s="58" t="str">
        <f>_xlfn.IFNA(
INDEX(CA!E$2:E$78,MATCH($E158,CA!$A$2:$A$78,0)),
"")</f>
        <v>NORTHWEST</v>
      </c>
      <c r="L158" s="15" t="e">
        <v>#VALUE!</v>
      </c>
      <c r="M158" s="15" t="e">
        <v>#VALUE!</v>
      </c>
      <c r="N158" s="15" t="e">
        <v>#VALUE!</v>
      </c>
      <c r="O158" s="15" t="e">
        <v>#VALUE!</v>
      </c>
      <c r="P158" s="15" t="e">
        <v>#VALUE!</v>
      </c>
      <c r="Q158" s="15" t="e">
        <v>#VALUE!</v>
      </c>
      <c r="R158" s="15" t="e">
        <v>#VALUE!</v>
      </c>
      <c r="S158" s="15" t="e">
        <v>#VALUE!</v>
      </c>
      <c r="T158" s="129">
        <v>0.12574606933197241</v>
      </c>
      <c r="U158" s="130" t="e">
        <f t="shared" si="11"/>
        <v>#VALUE!</v>
      </c>
      <c r="V158" s="129">
        <v>7.5542043249847909E-2</v>
      </c>
      <c r="W158" s="130" t="e">
        <f t="shared" si="8"/>
        <v>#VALUE!</v>
      </c>
      <c r="X158" s="129">
        <v>7.5542043249847909E-2</v>
      </c>
      <c r="Y158" s="130" t="e">
        <f t="shared" si="9"/>
        <v>#VALUE!</v>
      </c>
      <c r="Z158" s="129">
        <v>7.5542043249847909E-2</v>
      </c>
      <c r="AA158" s="130" t="e">
        <f t="shared" si="10"/>
        <v>#VALUE!</v>
      </c>
    </row>
    <row r="159" spans="1:27" x14ac:dyDescent="0.3">
      <c r="A159">
        <v>831600</v>
      </c>
      <c r="B159">
        <v>17031831600</v>
      </c>
      <c r="C159">
        <v>17031</v>
      </c>
      <c r="D159">
        <v>2010</v>
      </c>
      <c r="E159">
        <v>18</v>
      </c>
      <c r="F159">
        <v>16081733.300935199</v>
      </c>
      <c r="G159" s="43">
        <v>0.57685280722477617</v>
      </c>
      <c r="H159" s="58" t="str">
        <f>_xlfn.IFNA(
INDEX(CA!B$2:B$78,MATCH($E159,CA!$A$2:$A$78,0)),
"")</f>
        <v>MONTCLARE</v>
      </c>
      <c r="I159" s="60" t="str">
        <f>_xlfn.IFNA(
INDEX(CA!C$2:C$78,MATCH($E159,CA!$A$2:$A$78,0)),
"")</f>
        <v>2-B</v>
      </c>
      <c r="J159" s="60">
        <f>_xlfn.IFNA(
INDEX(CA!D$2:D$78,MATCH($E159,CA!$A$2:$A$78,0)),
"")</f>
        <v>2</v>
      </c>
      <c r="K159" s="58" t="str">
        <f>_xlfn.IFNA(
INDEX(CA!E$2:E$78,MATCH($E159,CA!$A$2:$A$78,0)),
"")</f>
        <v>NORTHWEST</v>
      </c>
      <c r="L159" s="15" t="e">
        <v>#VALUE!</v>
      </c>
      <c r="M159" s="15" t="e">
        <v>#VALUE!</v>
      </c>
      <c r="N159" s="15" t="e">
        <v>#VALUE!</v>
      </c>
      <c r="O159" s="15" t="e">
        <v>#VALUE!</v>
      </c>
      <c r="P159" s="15" t="e">
        <v>#VALUE!</v>
      </c>
      <c r="Q159" s="15" t="e">
        <v>#VALUE!</v>
      </c>
      <c r="R159" s="15" t="e">
        <v>#VALUE!</v>
      </c>
      <c r="S159" s="15" t="e">
        <v>#VALUE!</v>
      </c>
      <c r="T159" s="129">
        <v>0.20994528260209086</v>
      </c>
      <c r="U159" s="130" t="e">
        <f t="shared" si="11"/>
        <v>#VALUE!</v>
      </c>
      <c r="V159" s="129">
        <v>0.19843839026319407</v>
      </c>
      <c r="W159" s="130" t="e">
        <f t="shared" si="8"/>
        <v>#VALUE!</v>
      </c>
      <c r="X159" s="129">
        <v>0.19843839026319407</v>
      </c>
      <c r="Y159" s="130" t="e">
        <f t="shared" si="9"/>
        <v>#VALUE!</v>
      </c>
      <c r="Z159" s="129">
        <v>0.19843839026319407</v>
      </c>
      <c r="AA159" s="130" t="e">
        <f t="shared" si="10"/>
        <v>#VALUE!</v>
      </c>
    </row>
    <row r="160" spans="1:27" x14ac:dyDescent="0.3">
      <c r="A160">
        <v>190800</v>
      </c>
      <c r="B160">
        <v>17031190800</v>
      </c>
      <c r="C160">
        <v>17031</v>
      </c>
      <c r="D160">
        <v>2010</v>
      </c>
      <c r="E160">
        <v>19</v>
      </c>
      <c r="F160">
        <v>7118165.56539582</v>
      </c>
      <c r="G160" s="43">
        <v>0.25532905638041709</v>
      </c>
      <c r="H160" s="58" t="str">
        <f>_xlfn.IFNA(
INDEX(CA!B$2:B$78,MATCH($E160,CA!$A$2:$A$78,0)),
"")</f>
        <v>BELMONT CRAGIN</v>
      </c>
      <c r="I160" s="60" t="str">
        <f>_xlfn.IFNA(
INDEX(CA!C$2:C$78,MATCH($E160,CA!$A$2:$A$78,0)),
"")</f>
        <v>2-B</v>
      </c>
      <c r="J160" s="60">
        <f>_xlfn.IFNA(
INDEX(CA!D$2:D$78,MATCH($E160,CA!$A$2:$A$78,0)),
"")</f>
        <v>2</v>
      </c>
      <c r="K160" s="58" t="str">
        <f>_xlfn.IFNA(
INDEX(CA!E$2:E$78,MATCH($E160,CA!$A$2:$A$78,0)),
"")</f>
        <v>NORTHWEST</v>
      </c>
      <c r="L160" s="15" t="e">
        <v>#VALUE!</v>
      </c>
      <c r="M160" s="15" t="e">
        <v>#VALUE!</v>
      </c>
      <c r="N160" s="15" t="e">
        <v>#VALUE!</v>
      </c>
      <c r="O160" s="15" t="e">
        <v>#VALUE!</v>
      </c>
      <c r="P160" s="15" t="e">
        <v>#VALUE!</v>
      </c>
      <c r="Q160" s="15" t="e">
        <v>#VALUE!</v>
      </c>
      <c r="R160" s="15" t="e">
        <v>#VALUE!</v>
      </c>
      <c r="S160" s="15" t="e">
        <v>#VALUE!</v>
      </c>
      <c r="T160" s="129">
        <v>0.2535397648891432</v>
      </c>
      <c r="U160" s="130" t="e">
        <f t="shared" si="11"/>
        <v>#VALUE!</v>
      </c>
      <c r="V160" s="129">
        <v>0.25353977041942649</v>
      </c>
      <c r="W160" s="130" t="e">
        <f t="shared" si="8"/>
        <v>#VALUE!</v>
      </c>
      <c r="X160" s="129">
        <v>0.25353977041942649</v>
      </c>
      <c r="Y160" s="130" t="e">
        <f t="shared" si="9"/>
        <v>#VALUE!</v>
      </c>
      <c r="Z160" s="129">
        <v>0.25353977041942649</v>
      </c>
      <c r="AA160" s="130" t="e">
        <f t="shared" si="10"/>
        <v>#VALUE!</v>
      </c>
    </row>
    <row r="161" spans="1:27" x14ac:dyDescent="0.3">
      <c r="A161">
        <v>190900</v>
      </c>
      <c r="B161">
        <v>17031190900</v>
      </c>
      <c r="C161">
        <v>17031</v>
      </c>
      <c r="D161">
        <v>2010</v>
      </c>
      <c r="E161">
        <v>19</v>
      </c>
      <c r="F161">
        <v>3383150.04988492</v>
      </c>
      <c r="G161" s="43">
        <v>0.12135380975539917</v>
      </c>
      <c r="H161" s="58" t="str">
        <f>_xlfn.IFNA(
INDEX(CA!B$2:B$78,MATCH($E161,CA!$A$2:$A$78,0)),
"")</f>
        <v>BELMONT CRAGIN</v>
      </c>
      <c r="I161" s="60" t="str">
        <f>_xlfn.IFNA(
INDEX(CA!C$2:C$78,MATCH($E161,CA!$A$2:$A$78,0)),
"")</f>
        <v>2-B</v>
      </c>
      <c r="J161" s="60">
        <f>_xlfn.IFNA(
INDEX(CA!D$2:D$78,MATCH($E161,CA!$A$2:$A$78,0)),
"")</f>
        <v>2</v>
      </c>
      <c r="K161" s="58" t="str">
        <f>_xlfn.IFNA(
INDEX(CA!E$2:E$78,MATCH($E161,CA!$A$2:$A$78,0)),
"")</f>
        <v>NORTHWEST</v>
      </c>
      <c r="L161" s="15" t="e">
        <v>#VALUE!</v>
      </c>
      <c r="M161" s="15" t="e">
        <v>#VALUE!</v>
      </c>
      <c r="N161" s="15" t="e">
        <v>#VALUE!</v>
      </c>
      <c r="O161" s="15" t="e">
        <v>#VALUE!</v>
      </c>
      <c r="P161" s="15" t="e">
        <v>#VALUE!</v>
      </c>
      <c r="Q161" s="15" t="e">
        <v>#VALUE!</v>
      </c>
      <c r="R161" s="15" t="e">
        <v>#VALUE!</v>
      </c>
      <c r="S161" s="15" t="e">
        <v>#VALUE!</v>
      </c>
      <c r="T161" s="129">
        <v>0.11527873740492711</v>
      </c>
      <c r="U161" s="130" t="e">
        <f t="shared" si="11"/>
        <v>#VALUE!</v>
      </c>
      <c r="V161" s="129">
        <v>0.11527873740492711</v>
      </c>
      <c r="W161" s="130" t="e">
        <f t="shared" si="8"/>
        <v>#VALUE!</v>
      </c>
      <c r="X161" s="129">
        <v>0.11527873740492711</v>
      </c>
      <c r="Y161" s="130" t="e">
        <f t="shared" si="9"/>
        <v>#VALUE!</v>
      </c>
      <c r="Z161" s="129">
        <v>0.11527873740492711</v>
      </c>
      <c r="AA161" s="130" t="e">
        <f t="shared" si="10"/>
        <v>#VALUE!</v>
      </c>
    </row>
    <row r="162" spans="1:27" x14ac:dyDescent="0.3">
      <c r="A162">
        <v>831500</v>
      </c>
      <c r="B162">
        <v>17031831500</v>
      </c>
      <c r="C162">
        <v>17031</v>
      </c>
      <c r="D162">
        <v>2010</v>
      </c>
      <c r="E162">
        <v>19</v>
      </c>
      <c r="F162">
        <v>10384180.4512391</v>
      </c>
      <c r="G162" s="43">
        <v>0.37248122027229325</v>
      </c>
      <c r="H162" s="58" t="str">
        <f>_xlfn.IFNA(
INDEX(CA!B$2:B$78,MATCH($E162,CA!$A$2:$A$78,0)),
"")</f>
        <v>BELMONT CRAGIN</v>
      </c>
      <c r="I162" s="60" t="str">
        <f>_xlfn.IFNA(
INDEX(CA!C$2:C$78,MATCH($E162,CA!$A$2:$A$78,0)),
"")</f>
        <v>2-B</v>
      </c>
      <c r="J162" s="60">
        <f>_xlfn.IFNA(
INDEX(CA!D$2:D$78,MATCH($E162,CA!$A$2:$A$78,0)),
"")</f>
        <v>2</v>
      </c>
      <c r="K162" s="58" t="str">
        <f>_xlfn.IFNA(
INDEX(CA!E$2:E$78,MATCH($E162,CA!$A$2:$A$78,0)),
"")</f>
        <v>NORTHWEST</v>
      </c>
      <c r="L162" s="15" t="e">
        <v>#VALUE!</v>
      </c>
      <c r="M162" s="15" t="e">
        <v>#VALUE!</v>
      </c>
      <c r="N162" s="15" t="e">
        <v>#VALUE!</v>
      </c>
      <c r="O162" s="15" t="e">
        <v>#VALUE!</v>
      </c>
      <c r="P162" s="15" t="e">
        <v>#VALUE!</v>
      </c>
      <c r="Q162" s="15" t="e">
        <v>#VALUE!</v>
      </c>
      <c r="R162" s="15" t="e">
        <v>#VALUE!</v>
      </c>
      <c r="S162" s="15" t="e">
        <v>#VALUE!</v>
      </c>
      <c r="T162" s="129">
        <v>0.37248122355528296</v>
      </c>
      <c r="U162" s="130" t="e">
        <f t="shared" si="11"/>
        <v>#VALUE!</v>
      </c>
      <c r="V162" s="129">
        <v>0.36570209379219754</v>
      </c>
      <c r="W162" s="130" t="e">
        <f t="shared" si="8"/>
        <v>#VALUE!</v>
      </c>
      <c r="X162" s="129">
        <v>0.36570209379219754</v>
      </c>
      <c r="Y162" s="130" t="e">
        <f t="shared" si="9"/>
        <v>#VALUE!</v>
      </c>
      <c r="Z162" s="129">
        <v>0.36570209379219754</v>
      </c>
      <c r="AA162" s="130" t="e">
        <f t="shared" si="10"/>
        <v>#VALUE!</v>
      </c>
    </row>
    <row r="163" spans="1:27" x14ac:dyDescent="0.3">
      <c r="A163">
        <v>190300</v>
      </c>
      <c r="B163">
        <v>17031190300</v>
      </c>
      <c r="C163">
        <v>17031</v>
      </c>
      <c r="D163">
        <v>2010</v>
      </c>
      <c r="E163">
        <v>19</v>
      </c>
      <c r="F163">
        <v>7107346.5108315405</v>
      </c>
      <c r="G163" s="43">
        <v>0.25494097619775669</v>
      </c>
      <c r="H163" s="58" t="str">
        <f>_xlfn.IFNA(
INDEX(CA!B$2:B$78,MATCH($E163,CA!$A$2:$A$78,0)),
"")</f>
        <v>BELMONT CRAGIN</v>
      </c>
      <c r="I163" s="60" t="str">
        <f>_xlfn.IFNA(
INDEX(CA!C$2:C$78,MATCH($E163,CA!$A$2:$A$78,0)),
"")</f>
        <v>2-B</v>
      </c>
      <c r="J163" s="60">
        <f>_xlfn.IFNA(
INDEX(CA!D$2:D$78,MATCH($E163,CA!$A$2:$A$78,0)),
"")</f>
        <v>2</v>
      </c>
      <c r="K163" s="58" t="str">
        <f>_xlfn.IFNA(
INDEX(CA!E$2:E$78,MATCH($E163,CA!$A$2:$A$78,0)),
"")</f>
        <v>NORTHWEST</v>
      </c>
      <c r="L163" s="15" t="e">
        <v>#VALUE!</v>
      </c>
      <c r="M163" s="15" t="e">
        <v>#VALUE!</v>
      </c>
      <c r="N163" s="15" t="e">
        <v>#VALUE!</v>
      </c>
      <c r="O163" s="15" t="e">
        <v>#VALUE!</v>
      </c>
      <c r="P163" s="15" t="e">
        <v>#VALUE!</v>
      </c>
      <c r="Q163" s="15" t="e">
        <v>#VALUE!</v>
      </c>
      <c r="R163" s="15" t="e">
        <v>#VALUE!</v>
      </c>
      <c r="S163" s="15" t="e">
        <v>#VALUE!</v>
      </c>
      <c r="T163" s="129">
        <v>0.25296736685795851</v>
      </c>
      <c r="U163" s="130" t="e">
        <f t="shared" si="11"/>
        <v>#VALUE!</v>
      </c>
      <c r="V163" s="129">
        <v>0.1948458673494293</v>
      </c>
      <c r="W163" s="130" t="e">
        <f t="shared" si="8"/>
        <v>#VALUE!</v>
      </c>
      <c r="X163" s="129">
        <v>0.1948458673494293</v>
      </c>
      <c r="Y163" s="130" t="e">
        <f t="shared" si="9"/>
        <v>#VALUE!</v>
      </c>
      <c r="Z163" s="129">
        <v>0.1948458673494293</v>
      </c>
      <c r="AA163" s="130" t="e">
        <f t="shared" si="10"/>
        <v>#VALUE!</v>
      </c>
    </row>
    <row r="164" spans="1:27" x14ac:dyDescent="0.3">
      <c r="A164">
        <v>191000</v>
      </c>
      <c r="B164">
        <v>17031191000</v>
      </c>
      <c r="C164">
        <v>17031</v>
      </c>
      <c r="D164">
        <v>2010</v>
      </c>
      <c r="E164">
        <v>19</v>
      </c>
      <c r="F164">
        <v>4676487.0544717601</v>
      </c>
      <c r="G164" s="43">
        <v>0.16774589124453915</v>
      </c>
      <c r="H164" s="58" t="str">
        <f>_xlfn.IFNA(
INDEX(CA!B$2:B$78,MATCH($E164,CA!$A$2:$A$78,0)),
"")</f>
        <v>BELMONT CRAGIN</v>
      </c>
      <c r="I164" s="60" t="str">
        <f>_xlfn.IFNA(
INDEX(CA!C$2:C$78,MATCH($E164,CA!$A$2:$A$78,0)),
"")</f>
        <v>2-B</v>
      </c>
      <c r="J164" s="60">
        <f>_xlfn.IFNA(
INDEX(CA!D$2:D$78,MATCH($E164,CA!$A$2:$A$78,0)),
"")</f>
        <v>2</v>
      </c>
      <c r="K164" s="58" t="str">
        <f>_xlfn.IFNA(
INDEX(CA!E$2:E$78,MATCH($E164,CA!$A$2:$A$78,0)),
"")</f>
        <v>NORTHWEST</v>
      </c>
      <c r="L164" s="15" t="e">
        <v>#VALUE!</v>
      </c>
      <c r="M164" s="15" t="e">
        <v>#VALUE!</v>
      </c>
      <c r="N164" s="15" t="e">
        <v>#VALUE!</v>
      </c>
      <c r="O164" s="15" t="e">
        <v>#VALUE!</v>
      </c>
      <c r="P164" s="15" t="e">
        <v>#VALUE!</v>
      </c>
      <c r="Q164" s="15" t="e">
        <v>#VALUE!</v>
      </c>
      <c r="R164" s="15" t="e">
        <v>#VALUE!</v>
      </c>
      <c r="S164" s="15" t="e">
        <v>#VALUE!</v>
      </c>
      <c r="T164" s="129">
        <v>0</v>
      </c>
      <c r="U164" s="130" t="e">
        <f t="shared" si="11"/>
        <v>#VALUE!</v>
      </c>
      <c r="V164" s="129">
        <v>0</v>
      </c>
      <c r="W164" s="130" t="e">
        <f t="shared" si="8"/>
        <v>#VALUE!</v>
      </c>
      <c r="X164" s="129">
        <v>0</v>
      </c>
      <c r="Y164" s="130" t="e">
        <f t="shared" si="9"/>
        <v>#VALUE!</v>
      </c>
      <c r="Z164" s="129">
        <v>0</v>
      </c>
      <c r="AA164" s="130" t="e">
        <f t="shared" si="10"/>
        <v>#VALUE!</v>
      </c>
    </row>
    <row r="165" spans="1:27" x14ac:dyDescent="0.3">
      <c r="A165">
        <v>190601</v>
      </c>
      <c r="B165">
        <v>17031190601</v>
      </c>
      <c r="C165">
        <v>17031</v>
      </c>
      <c r="D165">
        <v>2010</v>
      </c>
      <c r="E165">
        <v>19</v>
      </c>
      <c r="F165">
        <v>7427141.6105198804</v>
      </c>
      <c r="G165" s="43">
        <v>0.26641204697973631</v>
      </c>
      <c r="H165" s="58" t="str">
        <f>_xlfn.IFNA(
INDEX(CA!B$2:B$78,MATCH($E165,CA!$A$2:$A$78,0)),
"")</f>
        <v>BELMONT CRAGIN</v>
      </c>
      <c r="I165" s="60" t="str">
        <f>_xlfn.IFNA(
INDEX(CA!C$2:C$78,MATCH($E165,CA!$A$2:$A$78,0)),
"")</f>
        <v>2-B</v>
      </c>
      <c r="J165" s="60">
        <f>_xlfn.IFNA(
INDEX(CA!D$2:D$78,MATCH($E165,CA!$A$2:$A$78,0)),
"")</f>
        <v>2</v>
      </c>
      <c r="K165" s="58" t="str">
        <f>_xlfn.IFNA(
INDEX(CA!E$2:E$78,MATCH($E165,CA!$A$2:$A$78,0)),
"")</f>
        <v>NORTHWEST</v>
      </c>
      <c r="L165" s="15" t="e">
        <v>#VALUE!</v>
      </c>
      <c r="M165" s="15" t="e">
        <v>#VALUE!</v>
      </c>
      <c r="N165" s="15" t="e">
        <v>#VALUE!</v>
      </c>
      <c r="O165" s="15" t="e">
        <v>#VALUE!</v>
      </c>
      <c r="P165" s="15" t="e">
        <v>#VALUE!</v>
      </c>
      <c r="Q165" s="15" t="e">
        <v>#VALUE!</v>
      </c>
      <c r="R165" s="15" t="e">
        <v>#VALUE!</v>
      </c>
      <c r="S165" s="15" t="e">
        <v>#VALUE!</v>
      </c>
      <c r="T165" s="129">
        <v>0.26640498262830542</v>
      </c>
      <c r="U165" s="130" t="e">
        <f t="shared" si="11"/>
        <v>#VALUE!</v>
      </c>
      <c r="V165" s="129">
        <v>0.25263301970761198</v>
      </c>
      <c r="W165" s="130" t="e">
        <f t="shared" si="8"/>
        <v>#VALUE!</v>
      </c>
      <c r="X165" s="129">
        <v>0.25263301970761198</v>
      </c>
      <c r="Y165" s="130" t="e">
        <f t="shared" si="9"/>
        <v>#VALUE!</v>
      </c>
      <c r="Z165" s="129">
        <v>0.25263301970761198</v>
      </c>
      <c r="AA165" s="130" t="e">
        <f t="shared" si="10"/>
        <v>#VALUE!</v>
      </c>
    </row>
    <row r="166" spans="1:27" x14ac:dyDescent="0.3">
      <c r="A166">
        <v>190402</v>
      </c>
      <c r="B166">
        <v>17031190402</v>
      </c>
      <c r="C166">
        <v>17031</v>
      </c>
      <c r="D166">
        <v>2010</v>
      </c>
      <c r="E166">
        <v>19</v>
      </c>
      <c r="F166">
        <v>7039853.4307249896</v>
      </c>
      <c r="G166" s="43">
        <v>0.25251999507593653</v>
      </c>
      <c r="H166" s="58" t="str">
        <f>_xlfn.IFNA(
INDEX(CA!B$2:B$78,MATCH($E166,CA!$A$2:$A$78,0)),
"")</f>
        <v>BELMONT CRAGIN</v>
      </c>
      <c r="I166" s="60" t="str">
        <f>_xlfn.IFNA(
INDEX(CA!C$2:C$78,MATCH($E166,CA!$A$2:$A$78,0)),
"")</f>
        <v>2-B</v>
      </c>
      <c r="J166" s="60">
        <f>_xlfn.IFNA(
INDEX(CA!D$2:D$78,MATCH($E166,CA!$A$2:$A$78,0)),
"")</f>
        <v>2</v>
      </c>
      <c r="K166" s="58" t="str">
        <f>_xlfn.IFNA(
INDEX(CA!E$2:E$78,MATCH($E166,CA!$A$2:$A$78,0)),
"")</f>
        <v>NORTHWEST</v>
      </c>
      <c r="L166" s="15" t="e">
        <v>#VALUE!</v>
      </c>
      <c r="M166" s="15" t="e">
        <v>#VALUE!</v>
      </c>
      <c r="N166" s="15" t="e">
        <v>#VALUE!</v>
      </c>
      <c r="O166" s="15" t="e">
        <v>#VALUE!</v>
      </c>
      <c r="P166" s="15" t="e">
        <v>#VALUE!</v>
      </c>
      <c r="Q166" s="15" t="e">
        <v>#VALUE!</v>
      </c>
      <c r="R166" s="15" t="e">
        <v>#VALUE!</v>
      </c>
      <c r="S166" s="15" t="e">
        <v>#VALUE!</v>
      </c>
      <c r="T166" s="129">
        <v>0.25043028302252535</v>
      </c>
      <c r="U166" s="130" t="e">
        <f t="shared" si="11"/>
        <v>#VALUE!</v>
      </c>
      <c r="V166" s="129">
        <v>0</v>
      </c>
      <c r="W166" s="130" t="e">
        <f t="shared" si="8"/>
        <v>#VALUE!</v>
      </c>
      <c r="X166" s="129">
        <v>0</v>
      </c>
      <c r="Y166" s="130" t="e">
        <f t="shared" si="9"/>
        <v>#VALUE!</v>
      </c>
      <c r="Z166" s="129">
        <v>0</v>
      </c>
      <c r="AA166" s="130" t="e">
        <f t="shared" si="10"/>
        <v>#VALUE!</v>
      </c>
    </row>
    <row r="167" spans="1:27" x14ac:dyDescent="0.3">
      <c r="A167">
        <v>191301</v>
      </c>
      <c r="B167">
        <v>17031191301</v>
      </c>
      <c r="C167">
        <v>17031</v>
      </c>
      <c r="D167">
        <v>2010</v>
      </c>
      <c r="E167">
        <v>19</v>
      </c>
      <c r="F167">
        <v>7265548.0021337401</v>
      </c>
      <c r="G167" s="43">
        <v>0.26061567385982481</v>
      </c>
      <c r="H167" s="58" t="str">
        <f>_xlfn.IFNA(
INDEX(CA!B$2:B$78,MATCH($E167,CA!$A$2:$A$78,0)),
"")</f>
        <v>BELMONT CRAGIN</v>
      </c>
      <c r="I167" s="60" t="str">
        <f>_xlfn.IFNA(
INDEX(CA!C$2:C$78,MATCH($E167,CA!$A$2:$A$78,0)),
"")</f>
        <v>2-B</v>
      </c>
      <c r="J167" s="60">
        <f>_xlfn.IFNA(
INDEX(CA!D$2:D$78,MATCH($E167,CA!$A$2:$A$78,0)),
"")</f>
        <v>2</v>
      </c>
      <c r="K167" s="58" t="str">
        <f>_xlfn.IFNA(
INDEX(CA!E$2:E$78,MATCH($E167,CA!$A$2:$A$78,0)),
"")</f>
        <v>NORTHWEST</v>
      </c>
      <c r="L167" s="15" t="e">
        <v>#VALUE!</v>
      </c>
      <c r="M167" s="15" t="e">
        <v>#VALUE!</v>
      </c>
      <c r="N167" s="15" t="e">
        <v>#VALUE!</v>
      </c>
      <c r="O167" s="15" t="e">
        <v>#VALUE!</v>
      </c>
      <c r="P167" s="15" t="e">
        <v>#VALUE!</v>
      </c>
      <c r="Q167" s="15" t="e">
        <v>#VALUE!</v>
      </c>
      <c r="R167" s="15" t="e">
        <v>#VALUE!</v>
      </c>
      <c r="S167" s="15" t="e">
        <v>#VALUE!</v>
      </c>
      <c r="T167" s="129">
        <v>0.24978435530978285</v>
      </c>
      <c r="U167" s="130" t="e">
        <f t="shared" si="11"/>
        <v>#VALUE!</v>
      </c>
      <c r="V167" s="129">
        <v>0.19599048324155152</v>
      </c>
      <c r="W167" s="130" t="e">
        <f t="shared" si="8"/>
        <v>#VALUE!</v>
      </c>
      <c r="X167" s="129">
        <v>0.19599048324155152</v>
      </c>
      <c r="Y167" s="130" t="e">
        <f t="shared" si="9"/>
        <v>#VALUE!</v>
      </c>
      <c r="Z167" s="129">
        <v>0.19599048324155152</v>
      </c>
      <c r="AA167" s="130" t="e">
        <f t="shared" si="10"/>
        <v>#VALUE!</v>
      </c>
    </row>
    <row r="168" spans="1:27" x14ac:dyDescent="0.3">
      <c r="A168">
        <v>191302</v>
      </c>
      <c r="B168">
        <v>17031191302</v>
      </c>
      <c r="C168">
        <v>17031</v>
      </c>
      <c r="D168">
        <v>2010</v>
      </c>
      <c r="E168">
        <v>19</v>
      </c>
      <c r="F168">
        <v>6728715.09515882</v>
      </c>
      <c r="G168" s="43">
        <v>0.24135944297946868</v>
      </c>
      <c r="H168" s="58" t="str">
        <f>_xlfn.IFNA(
INDEX(CA!B$2:B$78,MATCH($E168,CA!$A$2:$A$78,0)),
"")</f>
        <v>BELMONT CRAGIN</v>
      </c>
      <c r="I168" s="60" t="str">
        <f>_xlfn.IFNA(
INDEX(CA!C$2:C$78,MATCH($E168,CA!$A$2:$A$78,0)),
"")</f>
        <v>2-B</v>
      </c>
      <c r="J168" s="60">
        <f>_xlfn.IFNA(
INDEX(CA!D$2:D$78,MATCH($E168,CA!$A$2:$A$78,0)),
"")</f>
        <v>2</v>
      </c>
      <c r="K168" s="58" t="str">
        <f>_xlfn.IFNA(
INDEX(CA!E$2:E$78,MATCH($E168,CA!$A$2:$A$78,0)),
"")</f>
        <v>NORTHWEST</v>
      </c>
      <c r="L168" s="15" t="e">
        <v>#VALUE!</v>
      </c>
      <c r="M168" s="15" t="e">
        <v>#VALUE!</v>
      </c>
      <c r="N168" s="15" t="e">
        <v>#VALUE!</v>
      </c>
      <c r="O168" s="15" t="e">
        <v>#VALUE!</v>
      </c>
      <c r="P168" s="15" t="e">
        <v>#VALUE!</v>
      </c>
      <c r="Q168" s="15" t="e">
        <v>#VALUE!</v>
      </c>
      <c r="R168" s="15" t="e">
        <v>#VALUE!</v>
      </c>
      <c r="S168" s="15" t="e">
        <v>#VALUE!</v>
      </c>
      <c r="T168" s="129">
        <v>0</v>
      </c>
      <c r="U168" s="130" t="e">
        <f t="shared" si="11"/>
        <v>#VALUE!</v>
      </c>
      <c r="V168" s="129">
        <v>0</v>
      </c>
      <c r="W168" s="130" t="e">
        <f t="shared" si="8"/>
        <v>#VALUE!</v>
      </c>
      <c r="X168" s="129">
        <v>0</v>
      </c>
      <c r="Y168" s="130" t="e">
        <f t="shared" si="9"/>
        <v>#VALUE!</v>
      </c>
      <c r="Z168" s="129">
        <v>0</v>
      </c>
      <c r="AA168" s="130" t="e">
        <f t="shared" si="10"/>
        <v>#VALUE!</v>
      </c>
    </row>
    <row r="169" spans="1:27" x14ac:dyDescent="0.3">
      <c r="A169">
        <v>190701</v>
      </c>
      <c r="B169">
        <v>17031190701</v>
      </c>
      <c r="C169">
        <v>17031</v>
      </c>
      <c r="D169">
        <v>2010</v>
      </c>
      <c r="E169">
        <v>19</v>
      </c>
      <c r="F169">
        <v>2991439.6685200101</v>
      </c>
      <c r="G169" s="43">
        <v>0.10730313319702744</v>
      </c>
      <c r="H169" s="58" t="str">
        <f>_xlfn.IFNA(
INDEX(CA!B$2:B$78,MATCH($E169,CA!$A$2:$A$78,0)),
"")</f>
        <v>BELMONT CRAGIN</v>
      </c>
      <c r="I169" s="60" t="str">
        <f>_xlfn.IFNA(
INDEX(CA!C$2:C$78,MATCH($E169,CA!$A$2:$A$78,0)),
"")</f>
        <v>2-B</v>
      </c>
      <c r="J169" s="60">
        <f>_xlfn.IFNA(
INDEX(CA!D$2:D$78,MATCH($E169,CA!$A$2:$A$78,0)),
"")</f>
        <v>2</v>
      </c>
      <c r="K169" s="58" t="str">
        <f>_xlfn.IFNA(
INDEX(CA!E$2:E$78,MATCH($E169,CA!$A$2:$A$78,0)),
"")</f>
        <v>NORTHWEST</v>
      </c>
      <c r="L169" s="15" t="e">
        <v>#VALUE!</v>
      </c>
      <c r="M169" s="15" t="e">
        <v>#VALUE!</v>
      </c>
      <c r="N169" s="15" t="e">
        <v>#VALUE!</v>
      </c>
      <c r="O169" s="15" t="e">
        <v>#VALUE!</v>
      </c>
      <c r="P169" s="15" t="e">
        <v>#VALUE!</v>
      </c>
      <c r="Q169" s="15" t="e">
        <v>#VALUE!</v>
      </c>
      <c r="R169" s="15" t="e">
        <v>#VALUE!</v>
      </c>
      <c r="S169" s="15" t="e">
        <v>#VALUE!</v>
      </c>
      <c r="T169" s="129">
        <v>0.10730313383932148</v>
      </c>
      <c r="U169" s="130" t="e">
        <f t="shared" si="11"/>
        <v>#VALUE!</v>
      </c>
      <c r="V169" s="129">
        <v>0.1024208865992679</v>
      </c>
      <c r="W169" s="130" t="e">
        <f t="shared" si="8"/>
        <v>#VALUE!</v>
      </c>
      <c r="X169" s="129">
        <v>0.1024208865992679</v>
      </c>
      <c r="Y169" s="130" t="e">
        <f t="shared" si="9"/>
        <v>#VALUE!</v>
      </c>
      <c r="Z169" s="129">
        <v>0.1024208865992679</v>
      </c>
      <c r="AA169" s="130" t="e">
        <f t="shared" si="10"/>
        <v>#VALUE!</v>
      </c>
    </row>
    <row r="170" spans="1:27" x14ac:dyDescent="0.3">
      <c r="A170">
        <v>190200</v>
      </c>
      <c r="B170">
        <v>17031190200</v>
      </c>
      <c r="C170">
        <v>17031</v>
      </c>
      <c r="D170">
        <v>2010</v>
      </c>
      <c r="E170">
        <v>19</v>
      </c>
      <c r="F170">
        <v>7105231.4429142596</v>
      </c>
      <c r="G170" s="43">
        <v>0.25486510857560907</v>
      </c>
      <c r="H170" s="58" t="str">
        <f>_xlfn.IFNA(
INDEX(CA!B$2:B$78,MATCH($E170,CA!$A$2:$A$78,0)),
"")</f>
        <v>BELMONT CRAGIN</v>
      </c>
      <c r="I170" s="60" t="str">
        <f>_xlfn.IFNA(
INDEX(CA!C$2:C$78,MATCH($E170,CA!$A$2:$A$78,0)),
"")</f>
        <v>2-B</v>
      </c>
      <c r="J170" s="60">
        <f>_xlfn.IFNA(
INDEX(CA!D$2:D$78,MATCH($E170,CA!$A$2:$A$78,0)),
"")</f>
        <v>2</v>
      </c>
      <c r="K170" s="58" t="str">
        <f>_xlfn.IFNA(
INDEX(CA!E$2:E$78,MATCH($E170,CA!$A$2:$A$78,0)),
"")</f>
        <v>NORTHWEST</v>
      </c>
      <c r="L170" s="15" t="e">
        <v>#VALUE!</v>
      </c>
      <c r="M170" s="15" t="e">
        <v>#VALUE!</v>
      </c>
      <c r="N170" s="15" t="e">
        <v>#VALUE!</v>
      </c>
      <c r="O170" s="15" t="e">
        <v>#VALUE!</v>
      </c>
      <c r="P170" s="15" t="e">
        <v>#VALUE!</v>
      </c>
      <c r="Q170" s="15" t="e">
        <v>#VALUE!</v>
      </c>
      <c r="R170" s="15" t="e">
        <v>#VALUE!</v>
      </c>
      <c r="S170" s="15" t="e">
        <v>#VALUE!</v>
      </c>
      <c r="T170" s="129">
        <v>0.25295597798854846</v>
      </c>
      <c r="U170" s="130" t="e">
        <f t="shared" si="11"/>
        <v>#VALUE!</v>
      </c>
      <c r="V170" s="129">
        <v>0.25295574674014615</v>
      </c>
      <c r="W170" s="130" t="e">
        <f t="shared" si="8"/>
        <v>#VALUE!</v>
      </c>
      <c r="X170" s="129">
        <v>0.25295574674014615</v>
      </c>
      <c r="Y170" s="130" t="e">
        <f t="shared" si="9"/>
        <v>#VALUE!</v>
      </c>
      <c r="Z170" s="129">
        <v>0.25295574674014615</v>
      </c>
      <c r="AA170" s="130" t="e">
        <f t="shared" si="10"/>
        <v>#VALUE!</v>
      </c>
    </row>
    <row r="171" spans="1:27" x14ac:dyDescent="0.3">
      <c r="A171">
        <v>190702</v>
      </c>
      <c r="B171">
        <v>17031190702</v>
      </c>
      <c r="C171">
        <v>17031</v>
      </c>
      <c r="D171">
        <v>2010</v>
      </c>
      <c r="E171">
        <v>19</v>
      </c>
      <c r="F171">
        <v>4127442.5548152002</v>
      </c>
      <c r="G171" s="43">
        <v>0.14805162974974173</v>
      </c>
      <c r="H171" s="58" t="str">
        <f>_xlfn.IFNA(
INDEX(CA!B$2:B$78,MATCH($E171,CA!$A$2:$A$78,0)),
"")</f>
        <v>BELMONT CRAGIN</v>
      </c>
      <c r="I171" s="60" t="str">
        <f>_xlfn.IFNA(
INDEX(CA!C$2:C$78,MATCH($E171,CA!$A$2:$A$78,0)),
"")</f>
        <v>2-B</v>
      </c>
      <c r="J171" s="60">
        <f>_xlfn.IFNA(
INDEX(CA!D$2:D$78,MATCH($E171,CA!$A$2:$A$78,0)),
"")</f>
        <v>2</v>
      </c>
      <c r="K171" s="58" t="str">
        <f>_xlfn.IFNA(
INDEX(CA!E$2:E$78,MATCH($E171,CA!$A$2:$A$78,0)),
"")</f>
        <v>NORTHWEST</v>
      </c>
      <c r="L171" s="15" t="e">
        <v>#VALUE!</v>
      </c>
      <c r="M171" s="15" t="e">
        <v>#VALUE!</v>
      </c>
      <c r="N171" s="15" t="e">
        <v>#VALUE!</v>
      </c>
      <c r="O171" s="15" t="e">
        <v>#VALUE!</v>
      </c>
      <c r="P171" s="15" t="e">
        <v>#VALUE!</v>
      </c>
      <c r="Q171" s="15" t="e">
        <v>#VALUE!</v>
      </c>
      <c r="R171" s="15" t="e">
        <v>#VALUE!</v>
      </c>
      <c r="S171" s="15" t="e">
        <v>#VALUE!</v>
      </c>
      <c r="T171" s="129">
        <v>0.14620390520553656</v>
      </c>
      <c r="U171" s="130" t="e">
        <f t="shared" si="11"/>
        <v>#VALUE!</v>
      </c>
      <c r="V171" s="129">
        <v>9.5309307830231643E-2</v>
      </c>
      <c r="W171" s="130" t="e">
        <f t="shared" si="8"/>
        <v>#VALUE!</v>
      </c>
      <c r="X171" s="129">
        <v>9.5309307830231643E-2</v>
      </c>
      <c r="Y171" s="130" t="e">
        <f t="shared" si="9"/>
        <v>#VALUE!</v>
      </c>
      <c r="Z171" s="129">
        <v>9.5309307830231643E-2</v>
      </c>
      <c r="AA171" s="130" t="e">
        <f t="shared" si="10"/>
        <v>#VALUE!</v>
      </c>
    </row>
    <row r="172" spans="1:27" x14ac:dyDescent="0.3">
      <c r="A172">
        <v>191200</v>
      </c>
      <c r="B172">
        <v>17031191200</v>
      </c>
      <c r="C172">
        <v>17031</v>
      </c>
      <c r="D172">
        <v>2010</v>
      </c>
      <c r="E172">
        <v>19</v>
      </c>
      <c r="F172">
        <v>7617170.57477534</v>
      </c>
      <c r="G172" s="43">
        <v>0.2732283981424809</v>
      </c>
      <c r="H172" s="58" t="str">
        <f>_xlfn.IFNA(
INDEX(CA!B$2:B$78,MATCH($E172,CA!$A$2:$A$78,0)),
"")</f>
        <v>BELMONT CRAGIN</v>
      </c>
      <c r="I172" s="60" t="str">
        <f>_xlfn.IFNA(
INDEX(CA!C$2:C$78,MATCH($E172,CA!$A$2:$A$78,0)),
"")</f>
        <v>2-B</v>
      </c>
      <c r="J172" s="60">
        <f>_xlfn.IFNA(
INDEX(CA!D$2:D$78,MATCH($E172,CA!$A$2:$A$78,0)),
"")</f>
        <v>2</v>
      </c>
      <c r="K172" s="58" t="str">
        <f>_xlfn.IFNA(
INDEX(CA!E$2:E$78,MATCH($E172,CA!$A$2:$A$78,0)),
"")</f>
        <v>NORTHWEST</v>
      </c>
      <c r="L172" s="15" t="e">
        <v>#VALUE!</v>
      </c>
      <c r="M172" s="15" t="e">
        <v>#VALUE!</v>
      </c>
      <c r="N172" s="15" t="e">
        <v>#VALUE!</v>
      </c>
      <c r="O172" s="15" t="e">
        <v>#VALUE!</v>
      </c>
      <c r="P172" s="15" t="e">
        <v>#VALUE!</v>
      </c>
      <c r="Q172" s="15" t="e">
        <v>#VALUE!</v>
      </c>
      <c r="R172" s="15" t="e">
        <v>#VALUE!</v>
      </c>
      <c r="S172" s="15" t="e">
        <v>#VALUE!</v>
      </c>
      <c r="T172" s="129">
        <v>0</v>
      </c>
      <c r="U172" s="130" t="e">
        <f t="shared" si="11"/>
        <v>#VALUE!</v>
      </c>
      <c r="V172" s="129">
        <v>0</v>
      </c>
      <c r="W172" s="130" t="e">
        <f t="shared" si="8"/>
        <v>#VALUE!</v>
      </c>
      <c r="X172" s="129">
        <v>0</v>
      </c>
      <c r="Y172" s="130" t="e">
        <f t="shared" si="9"/>
        <v>#VALUE!</v>
      </c>
      <c r="Z172" s="129">
        <v>0</v>
      </c>
      <c r="AA172" s="130" t="e">
        <f t="shared" si="10"/>
        <v>#VALUE!</v>
      </c>
    </row>
    <row r="173" spans="1:27" x14ac:dyDescent="0.3">
      <c r="A173">
        <v>191100</v>
      </c>
      <c r="B173">
        <v>17031191100</v>
      </c>
      <c r="C173">
        <v>17031</v>
      </c>
      <c r="D173">
        <v>2010</v>
      </c>
      <c r="E173">
        <v>19</v>
      </c>
      <c r="F173">
        <v>8981432.49748745</v>
      </c>
      <c r="G173" s="43">
        <v>0.32216456100376817</v>
      </c>
      <c r="H173" s="58" t="str">
        <f>_xlfn.IFNA(
INDEX(CA!B$2:B$78,MATCH($E173,CA!$A$2:$A$78,0)),
"")</f>
        <v>BELMONT CRAGIN</v>
      </c>
      <c r="I173" s="60" t="str">
        <f>_xlfn.IFNA(
INDEX(CA!C$2:C$78,MATCH($E173,CA!$A$2:$A$78,0)),
"")</f>
        <v>2-B</v>
      </c>
      <c r="J173" s="60">
        <f>_xlfn.IFNA(
INDEX(CA!D$2:D$78,MATCH($E173,CA!$A$2:$A$78,0)),
"")</f>
        <v>2</v>
      </c>
      <c r="K173" s="58" t="str">
        <f>_xlfn.IFNA(
INDEX(CA!E$2:E$78,MATCH($E173,CA!$A$2:$A$78,0)),
"")</f>
        <v>NORTHWEST</v>
      </c>
      <c r="L173" s="15" t="e">
        <v>#VALUE!</v>
      </c>
      <c r="M173" s="15" t="e">
        <v>#VALUE!</v>
      </c>
      <c r="N173" s="15" t="e">
        <v>#VALUE!</v>
      </c>
      <c r="O173" s="15" t="e">
        <v>#VALUE!</v>
      </c>
      <c r="P173" s="15" t="e">
        <v>#VALUE!</v>
      </c>
      <c r="Q173" s="15" t="e">
        <v>#VALUE!</v>
      </c>
      <c r="R173" s="15" t="e">
        <v>#VALUE!</v>
      </c>
      <c r="S173" s="15" t="e">
        <v>#VALUE!</v>
      </c>
      <c r="T173" s="129">
        <v>0</v>
      </c>
      <c r="U173" s="130" t="e">
        <f t="shared" si="11"/>
        <v>#VALUE!</v>
      </c>
      <c r="V173" s="129">
        <v>0</v>
      </c>
      <c r="W173" s="130" t="e">
        <f t="shared" si="8"/>
        <v>#VALUE!</v>
      </c>
      <c r="X173" s="129">
        <v>0</v>
      </c>
      <c r="Y173" s="130" t="e">
        <f t="shared" si="9"/>
        <v>#VALUE!</v>
      </c>
      <c r="Z173" s="129">
        <v>0</v>
      </c>
      <c r="AA173" s="130" t="e">
        <f t="shared" si="10"/>
        <v>#VALUE!</v>
      </c>
    </row>
    <row r="174" spans="1:27" x14ac:dyDescent="0.3">
      <c r="A174">
        <v>190401</v>
      </c>
      <c r="B174">
        <v>17031190401</v>
      </c>
      <c r="C174">
        <v>17031</v>
      </c>
      <c r="D174">
        <v>2010</v>
      </c>
      <c r="E174">
        <v>19</v>
      </c>
      <c r="F174">
        <v>7055926.2749540601</v>
      </c>
      <c r="G174" s="43">
        <v>0.25309652903158214</v>
      </c>
      <c r="H174" s="58" t="str">
        <f>_xlfn.IFNA(
INDEX(CA!B$2:B$78,MATCH($E174,CA!$A$2:$A$78,0)),
"")</f>
        <v>BELMONT CRAGIN</v>
      </c>
      <c r="I174" s="60" t="str">
        <f>_xlfn.IFNA(
INDEX(CA!C$2:C$78,MATCH($E174,CA!$A$2:$A$78,0)),
"")</f>
        <v>2-B</v>
      </c>
      <c r="J174" s="60">
        <f>_xlfn.IFNA(
INDEX(CA!D$2:D$78,MATCH($E174,CA!$A$2:$A$78,0)),
"")</f>
        <v>2</v>
      </c>
      <c r="K174" s="58" t="str">
        <f>_xlfn.IFNA(
INDEX(CA!E$2:E$78,MATCH($E174,CA!$A$2:$A$78,0)),
"")</f>
        <v>NORTHWEST</v>
      </c>
      <c r="L174" s="15" t="e">
        <v>#VALUE!</v>
      </c>
      <c r="M174" s="15" t="e">
        <v>#VALUE!</v>
      </c>
      <c r="N174" s="15" t="e">
        <v>#VALUE!</v>
      </c>
      <c r="O174" s="15" t="e">
        <v>#VALUE!</v>
      </c>
      <c r="P174" s="15" t="e">
        <v>#VALUE!</v>
      </c>
      <c r="Q174" s="15" t="e">
        <v>#VALUE!</v>
      </c>
      <c r="R174" s="15" t="e">
        <v>#VALUE!</v>
      </c>
      <c r="S174" s="15" t="e">
        <v>#VALUE!</v>
      </c>
      <c r="T174" s="129">
        <v>0.25308770641691564</v>
      </c>
      <c r="U174" s="130" t="e">
        <f t="shared" si="11"/>
        <v>#VALUE!</v>
      </c>
      <c r="V174" s="129">
        <v>0.19704082816911192</v>
      </c>
      <c r="W174" s="130" t="e">
        <f t="shared" si="8"/>
        <v>#VALUE!</v>
      </c>
      <c r="X174" s="129">
        <v>0.19704082816911192</v>
      </c>
      <c r="Y174" s="130" t="e">
        <f t="shared" si="9"/>
        <v>#VALUE!</v>
      </c>
      <c r="Z174" s="129">
        <v>0.19704082816911192</v>
      </c>
      <c r="AA174" s="130" t="e">
        <f t="shared" si="10"/>
        <v>#VALUE!</v>
      </c>
    </row>
    <row r="175" spans="1:27" x14ac:dyDescent="0.3">
      <c r="A175">
        <v>190100</v>
      </c>
      <c r="B175">
        <v>17031190100</v>
      </c>
      <c r="C175">
        <v>17031</v>
      </c>
      <c r="D175">
        <v>2010</v>
      </c>
      <c r="E175">
        <v>19</v>
      </c>
      <c r="F175">
        <v>3402122.0432771002</v>
      </c>
      <c r="G175" s="43">
        <v>0.12203433637788037</v>
      </c>
      <c r="H175" s="58" t="str">
        <f>_xlfn.IFNA(
INDEX(CA!B$2:B$78,MATCH($E175,CA!$A$2:$A$78,0)),
"")</f>
        <v>BELMONT CRAGIN</v>
      </c>
      <c r="I175" s="60" t="str">
        <f>_xlfn.IFNA(
INDEX(CA!C$2:C$78,MATCH($E175,CA!$A$2:$A$78,0)),
"")</f>
        <v>2-B</v>
      </c>
      <c r="J175" s="60">
        <f>_xlfn.IFNA(
INDEX(CA!D$2:D$78,MATCH($E175,CA!$A$2:$A$78,0)),
"")</f>
        <v>2</v>
      </c>
      <c r="K175" s="58" t="str">
        <f>_xlfn.IFNA(
INDEX(CA!E$2:E$78,MATCH($E175,CA!$A$2:$A$78,0)),
"")</f>
        <v>NORTHWEST</v>
      </c>
      <c r="L175" s="15" t="e">
        <v>#VALUE!</v>
      </c>
      <c r="M175" s="15" t="e">
        <v>#VALUE!</v>
      </c>
      <c r="N175" s="15" t="e">
        <v>#VALUE!</v>
      </c>
      <c r="O175" s="15" t="e">
        <v>#VALUE!</v>
      </c>
      <c r="P175" s="15" t="e">
        <v>#VALUE!</v>
      </c>
      <c r="Q175" s="15" t="e">
        <v>#VALUE!</v>
      </c>
      <c r="R175" s="15" t="e">
        <v>#VALUE!</v>
      </c>
      <c r="S175" s="15" t="e">
        <v>#VALUE!</v>
      </c>
      <c r="T175" s="129">
        <v>0.11651618535410642</v>
      </c>
      <c r="U175" s="130" t="e">
        <f t="shared" si="11"/>
        <v>#VALUE!</v>
      </c>
      <c r="V175" s="129">
        <v>0.11651618535410642</v>
      </c>
      <c r="W175" s="130" t="e">
        <f t="shared" si="8"/>
        <v>#VALUE!</v>
      </c>
      <c r="X175" s="129">
        <v>0.11651618535410642</v>
      </c>
      <c r="Y175" s="130" t="e">
        <f t="shared" si="9"/>
        <v>#VALUE!</v>
      </c>
      <c r="Z175" s="129">
        <v>0.11651618535410642</v>
      </c>
      <c r="AA175" s="130" t="e">
        <f t="shared" si="10"/>
        <v>#VALUE!</v>
      </c>
    </row>
    <row r="176" spans="1:27" x14ac:dyDescent="0.3">
      <c r="A176">
        <v>190602</v>
      </c>
      <c r="B176">
        <v>17031190602</v>
      </c>
      <c r="C176">
        <v>17031</v>
      </c>
      <c r="D176">
        <v>2010</v>
      </c>
      <c r="E176">
        <v>19</v>
      </c>
      <c r="F176">
        <v>6688061.86200184</v>
      </c>
      <c r="G176" s="43">
        <v>0.23990120889297234</v>
      </c>
      <c r="H176" s="58" t="str">
        <f>_xlfn.IFNA(
INDEX(CA!B$2:B$78,MATCH($E176,CA!$A$2:$A$78,0)),
"")</f>
        <v>BELMONT CRAGIN</v>
      </c>
      <c r="I176" s="60" t="str">
        <f>_xlfn.IFNA(
INDEX(CA!C$2:C$78,MATCH($E176,CA!$A$2:$A$78,0)),
"")</f>
        <v>2-B</v>
      </c>
      <c r="J176" s="60">
        <f>_xlfn.IFNA(
INDEX(CA!D$2:D$78,MATCH($E176,CA!$A$2:$A$78,0)),
"")</f>
        <v>2</v>
      </c>
      <c r="K176" s="58" t="str">
        <f>_xlfn.IFNA(
INDEX(CA!E$2:E$78,MATCH($E176,CA!$A$2:$A$78,0)),
"")</f>
        <v>NORTHWEST</v>
      </c>
      <c r="L176" s="15" t="e">
        <v>#VALUE!</v>
      </c>
      <c r="M176" s="15" t="e">
        <v>#VALUE!</v>
      </c>
      <c r="N176" s="15" t="e">
        <v>#VALUE!</v>
      </c>
      <c r="O176" s="15" t="e">
        <v>#VALUE!</v>
      </c>
      <c r="P176" s="15" t="e">
        <v>#VALUE!</v>
      </c>
      <c r="Q176" s="15" t="e">
        <v>#VALUE!</v>
      </c>
      <c r="R176" s="15" t="e">
        <v>#VALUE!</v>
      </c>
      <c r="S176" s="15" t="e">
        <v>#VALUE!</v>
      </c>
      <c r="T176" s="129">
        <v>0.23776405392166911</v>
      </c>
      <c r="U176" s="130" t="e">
        <f t="shared" si="11"/>
        <v>#VALUE!</v>
      </c>
      <c r="V176" s="129">
        <v>0</v>
      </c>
      <c r="W176" s="130" t="e">
        <f t="shared" si="8"/>
        <v>#VALUE!</v>
      </c>
      <c r="X176" s="129">
        <v>0</v>
      </c>
      <c r="Y176" s="130" t="e">
        <f t="shared" si="9"/>
        <v>#VALUE!</v>
      </c>
      <c r="Z176" s="129">
        <v>0</v>
      </c>
      <c r="AA176" s="130" t="e">
        <f t="shared" si="10"/>
        <v>#VALUE!</v>
      </c>
    </row>
    <row r="177" spans="1:27" x14ac:dyDescent="0.3">
      <c r="A177">
        <v>20601</v>
      </c>
      <c r="B177">
        <v>17031020601</v>
      </c>
      <c r="C177">
        <v>17031</v>
      </c>
      <c r="D177">
        <v>2010</v>
      </c>
      <c r="E177">
        <v>2</v>
      </c>
      <c r="F177">
        <v>6365332.2870667698</v>
      </c>
      <c r="G177" s="43">
        <v>0.22832487829526693</v>
      </c>
      <c r="H177" s="58" t="str">
        <f>_xlfn.IFNA(
INDEX(CA!B$2:B$78,MATCH($E177,CA!$A$2:$A$78,0)),
"")</f>
        <v>WEST RIDGE</v>
      </c>
      <c r="I177" s="60" t="str">
        <f>_xlfn.IFNA(
INDEX(CA!C$2:C$78,MATCH($E177,CA!$A$2:$A$78,0)),
"")</f>
        <v>1-A</v>
      </c>
      <c r="J177" s="60">
        <f>_xlfn.IFNA(
INDEX(CA!D$2:D$78,MATCH($E177,CA!$A$2:$A$78,0)),
"")</f>
        <v>1</v>
      </c>
      <c r="K177" s="58" t="str">
        <f>_xlfn.IFNA(
INDEX(CA!E$2:E$78,MATCH($E177,CA!$A$2:$A$78,0)),
"")</f>
        <v>NORTH</v>
      </c>
      <c r="L177" s="15" t="e">
        <v>#VALUE!</v>
      </c>
      <c r="M177" s="15" t="e">
        <v>#VALUE!</v>
      </c>
      <c r="N177" s="15" t="e">
        <v>#VALUE!</v>
      </c>
      <c r="O177" s="15" t="e">
        <v>#VALUE!</v>
      </c>
      <c r="P177" s="15" t="e">
        <v>#VALUE!</v>
      </c>
      <c r="Q177" s="15" t="e">
        <v>#VALUE!</v>
      </c>
      <c r="R177" s="15" t="e">
        <v>#VALUE!</v>
      </c>
      <c r="S177" s="15" t="e">
        <v>#VALUE!</v>
      </c>
      <c r="T177" s="129">
        <v>0.22790682464541939</v>
      </c>
      <c r="U177" s="130" t="e">
        <f t="shared" si="11"/>
        <v>#VALUE!</v>
      </c>
      <c r="V177" s="129">
        <v>0.22790682464541939</v>
      </c>
      <c r="W177" s="130" t="e">
        <f t="shared" si="8"/>
        <v>#VALUE!</v>
      </c>
      <c r="X177" s="129">
        <v>0.22790682464541939</v>
      </c>
      <c r="Y177" s="130" t="e">
        <f t="shared" si="9"/>
        <v>#VALUE!</v>
      </c>
      <c r="Z177" s="129">
        <v>0.22790682464541939</v>
      </c>
      <c r="AA177" s="130" t="e">
        <f t="shared" si="10"/>
        <v>#VALUE!</v>
      </c>
    </row>
    <row r="178" spans="1:27" x14ac:dyDescent="0.3">
      <c r="A178">
        <v>20701</v>
      </c>
      <c r="B178">
        <v>17031020701</v>
      </c>
      <c r="C178">
        <v>17031</v>
      </c>
      <c r="D178">
        <v>2010</v>
      </c>
      <c r="E178">
        <v>2</v>
      </c>
      <c r="F178">
        <v>6333227.2898468701</v>
      </c>
      <c r="G178" s="43">
        <v>0.22717326998130705</v>
      </c>
      <c r="H178" s="58" t="str">
        <f>_xlfn.IFNA(
INDEX(CA!B$2:B$78,MATCH($E178,CA!$A$2:$A$78,0)),
"")</f>
        <v>WEST RIDGE</v>
      </c>
      <c r="I178" s="60" t="str">
        <f>_xlfn.IFNA(
INDEX(CA!C$2:C$78,MATCH($E178,CA!$A$2:$A$78,0)),
"")</f>
        <v>1-A</v>
      </c>
      <c r="J178" s="60">
        <f>_xlfn.IFNA(
INDEX(CA!D$2:D$78,MATCH($E178,CA!$A$2:$A$78,0)),
"")</f>
        <v>1</v>
      </c>
      <c r="K178" s="58" t="str">
        <f>_xlfn.IFNA(
INDEX(CA!E$2:E$78,MATCH($E178,CA!$A$2:$A$78,0)),
"")</f>
        <v>NORTH</v>
      </c>
      <c r="L178" s="15" t="e">
        <v>#VALUE!</v>
      </c>
      <c r="M178" s="15" t="e">
        <v>#VALUE!</v>
      </c>
      <c r="N178" s="15" t="e">
        <v>#VALUE!</v>
      </c>
      <c r="O178" s="15" t="e">
        <v>#VALUE!</v>
      </c>
      <c r="P178" s="15" t="e">
        <v>#VALUE!</v>
      </c>
      <c r="Q178" s="15" t="e">
        <v>#VALUE!</v>
      </c>
      <c r="R178" s="15" t="e">
        <v>#VALUE!</v>
      </c>
      <c r="S178" s="15" t="e">
        <v>#VALUE!</v>
      </c>
      <c r="T178" s="129">
        <v>0.22717326592362616</v>
      </c>
      <c r="U178" s="130" t="e">
        <f t="shared" si="11"/>
        <v>#VALUE!</v>
      </c>
      <c r="V178" s="129">
        <v>0.22717326592362616</v>
      </c>
      <c r="W178" s="130" t="e">
        <f t="shared" si="8"/>
        <v>#VALUE!</v>
      </c>
      <c r="X178" s="129">
        <v>0.22717326592362616</v>
      </c>
      <c r="Y178" s="130" t="e">
        <f t="shared" si="9"/>
        <v>#VALUE!</v>
      </c>
      <c r="Z178" s="129">
        <v>0.22717326592362616</v>
      </c>
      <c r="AA178" s="130" t="e">
        <f t="shared" si="10"/>
        <v>#VALUE!</v>
      </c>
    </row>
    <row r="179" spans="1:27" x14ac:dyDescent="0.3">
      <c r="A179">
        <v>20301</v>
      </c>
      <c r="B179">
        <v>17031020301</v>
      </c>
      <c r="C179">
        <v>17031</v>
      </c>
      <c r="D179">
        <v>2010</v>
      </c>
      <c r="E179">
        <v>2</v>
      </c>
      <c r="F179">
        <v>9036934.1917300802</v>
      </c>
      <c r="G179" s="43">
        <v>0.32415541034385331</v>
      </c>
      <c r="H179" s="58" t="str">
        <f>_xlfn.IFNA(
INDEX(CA!B$2:B$78,MATCH($E179,CA!$A$2:$A$78,0)),
"")</f>
        <v>WEST RIDGE</v>
      </c>
      <c r="I179" s="60" t="str">
        <f>_xlfn.IFNA(
INDEX(CA!C$2:C$78,MATCH($E179,CA!$A$2:$A$78,0)),
"")</f>
        <v>1-A</v>
      </c>
      <c r="J179" s="60">
        <f>_xlfn.IFNA(
INDEX(CA!D$2:D$78,MATCH($E179,CA!$A$2:$A$78,0)),
"")</f>
        <v>1</v>
      </c>
      <c r="K179" s="58" t="str">
        <f>_xlfn.IFNA(
INDEX(CA!E$2:E$78,MATCH($E179,CA!$A$2:$A$78,0)),
"")</f>
        <v>NORTH</v>
      </c>
      <c r="L179" s="15" t="e">
        <v>#VALUE!</v>
      </c>
      <c r="M179" s="15" t="e">
        <v>#VALUE!</v>
      </c>
      <c r="N179" s="15" t="e">
        <v>#VALUE!</v>
      </c>
      <c r="O179" s="15" t="e">
        <v>#VALUE!</v>
      </c>
      <c r="P179" s="15" t="e">
        <v>#VALUE!</v>
      </c>
      <c r="Q179" s="15" t="e">
        <v>#VALUE!</v>
      </c>
      <c r="R179" s="15" t="e">
        <v>#VALUE!</v>
      </c>
      <c r="S179" s="15" t="e">
        <v>#VALUE!</v>
      </c>
      <c r="T179" s="129">
        <v>0.32415542402248659</v>
      </c>
      <c r="U179" s="130" t="e">
        <f t="shared" si="11"/>
        <v>#VALUE!</v>
      </c>
      <c r="V179" s="129">
        <v>0.32415542402248659</v>
      </c>
      <c r="W179" s="130" t="e">
        <f t="shared" si="8"/>
        <v>#VALUE!</v>
      </c>
      <c r="X179" s="129">
        <v>0.32415542402248659</v>
      </c>
      <c r="Y179" s="130" t="e">
        <f t="shared" si="9"/>
        <v>#VALUE!</v>
      </c>
      <c r="Z179" s="129">
        <v>0.32415542402248659</v>
      </c>
      <c r="AA179" s="130" t="e">
        <f t="shared" si="10"/>
        <v>#VALUE!</v>
      </c>
    </row>
    <row r="180" spans="1:27" x14ac:dyDescent="0.3">
      <c r="A180">
        <v>20400</v>
      </c>
      <c r="B180">
        <v>17031020400</v>
      </c>
      <c r="C180">
        <v>17031</v>
      </c>
      <c r="D180">
        <v>2010</v>
      </c>
      <c r="E180">
        <v>2</v>
      </c>
      <c r="F180">
        <v>5978507.9605580997</v>
      </c>
      <c r="G180" s="43">
        <v>0.21444946483866004</v>
      </c>
      <c r="H180" s="58" t="str">
        <f>_xlfn.IFNA(
INDEX(CA!B$2:B$78,MATCH($E180,CA!$A$2:$A$78,0)),
"")</f>
        <v>WEST RIDGE</v>
      </c>
      <c r="I180" s="60" t="str">
        <f>_xlfn.IFNA(
INDEX(CA!C$2:C$78,MATCH($E180,CA!$A$2:$A$78,0)),
"")</f>
        <v>1-A</v>
      </c>
      <c r="J180" s="60">
        <f>_xlfn.IFNA(
INDEX(CA!D$2:D$78,MATCH($E180,CA!$A$2:$A$78,0)),
"")</f>
        <v>1</v>
      </c>
      <c r="K180" s="58" t="str">
        <f>_xlfn.IFNA(
INDEX(CA!E$2:E$78,MATCH($E180,CA!$A$2:$A$78,0)),
"")</f>
        <v>NORTH</v>
      </c>
      <c r="L180" s="15" t="e">
        <v>#VALUE!</v>
      </c>
      <c r="M180" s="15" t="e">
        <v>#VALUE!</v>
      </c>
      <c r="N180" s="15" t="e">
        <v>#VALUE!</v>
      </c>
      <c r="O180" s="15" t="e">
        <v>#VALUE!</v>
      </c>
      <c r="P180" s="15" t="e">
        <v>#VALUE!</v>
      </c>
      <c r="Q180" s="15" t="e">
        <v>#VALUE!</v>
      </c>
      <c r="R180" s="15" t="e">
        <v>#VALUE!</v>
      </c>
      <c r="S180" s="15" t="e">
        <v>#VALUE!</v>
      </c>
      <c r="T180" s="129">
        <v>0.21444946360345427</v>
      </c>
      <c r="U180" s="130" t="e">
        <f t="shared" si="11"/>
        <v>#VALUE!</v>
      </c>
      <c r="V180" s="129">
        <v>0.21444946360345427</v>
      </c>
      <c r="W180" s="130" t="e">
        <f t="shared" si="8"/>
        <v>#VALUE!</v>
      </c>
      <c r="X180" s="129">
        <v>0.21444946360345427</v>
      </c>
      <c r="Y180" s="130" t="e">
        <f t="shared" si="9"/>
        <v>#VALUE!</v>
      </c>
      <c r="Z180" s="129">
        <v>0.21444946360345427</v>
      </c>
      <c r="AA180" s="130" t="e">
        <f t="shared" si="10"/>
        <v>#VALUE!</v>
      </c>
    </row>
    <row r="181" spans="1:27" x14ac:dyDescent="0.3">
      <c r="A181">
        <v>20200</v>
      </c>
      <c r="B181">
        <v>17031020200</v>
      </c>
      <c r="C181">
        <v>17031</v>
      </c>
      <c r="D181">
        <v>2010</v>
      </c>
      <c r="E181">
        <v>2</v>
      </c>
      <c r="F181">
        <v>13576513.526670201</v>
      </c>
      <c r="G181" s="43">
        <v>0.48699041288848</v>
      </c>
      <c r="H181" s="58" t="str">
        <f>_xlfn.IFNA(
INDEX(CA!B$2:B$78,MATCH($E181,CA!$A$2:$A$78,0)),
"")</f>
        <v>WEST RIDGE</v>
      </c>
      <c r="I181" s="60" t="str">
        <f>_xlfn.IFNA(
INDEX(CA!C$2:C$78,MATCH($E181,CA!$A$2:$A$78,0)),
"")</f>
        <v>1-A</v>
      </c>
      <c r="J181" s="60">
        <f>_xlfn.IFNA(
INDEX(CA!D$2:D$78,MATCH($E181,CA!$A$2:$A$78,0)),
"")</f>
        <v>1</v>
      </c>
      <c r="K181" s="58" t="str">
        <f>_xlfn.IFNA(
INDEX(CA!E$2:E$78,MATCH($E181,CA!$A$2:$A$78,0)),
"")</f>
        <v>NORTH</v>
      </c>
      <c r="L181" s="15" t="e">
        <v>#VALUE!</v>
      </c>
      <c r="M181" s="15" t="e">
        <v>#VALUE!</v>
      </c>
      <c r="N181" s="15" t="e">
        <v>#VALUE!</v>
      </c>
      <c r="O181" s="15" t="e">
        <v>#VALUE!</v>
      </c>
      <c r="P181" s="15" t="e">
        <v>#VALUE!</v>
      </c>
      <c r="Q181" s="15" t="e">
        <v>#VALUE!</v>
      </c>
      <c r="R181" s="15" t="e">
        <v>#VALUE!</v>
      </c>
      <c r="S181" s="15" t="e">
        <v>#VALUE!</v>
      </c>
      <c r="T181" s="129">
        <v>0.486990414736025</v>
      </c>
      <c r="U181" s="130" t="e">
        <f t="shared" si="11"/>
        <v>#VALUE!</v>
      </c>
      <c r="V181" s="129">
        <v>0.47691522074821008</v>
      </c>
      <c r="W181" s="130" t="e">
        <f t="shared" si="8"/>
        <v>#VALUE!</v>
      </c>
      <c r="X181" s="129">
        <v>0.47691522074821008</v>
      </c>
      <c r="Y181" s="130" t="e">
        <f t="shared" si="9"/>
        <v>#VALUE!</v>
      </c>
      <c r="Z181" s="129">
        <v>0.47691522074821008</v>
      </c>
      <c r="AA181" s="130" t="e">
        <f t="shared" si="10"/>
        <v>#VALUE!</v>
      </c>
    </row>
    <row r="182" spans="1:27" x14ac:dyDescent="0.3">
      <c r="A182">
        <v>20100</v>
      </c>
      <c r="B182">
        <v>17031020100</v>
      </c>
      <c r="C182">
        <v>17031</v>
      </c>
      <c r="D182">
        <v>2010</v>
      </c>
      <c r="E182">
        <v>2</v>
      </c>
      <c r="F182">
        <v>4426977.8411358101</v>
      </c>
      <c r="G182" s="43">
        <v>0.15879597972393716</v>
      </c>
      <c r="H182" s="58" t="str">
        <f>_xlfn.IFNA(
INDEX(CA!B$2:B$78,MATCH($E182,CA!$A$2:$A$78,0)),
"")</f>
        <v>WEST RIDGE</v>
      </c>
      <c r="I182" s="60" t="str">
        <f>_xlfn.IFNA(
INDEX(CA!C$2:C$78,MATCH($E182,CA!$A$2:$A$78,0)),
"")</f>
        <v>1-A</v>
      </c>
      <c r="J182" s="60">
        <f>_xlfn.IFNA(
INDEX(CA!D$2:D$78,MATCH($E182,CA!$A$2:$A$78,0)),
"")</f>
        <v>1</v>
      </c>
      <c r="K182" s="58" t="str">
        <f>_xlfn.IFNA(
INDEX(CA!E$2:E$78,MATCH($E182,CA!$A$2:$A$78,0)),
"")</f>
        <v>NORTH</v>
      </c>
      <c r="L182" s="15" t="e">
        <v>#VALUE!</v>
      </c>
      <c r="M182" s="15" t="e">
        <v>#VALUE!</v>
      </c>
      <c r="N182" s="15" t="e">
        <v>#VALUE!</v>
      </c>
      <c r="O182" s="15" t="e">
        <v>#VALUE!</v>
      </c>
      <c r="P182" s="15" t="e">
        <v>#VALUE!</v>
      </c>
      <c r="Q182" s="15" t="e">
        <v>#VALUE!</v>
      </c>
      <c r="R182" s="15" t="e">
        <v>#VALUE!</v>
      </c>
      <c r="S182" s="15" t="e">
        <v>#VALUE!</v>
      </c>
      <c r="T182" s="129">
        <v>0.15879597030892376</v>
      </c>
      <c r="U182" s="130" t="e">
        <f t="shared" si="11"/>
        <v>#VALUE!</v>
      </c>
      <c r="V182" s="129">
        <v>0.15879597030892376</v>
      </c>
      <c r="W182" s="130" t="e">
        <f t="shared" si="8"/>
        <v>#VALUE!</v>
      </c>
      <c r="X182" s="129">
        <v>0.15879597030892376</v>
      </c>
      <c r="Y182" s="130" t="e">
        <f t="shared" si="9"/>
        <v>#VALUE!</v>
      </c>
      <c r="Z182" s="129">
        <v>0.15879597030892376</v>
      </c>
      <c r="AA182" s="130" t="e">
        <f t="shared" si="10"/>
        <v>#VALUE!</v>
      </c>
    </row>
    <row r="183" spans="1:27" x14ac:dyDescent="0.3">
      <c r="A183">
        <v>20302</v>
      </c>
      <c r="B183">
        <v>17031020302</v>
      </c>
      <c r="C183">
        <v>17031</v>
      </c>
      <c r="D183">
        <v>2010</v>
      </c>
      <c r="E183">
        <v>2</v>
      </c>
      <c r="F183">
        <v>6888043.2780317003</v>
      </c>
      <c r="G183" s="43">
        <v>0.24707455514059989</v>
      </c>
      <c r="H183" s="58" t="str">
        <f>_xlfn.IFNA(
INDEX(CA!B$2:B$78,MATCH($E183,CA!$A$2:$A$78,0)),
"")</f>
        <v>WEST RIDGE</v>
      </c>
      <c r="I183" s="60" t="str">
        <f>_xlfn.IFNA(
INDEX(CA!C$2:C$78,MATCH($E183,CA!$A$2:$A$78,0)),
"")</f>
        <v>1-A</v>
      </c>
      <c r="J183" s="60">
        <f>_xlfn.IFNA(
INDEX(CA!D$2:D$78,MATCH($E183,CA!$A$2:$A$78,0)),
"")</f>
        <v>1</v>
      </c>
      <c r="K183" s="58" t="str">
        <f>_xlfn.IFNA(
INDEX(CA!E$2:E$78,MATCH($E183,CA!$A$2:$A$78,0)),
"")</f>
        <v>NORTH</v>
      </c>
      <c r="L183" s="15" t="e">
        <v>#VALUE!</v>
      </c>
      <c r="M183" s="15" t="e">
        <v>#VALUE!</v>
      </c>
      <c r="N183" s="15" t="e">
        <v>#VALUE!</v>
      </c>
      <c r="O183" s="15" t="e">
        <v>#VALUE!</v>
      </c>
      <c r="P183" s="15" t="e">
        <v>#VALUE!</v>
      </c>
      <c r="Q183" s="15" t="e">
        <v>#VALUE!</v>
      </c>
      <c r="R183" s="15" t="e">
        <v>#VALUE!</v>
      </c>
      <c r="S183" s="15" t="e">
        <v>#VALUE!</v>
      </c>
      <c r="T183" s="129">
        <v>0.24707455564836647</v>
      </c>
      <c r="U183" s="130" t="e">
        <f t="shared" si="11"/>
        <v>#VALUE!</v>
      </c>
      <c r="V183" s="129">
        <v>0.24707455564836647</v>
      </c>
      <c r="W183" s="130" t="e">
        <f t="shared" si="8"/>
        <v>#VALUE!</v>
      </c>
      <c r="X183" s="129">
        <v>0.24707455564836647</v>
      </c>
      <c r="Y183" s="130" t="e">
        <f t="shared" si="9"/>
        <v>#VALUE!</v>
      </c>
      <c r="Z183" s="129">
        <v>0.24707455564836647</v>
      </c>
      <c r="AA183" s="130" t="e">
        <f t="shared" si="10"/>
        <v>#VALUE!</v>
      </c>
    </row>
    <row r="184" spans="1:27" x14ac:dyDescent="0.3">
      <c r="A184">
        <v>20602</v>
      </c>
      <c r="B184">
        <v>17031020602</v>
      </c>
      <c r="C184">
        <v>17031</v>
      </c>
      <c r="D184">
        <v>2010</v>
      </c>
      <c r="E184">
        <v>2</v>
      </c>
      <c r="F184">
        <v>5295535.0313025098</v>
      </c>
      <c r="G184" s="43">
        <v>0.18995118196533911</v>
      </c>
      <c r="H184" s="58" t="str">
        <f>_xlfn.IFNA(
INDEX(CA!B$2:B$78,MATCH($E184,CA!$A$2:$A$78,0)),
"")</f>
        <v>WEST RIDGE</v>
      </c>
      <c r="I184" s="60" t="str">
        <f>_xlfn.IFNA(
INDEX(CA!C$2:C$78,MATCH($E184,CA!$A$2:$A$78,0)),
"")</f>
        <v>1-A</v>
      </c>
      <c r="J184" s="60">
        <f>_xlfn.IFNA(
INDEX(CA!D$2:D$78,MATCH($E184,CA!$A$2:$A$78,0)),
"")</f>
        <v>1</v>
      </c>
      <c r="K184" s="58" t="str">
        <f>_xlfn.IFNA(
INDEX(CA!E$2:E$78,MATCH($E184,CA!$A$2:$A$78,0)),
"")</f>
        <v>NORTH</v>
      </c>
      <c r="L184" s="15" t="e">
        <v>#VALUE!</v>
      </c>
      <c r="M184" s="15" t="e">
        <v>#VALUE!</v>
      </c>
      <c r="N184" s="15" t="e">
        <v>#VALUE!</v>
      </c>
      <c r="O184" s="15" t="e">
        <v>#VALUE!</v>
      </c>
      <c r="P184" s="15" t="e">
        <v>#VALUE!</v>
      </c>
      <c r="Q184" s="15" t="e">
        <v>#VALUE!</v>
      </c>
      <c r="R184" s="15" t="e">
        <v>#VALUE!</v>
      </c>
      <c r="S184" s="15" t="e">
        <v>#VALUE!</v>
      </c>
      <c r="T184" s="129">
        <v>0.1885145435688271</v>
      </c>
      <c r="U184" s="130" t="e">
        <f t="shared" si="11"/>
        <v>#VALUE!</v>
      </c>
      <c r="V184" s="129">
        <v>0.1885145435688271</v>
      </c>
      <c r="W184" s="130" t="e">
        <f t="shared" si="8"/>
        <v>#VALUE!</v>
      </c>
      <c r="X184" s="129">
        <v>0.1885145435688271</v>
      </c>
      <c r="Y184" s="130" t="e">
        <f t="shared" si="9"/>
        <v>#VALUE!</v>
      </c>
      <c r="Z184" s="129">
        <v>0.1885145435688271</v>
      </c>
      <c r="AA184" s="130" t="e">
        <f t="shared" si="10"/>
        <v>#VALUE!</v>
      </c>
    </row>
    <row r="185" spans="1:27" x14ac:dyDescent="0.3">
      <c r="A185">
        <v>20500</v>
      </c>
      <c r="B185">
        <v>17031020500</v>
      </c>
      <c r="C185">
        <v>17031</v>
      </c>
      <c r="D185">
        <v>2010</v>
      </c>
      <c r="E185">
        <v>2</v>
      </c>
      <c r="F185">
        <v>8306114.0365496902</v>
      </c>
      <c r="G185" s="43">
        <v>0.29794084440103058</v>
      </c>
      <c r="H185" s="58" t="str">
        <f>_xlfn.IFNA(
INDEX(CA!B$2:B$78,MATCH($E185,CA!$A$2:$A$78,0)),
"")</f>
        <v>WEST RIDGE</v>
      </c>
      <c r="I185" s="60" t="str">
        <f>_xlfn.IFNA(
INDEX(CA!C$2:C$78,MATCH($E185,CA!$A$2:$A$78,0)),
"")</f>
        <v>1-A</v>
      </c>
      <c r="J185" s="60">
        <f>_xlfn.IFNA(
INDEX(CA!D$2:D$78,MATCH($E185,CA!$A$2:$A$78,0)),
"")</f>
        <v>1</v>
      </c>
      <c r="K185" s="58" t="str">
        <f>_xlfn.IFNA(
INDEX(CA!E$2:E$78,MATCH($E185,CA!$A$2:$A$78,0)),
"")</f>
        <v>NORTH</v>
      </c>
      <c r="L185" s="15" t="e">
        <v>#VALUE!</v>
      </c>
      <c r="M185" s="15" t="e">
        <v>#VALUE!</v>
      </c>
      <c r="N185" s="15" t="e">
        <v>#VALUE!</v>
      </c>
      <c r="O185" s="15" t="e">
        <v>#VALUE!</v>
      </c>
      <c r="P185" s="15" t="e">
        <v>#VALUE!</v>
      </c>
      <c r="Q185" s="15" t="e">
        <v>#VALUE!</v>
      </c>
      <c r="R185" s="15" t="e">
        <v>#VALUE!</v>
      </c>
      <c r="S185" s="15" t="e">
        <v>#VALUE!</v>
      </c>
      <c r="T185" s="129">
        <v>0.29589336984359932</v>
      </c>
      <c r="U185" s="130" t="e">
        <f t="shared" si="11"/>
        <v>#VALUE!</v>
      </c>
      <c r="V185" s="129">
        <v>0.29589796450637518</v>
      </c>
      <c r="W185" s="130" t="e">
        <f t="shared" si="8"/>
        <v>#VALUE!</v>
      </c>
      <c r="X185" s="129">
        <v>0.29589796450637518</v>
      </c>
      <c r="Y185" s="130" t="e">
        <f t="shared" si="9"/>
        <v>#VALUE!</v>
      </c>
      <c r="Z185" s="129">
        <v>0.29589796450637518</v>
      </c>
      <c r="AA185" s="130" t="e">
        <f t="shared" si="10"/>
        <v>#VALUE!</v>
      </c>
    </row>
    <row r="186" spans="1:27" x14ac:dyDescent="0.3">
      <c r="A186">
        <v>20702</v>
      </c>
      <c r="B186">
        <v>17031020702</v>
      </c>
      <c r="C186">
        <v>17031</v>
      </c>
      <c r="D186">
        <v>2010</v>
      </c>
      <c r="E186">
        <v>2</v>
      </c>
      <c r="F186">
        <v>7580059.3908688296</v>
      </c>
      <c r="G186" s="43">
        <v>0.27189721759027885</v>
      </c>
      <c r="H186" s="58" t="str">
        <f>_xlfn.IFNA(
INDEX(CA!B$2:B$78,MATCH($E186,CA!$A$2:$A$78,0)),
"")</f>
        <v>WEST RIDGE</v>
      </c>
      <c r="I186" s="60" t="str">
        <f>_xlfn.IFNA(
INDEX(CA!C$2:C$78,MATCH($E186,CA!$A$2:$A$78,0)),
"")</f>
        <v>1-A</v>
      </c>
      <c r="J186" s="60">
        <f>_xlfn.IFNA(
INDEX(CA!D$2:D$78,MATCH($E186,CA!$A$2:$A$78,0)),
"")</f>
        <v>1</v>
      </c>
      <c r="K186" s="58" t="str">
        <f>_xlfn.IFNA(
INDEX(CA!E$2:E$78,MATCH($E186,CA!$A$2:$A$78,0)),
"")</f>
        <v>NORTH</v>
      </c>
      <c r="L186" s="15" t="e">
        <v>#VALUE!</v>
      </c>
      <c r="M186" s="15" t="e">
        <v>#VALUE!</v>
      </c>
      <c r="N186" s="15" t="e">
        <v>#VALUE!</v>
      </c>
      <c r="O186" s="15" t="e">
        <v>#VALUE!</v>
      </c>
      <c r="P186" s="15" t="e">
        <v>#VALUE!</v>
      </c>
      <c r="Q186" s="15" t="e">
        <v>#VALUE!</v>
      </c>
      <c r="R186" s="15" t="e">
        <v>#VALUE!</v>
      </c>
      <c r="S186" s="15" t="e">
        <v>#VALUE!</v>
      </c>
      <c r="T186" s="129">
        <v>0.27172947656224677</v>
      </c>
      <c r="U186" s="130" t="e">
        <f t="shared" si="11"/>
        <v>#VALUE!</v>
      </c>
      <c r="V186" s="129">
        <v>0.27172947656224677</v>
      </c>
      <c r="W186" s="130" t="e">
        <f t="shared" si="8"/>
        <v>#VALUE!</v>
      </c>
      <c r="X186" s="129">
        <v>0.27172947656224677</v>
      </c>
      <c r="Y186" s="130" t="e">
        <f t="shared" si="9"/>
        <v>#VALUE!</v>
      </c>
      <c r="Z186" s="129">
        <v>0.27172947656224677</v>
      </c>
      <c r="AA186" s="130" t="e">
        <f t="shared" si="10"/>
        <v>#VALUE!</v>
      </c>
    </row>
    <row r="187" spans="1:27" x14ac:dyDescent="0.3">
      <c r="A187">
        <v>20802</v>
      </c>
      <c r="B187">
        <v>17031020802</v>
      </c>
      <c r="C187">
        <v>17031</v>
      </c>
      <c r="D187">
        <v>2010</v>
      </c>
      <c r="E187">
        <v>2</v>
      </c>
      <c r="F187">
        <v>6932555.3450592496</v>
      </c>
      <c r="G187" s="43">
        <v>0.24867120584607616</v>
      </c>
      <c r="H187" s="58" t="str">
        <f>_xlfn.IFNA(
INDEX(CA!B$2:B$78,MATCH($E187,CA!$A$2:$A$78,0)),
"")</f>
        <v>WEST RIDGE</v>
      </c>
      <c r="I187" s="60" t="str">
        <f>_xlfn.IFNA(
INDEX(CA!C$2:C$78,MATCH($E187,CA!$A$2:$A$78,0)),
"")</f>
        <v>1-A</v>
      </c>
      <c r="J187" s="60">
        <f>_xlfn.IFNA(
INDEX(CA!D$2:D$78,MATCH($E187,CA!$A$2:$A$78,0)),
"")</f>
        <v>1</v>
      </c>
      <c r="K187" s="58" t="str">
        <f>_xlfn.IFNA(
INDEX(CA!E$2:E$78,MATCH($E187,CA!$A$2:$A$78,0)),
"")</f>
        <v>NORTH</v>
      </c>
      <c r="L187" s="15" t="e">
        <v>#VALUE!</v>
      </c>
      <c r="M187" s="15" t="e">
        <v>#VALUE!</v>
      </c>
      <c r="N187" s="15" t="e">
        <v>#VALUE!</v>
      </c>
      <c r="O187" s="15" t="e">
        <v>#VALUE!</v>
      </c>
      <c r="P187" s="15" t="e">
        <v>#VALUE!</v>
      </c>
      <c r="Q187" s="15" t="e">
        <v>#VALUE!</v>
      </c>
      <c r="R187" s="15" t="e">
        <v>#VALUE!</v>
      </c>
      <c r="S187" s="15" t="e">
        <v>#VALUE!</v>
      </c>
      <c r="T187" s="129">
        <v>3.328661453494921E-3</v>
      </c>
      <c r="U187" s="130" t="e">
        <f t="shared" si="11"/>
        <v>#VALUE!</v>
      </c>
      <c r="V187" s="129">
        <v>3.328661453494921E-3</v>
      </c>
      <c r="W187" s="130" t="e">
        <f t="shared" si="8"/>
        <v>#VALUE!</v>
      </c>
      <c r="X187" s="129">
        <v>3.328661453494921E-3</v>
      </c>
      <c r="Y187" s="130" t="e">
        <f t="shared" si="9"/>
        <v>#VALUE!</v>
      </c>
      <c r="Z187" s="129">
        <v>3.328661453494921E-3</v>
      </c>
      <c r="AA187" s="130" t="e">
        <f t="shared" si="10"/>
        <v>#VALUE!</v>
      </c>
    </row>
    <row r="188" spans="1:27" x14ac:dyDescent="0.3">
      <c r="A188">
        <v>20901</v>
      </c>
      <c r="B188">
        <v>17031020901</v>
      </c>
      <c r="C188">
        <v>17031</v>
      </c>
      <c r="D188">
        <v>2010</v>
      </c>
      <c r="E188">
        <v>2</v>
      </c>
      <c r="F188">
        <v>5258896.5978436098</v>
      </c>
      <c r="G188" s="43">
        <v>0.1886369590020808</v>
      </c>
      <c r="H188" s="58" t="str">
        <f>_xlfn.IFNA(
INDEX(CA!B$2:B$78,MATCH($E188,CA!$A$2:$A$78,0)),
"")</f>
        <v>WEST RIDGE</v>
      </c>
      <c r="I188" s="60" t="str">
        <f>_xlfn.IFNA(
INDEX(CA!C$2:C$78,MATCH($E188,CA!$A$2:$A$78,0)),
"")</f>
        <v>1-A</v>
      </c>
      <c r="J188" s="60">
        <f>_xlfn.IFNA(
INDEX(CA!D$2:D$78,MATCH($E188,CA!$A$2:$A$78,0)),
"")</f>
        <v>1</v>
      </c>
      <c r="K188" s="58" t="str">
        <f>_xlfn.IFNA(
INDEX(CA!E$2:E$78,MATCH($E188,CA!$A$2:$A$78,0)),
"")</f>
        <v>NORTH</v>
      </c>
      <c r="L188" s="15" t="e">
        <v>#VALUE!</v>
      </c>
      <c r="M188" s="15" t="e">
        <v>#VALUE!</v>
      </c>
      <c r="N188" s="15" t="e">
        <v>#VALUE!</v>
      </c>
      <c r="O188" s="15" t="e">
        <v>#VALUE!</v>
      </c>
      <c r="P188" s="15" t="e">
        <v>#VALUE!</v>
      </c>
      <c r="Q188" s="15" t="e">
        <v>#VALUE!</v>
      </c>
      <c r="R188" s="15" t="e">
        <v>#VALUE!</v>
      </c>
      <c r="S188" s="15" t="e">
        <v>#VALUE!</v>
      </c>
      <c r="T188" s="129">
        <v>0</v>
      </c>
      <c r="U188" s="130" t="e">
        <f t="shared" si="11"/>
        <v>#VALUE!</v>
      </c>
      <c r="V188" s="129">
        <v>0</v>
      </c>
      <c r="W188" s="130" t="e">
        <f t="shared" si="8"/>
        <v>#VALUE!</v>
      </c>
      <c r="X188" s="129">
        <v>0</v>
      </c>
      <c r="Y188" s="130" t="e">
        <f t="shared" si="9"/>
        <v>#VALUE!</v>
      </c>
      <c r="Z188" s="129">
        <v>0</v>
      </c>
      <c r="AA188" s="130" t="e">
        <f t="shared" si="10"/>
        <v>#VALUE!</v>
      </c>
    </row>
    <row r="189" spans="1:27" x14ac:dyDescent="0.3">
      <c r="A189">
        <v>20902</v>
      </c>
      <c r="B189">
        <v>17031020902</v>
      </c>
      <c r="C189">
        <v>17031</v>
      </c>
      <c r="D189">
        <v>2010</v>
      </c>
      <c r="E189">
        <v>2</v>
      </c>
      <c r="F189">
        <v>5389577.7077994999</v>
      </c>
      <c r="G189" s="43">
        <v>0.19332449881626995</v>
      </c>
      <c r="H189" s="58" t="str">
        <f>_xlfn.IFNA(
INDEX(CA!B$2:B$78,MATCH($E189,CA!$A$2:$A$78,0)),
"")</f>
        <v>WEST RIDGE</v>
      </c>
      <c r="I189" s="60" t="str">
        <f>_xlfn.IFNA(
INDEX(CA!C$2:C$78,MATCH($E189,CA!$A$2:$A$78,0)),
"")</f>
        <v>1-A</v>
      </c>
      <c r="J189" s="60">
        <f>_xlfn.IFNA(
INDEX(CA!D$2:D$78,MATCH($E189,CA!$A$2:$A$78,0)),
"")</f>
        <v>1</v>
      </c>
      <c r="K189" s="58" t="str">
        <f>_xlfn.IFNA(
INDEX(CA!E$2:E$78,MATCH($E189,CA!$A$2:$A$78,0)),
"")</f>
        <v>NORTH</v>
      </c>
      <c r="L189" s="15" t="e">
        <v>#VALUE!</v>
      </c>
      <c r="M189" s="15" t="e">
        <v>#VALUE!</v>
      </c>
      <c r="N189" s="15" t="e">
        <v>#VALUE!</v>
      </c>
      <c r="O189" s="15" t="e">
        <v>#VALUE!</v>
      </c>
      <c r="P189" s="15" t="e">
        <v>#VALUE!</v>
      </c>
      <c r="Q189" s="15" t="e">
        <v>#VALUE!</v>
      </c>
      <c r="R189" s="15" t="e">
        <v>#VALUE!</v>
      </c>
      <c r="S189" s="15" t="e">
        <v>#VALUE!</v>
      </c>
      <c r="T189" s="129">
        <v>9.2135668261435738E-2</v>
      </c>
      <c r="U189" s="130" t="e">
        <f t="shared" si="11"/>
        <v>#VALUE!</v>
      </c>
      <c r="V189" s="129">
        <v>8.6435741822122145E-2</v>
      </c>
      <c r="W189" s="130" t="e">
        <f t="shared" si="8"/>
        <v>#VALUE!</v>
      </c>
      <c r="X189" s="129">
        <v>8.6435741822122145E-2</v>
      </c>
      <c r="Y189" s="130" t="e">
        <f t="shared" si="9"/>
        <v>#VALUE!</v>
      </c>
      <c r="Z189" s="129">
        <v>8.6435741822122145E-2</v>
      </c>
      <c r="AA189" s="130" t="e">
        <f t="shared" si="10"/>
        <v>#VALUE!</v>
      </c>
    </row>
    <row r="190" spans="1:27" x14ac:dyDescent="0.3">
      <c r="A190">
        <v>20801</v>
      </c>
      <c r="B190">
        <v>17031020801</v>
      </c>
      <c r="C190">
        <v>17031</v>
      </c>
      <c r="D190">
        <v>2010</v>
      </c>
      <c r="E190">
        <v>2</v>
      </c>
      <c r="F190">
        <v>7060820.5824015699</v>
      </c>
      <c r="G190" s="43">
        <v>0.25327208815432628</v>
      </c>
      <c r="H190" s="58" t="str">
        <f>_xlfn.IFNA(
INDEX(CA!B$2:B$78,MATCH($E190,CA!$A$2:$A$78,0)),
"")</f>
        <v>WEST RIDGE</v>
      </c>
      <c r="I190" s="60" t="str">
        <f>_xlfn.IFNA(
INDEX(CA!C$2:C$78,MATCH($E190,CA!$A$2:$A$78,0)),
"")</f>
        <v>1-A</v>
      </c>
      <c r="J190" s="60">
        <f>_xlfn.IFNA(
INDEX(CA!D$2:D$78,MATCH($E190,CA!$A$2:$A$78,0)),
"")</f>
        <v>1</v>
      </c>
      <c r="K190" s="58" t="str">
        <f>_xlfn.IFNA(
INDEX(CA!E$2:E$78,MATCH($E190,CA!$A$2:$A$78,0)),
"")</f>
        <v>NORTH</v>
      </c>
      <c r="L190" s="15" t="e">
        <v>#VALUE!</v>
      </c>
      <c r="M190" s="15" t="e">
        <v>#VALUE!</v>
      </c>
      <c r="N190" s="15" t="e">
        <v>#VALUE!</v>
      </c>
      <c r="O190" s="15" t="e">
        <v>#VALUE!</v>
      </c>
      <c r="P190" s="15" t="e">
        <v>#VALUE!</v>
      </c>
      <c r="Q190" s="15" t="e">
        <v>#VALUE!</v>
      </c>
      <c r="R190" s="15" t="e">
        <v>#VALUE!</v>
      </c>
      <c r="S190" s="15" t="e">
        <v>#VALUE!</v>
      </c>
      <c r="T190" s="129">
        <v>0.24870019936600166</v>
      </c>
      <c r="U190" s="130" t="e">
        <f t="shared" si="11"/>
        <v>#VALUE!</v>
      </c>
      <c r="V190" s="129">
        <v>0.24870019936600166</v>
      </c>
      <c r="W190" s="130" t="e">
        <f t="shared" si="8"/>
        <v>#VALUE!</v>
      </c>
      <c r="X190" s="129">
        <v>0.24870019936600166</v>
      </c>
      <c r="Y190" s="130" t="e">
        <f t="shared" si="9"/>
        <v>#VALUE!</v>
      </c>
      <c r="Z190" s="129">
        <v>0.24870019936600166</v>
      </c>
      <c r="AA190" s="130" t="e">
        <f t="shared" si="10"/>
        <v>#VALUE!</v>
      </c>
    </row>
    <row r="191" spans="1:27" x14ac:dyDescent="0.3">
      <c r="A191">
        <v>200401</v>
      </c>
      <c r="B191">
        <v>17031200401</v>
      </c>
      <c r="C191">
        <v>17031</v>
      </c>
      <c r="D191">
        <v>2010</v>
      </c>
      <c r="E191">
        <v>20</v>
      </c>
      <c r="F191">
        <v>4328768.2373668402</v>
      </c>
      <c r="G191" s="43">
        <v>0.15527319492391387</v>
      </c>
      <c r="H191" s="58" t="str">
        <f>_xlfn.IFNA(
INDEX(CA!B$2:B$78,MATCH($E191,CA!$A$2:$A$78,0)),
"")</f>
        <v>HERMOSA</v>
      </c>
      <c r="I191" s="60" t="str">
        <f>_xlfn.IFNA(
INDEX(CA!C$2:C$78,MATCH($E191,CA!$A$2:$A$78,0)),
"")</f>
        <v>2-B</v>
      </c>
      <c r="J191" s="60">
        <f>_xlfn.IFNA(
INDEX(CA!D$2:D$78,MATCH($E191,CA!$A$2:$A$78,0)),
"")</f>
        <v>2</v>
      </c>
      <c r="K191" s="58" t="str">
        <f>_xlfn.IFNA(
INDEX(CA!E$2:E$78,MATCH($E191,CA!$A$2:$A$78,0)),
"")</f>
        <v>NORTHWEST</v>
      </c>
      <c r="L191" s="15" t="e">
        <v>#VALUE!</v>
      </c>
      <c r="M191" s="15" t="e">
        <v>#VALUE!</v>
      </c>
      <c r="N191" s="15" t="e">
        <v>#VALUE!</v>
      </c>
      <c r="O191" s="15" t="e">
        <v>#VALUE!</v>
      </c>
      <c r="P191" s="15" t="e">
        <v>#VALUE!</v>
      </c>
      <c r="Q191" s="15" t="e">
        <v>#VALUE!</v>
      </c>
      <c r="R191" s="15" t="e">
        <v>#VALUE!</v>
      </c>
      <c r="S191" s="15" t="e">
        <v>#VALUE!</v>
      </c>
      <c r="T191" s="129">
        <v>0</v>
      </c>
      <c r="U191" s="130" t="e">
        <f t="shared" si="11"/>
        <v>#VALUE!</v>
      </c>
      <c r="V191" s="129">
        <v>0</v>
      </c>
      <c r="W191" s="130" t="e">
        <f t="shared" si="8"/>
        <v>#VALUE!</v>
      </c>
      <c r="X191" s="129">
        <v>0</v>
      </c>
      <c r="Y191" s="130" t="e">
        <f t="shared" si="9"/>
        <v>#VALUE!</v>
      </c>
      <c r="Z191" s="129">
        <v>0</v>
      </c>
      <c r="AA191" s="130" t="e">
        <f t="shared" si="10"/>
        <v>#VALUE!</v>
      </c>
    </row>
    <row r="192" spans="1:27" x14ac:dyDescent="0.3">
      <c r="A192">
        <v>200200</v>
      </c>
      <c r="B192">
        <v>17031200200</v>
      </c>
      <c r="C192">
        <v>17031</v>
      </c>
      <c r="D192">
        <v>2010</v>
      </c>
      <c r="E192">
        <v>20</v>
      </c>
      <c r="F192">
        <v>8822565.9172843695</v>
      </c>
      <c r="G192" s="43">
        <v>0.31646600656007406</v>
      </c>
      <c r="H192" s="58" t="str">
        <f>_xlfn.IFNA(
INDEX(CA!B$2:B$78,MATCH($E192,CA!$A$2:$A$78,0)),
"")</f>
        <v>HERMOSA</v>
      </c>
      <c r="I192" s="60" t="str">
        <f>_xlfn.IFNA(
INDEX(CA!C$2:C$78,MATCH($E192,CA!$A$2:$A$78,0)),
"")</f>
        <v>2-B</v>
      </c>
      <c r="J192" s="60">
        <f>_xlfn.IFNA(
INDEX(CA!D$2:D$78,MATCH($E192,CA!$A$2:$A$78,0)),
"")</f>
        <v>2</v>
      </c>
      <c r="K192" s="58" t="str">
        <f>_xlfn.IFNA(
INDEX(CA!E$2:E$78,MATCH($E192,CA!$A$2:$A$78,0)),
"")</f>
        <v>NORTHWEST</v>
      </c>
      <c r="L192" s="15" t="e">
        <v>#VALUE!</v>
      </c>
      <c r="M192" s="15" t="e">
        <v>#VALUE!</v>
      </c>
      <c r="N192" s="15" t="e">
        <v>#VALUE!</v>
      </c>
      <c r="O192" s="15" t="e">
        <v>#VALUE!</v>
      </c>
      <c r="P192" s="15" t="e">
        <v>#VALUE!</v>
      </c>
      <c r="Q192" s="15" t="e">
        <v>#VALUE!</v>
      </c>
      <c r="R192" s="15" t="e">
        <v>#VALUE!</v>
      </c>
      <c r="S192" s="15" t="e">
        <v>#VALUE!</v>
      </c>
      <c r="T192" s="129">
        <v>0.30932295978321639</v>
      </c>
      <c r="U192" s="130" t="e">
        <f t="shared" si="11"/>
        <v>#VALUE!</v>
      </c>
      <c r="V192" s="129">
        <v>0.30782090211583163</v>
      </c>
      <c r="W192" s="130" t="e">
        <f t="shared" si="8"/>
        <v>#VALUE!</v>
      </c>
      <c r="X192" s="129">
        <v>0.30782090211583163</v>
      </c>
      <c r="Y192" s="130" t="e">
        <f t="shared" si="9"/>
        <v>#VALUE!</v>
      </c>
      <c r="Z192" s="129">
        <v>0.30782090211583163</v>
      </c>
      <c r="AA192" s="130" t="e">
        <f t="shared" si="10"/>
        <v>#VALUE!</v>
      </c>
    </row>
    <row r="193" spans="1:27" x14ac:dyDescent="0.3">
      <c r="A193">
        <v>831200</v>
      </c>
      <c r="B193">
        <v>17031831200</v>
      </c>
      <c r="C193">
        <v>17031</v>
      </c>
      <c r="D193">
        <v>2010</v>
      </c>
      <c r="E193">
        <v>20</v>
      </c>
      <c r="F193">
        <v>6286463.1835189098</v>
      </c>
      <c r="G193" s="43">
        <v>0.22549583848136587</v>
      </c>
      <c r="H193" s="58" t="str">
        <f>_xlfn.IFNA(
INDEX(CA!B$2:B$78,MATCH($E193,CA!$A$2:$A$78,0)),
"")</f>
        <v>HERMOSA</v>
      </c>
      <c r="I193" s="60" t="str">
        <f>_xlfn.IFNA(
INDEX(CA!C$2:C$78,MATCH($E193,CA!$A$2:$A$78,0)),
"")</f>
        <v>2-B</v>
      </c>
      <c r="J193" s="60">
        <f>_xlfn.IFNA(
INDEX(CA!D$2:D$78,MATCH($E193,CA!$A$2:$A$78,0)),
"")</f>
        <v>2</v>
      </c>
      <c r="K193" s="58" t="str">
        <f>_xlfn.IFNA(
INDEX(CA!E$2:E$78,MATCH($E193,CA!$A$2:$A$78,0)),
"")</f>
        <v>NORTHWEST</v>
      </c>
      <c r="L193" s="15" t="e">
        <v>#VALUE!</v>
      </c>
      <c r="M193" s="15" t="e">
        <v>#VALUE!</v>
      </c>
      <c r="N193" s="15" t="e">
        <v>#VALUE!</v>
      </c>
      <c r="O193" s="15" t="e">
        <v>#VALUE!</v>
      </c>
      <c r="P193" s="15" t="e">
        <v>#VALUE!</v>
      </c>
      <c r="Q193" s="15" t="e">
        <v>#VALUE!</v>
      </c>
      <c r="R193" s="15" t="e">
        <v>#VALUE!</v>
      </c>
      <c r="S193" s="15" t="e">
        <v>#VALUE!</v>
      </c>
      <c r="T193" s="129">
        <v>7.2410969475599746E-2</v>
      </c>
      <c r="U193" s="130" t="e">
        <f t="shared" si="11"/>
        <v>#VALUE!</v>
      </c>
      <c r="V193" s="129">
        <v>7.2410969475599746E-2</v>
      </c>
      <c r="W193" s="130" t="e">
        <f t="shared" si="8"/>
        <v>#VALUE!</v>
      </c>
      <c r="X193" s="129">
        <v>7.2410969475599746E-2</v>
      </c>
      <c r="Y193" s="130" t="e">
        <f t="shared" si="9"/>
        <v>#VALUE!</v>
      </c>
      <c r="Z193" s="129">
        <v>7.2410969475599746E-2</v>
      </c>
      <c r="AA193" s="130" t="e">
        <f t="shared" si="10"/>
        <v>#VALUE!</v>
      </c>
    </row>
    <row r="194" spans="1:27" x14ac:dyDescent="0.3">
      <c r="A194">
        <v>200402</v>
      </c>
      <c r="B194">
        <v>17031200402</v>
      </c>
      <c r="C194">
        <v>17031</v>
      </c>
      <c r="D194">
        <v>2010</v>
      </c>
      <c r="E194">
        <v>20</v>
      </c>
      <c r="F194">
        <v>4156271.9386599902</v>
      </c>
      <c r="G194" s="43">
        <v>0.1490857416013828</v>
      </c>
      <c r="H194" s="58" t="str">
        <f>_xlfn.IFNA(
INDEX(CA!B$2:B$78,MATCH($E194,CA!$A$2:$A$78,0)),
"")</f>
        <v>HERMOSA</v>
      </c>
      <c r="I194" s="60" t="str">
        <f>_xlfn.IFNA(
INDEX(CA!C$2:C$78,MATCH($E194,CA!$A$2:$A$78,0)),
"")</f>
        <v>2-B</v>
      </c>
      <c r="J194" s="60">
        <f>_xlfn.IFNA(
INDEX(CA!D$2:D$78,MATCH($E194,CA!$A$2:$A$78,0)),
"")</f>
        <v>2</v>
      </c>
      <c r="K194" s="58" t="str">
        <f>_xlfn.IFNA(
INDEX(CA!E$2:E$78,MATCH($E194,CA!$A$2:$A$78,0)),
"")</f>
        <v>NORTHWEST</v>
      </c>
      <c r="L194" s="15" t="e">
        <v>#VALUE!</v>
      </c>
      <c r="M194" s="15" t="e">
        <v>#VALUE!</v>
      </c>
      <c r="N194" s="15" t="e">
        <v>#VALUE!</v>
      </c>
      <c r="O194" s="15" t="e">
        <v>#VALUE!</v>
      </c>
      <c r="P194" s="15" t="e">
        <v>#VALUE!</v>
      </c>
      <c r="Q194" s="15" t="e">
        <v>#VALUE!</v>
      </c>
      <c r="R194" s="15" t="e">
        <v>#VALUE!</v>
      </c>
      <c r="S194" s="15" t="e">
        <v>#VALUE!</v>
      </c>
      <c r="T194" s="129">
        <v>4.6539260937912864E-2</v>
      </c>
      <c r="U194" s="130" t="e">
        <f t="shared" si="11"/>
        <v>#VALUE!</v>
      </c>
      <c r="V194" s="129">
        <v>1.9485669751078467E-2</v>
      </c>
      <c r="W194" s="130" t="e">
        <f t="shared" si="8"/>
        <v>#VALUE!</v>
      </c>
      <c r="X194" s="129">
        <v>1.9485669751078467E-2</v>
      </c>
      <c r="Y194" s="130" t="e">
        <f t="shared" si="9"/>
        <v>#VALUE!</v>
      </c>
      <c r="Z194" s="129">
        <v>1.9485669751078467E-2</v>
      </c>
      <c r="AA194" s="130" t="e">
        <f t="shared" si="10"/>
        <v>#VALUE!</v>
      </c>
    </row>
    <row r="195" spans="1:27" x14ac:dyDescent="0.3">
      <c r="A195">
        <v>200100</v>
      </c>
      <c r="B195">
        <v>17031200100</v>
      </c>
      <c r="C195">
        <v>17031</v>
      </c>
      <c r="D195">
        <v>2010</v>
      </c>
      <c r="E195">
        <v>20</v>
      </c>
      <c r="F195">
        <v>6302189.6439792002</v>
      </c>
      <c r="G195" s="43">
        <v>0.22605994762896006</v>
      </c>
      <c r="H195" s="58" t="str">
        <f>_xlfn.IFNA(
INDEX(CA!B$2:B$78,MATCH($E195,CA!$A$2:$A$78,0)),
"")</f>
        <v>HERMOSA</v>
      </c>
      <c r="I195" s="60" t="str">
        <f>_xlfn.IFNA(
INDEX(CA!C$2:C$78,MATCH($E195,CA!$A$2:$A$78,0)),
"")</f>
        <v>2-B</v>
      </c>
      <c r="J195" s="60">
        <f>_xlfn.IFNA(
INDEX(CA!D$2:D$78,MATCH($E195,CA!$A$2:$A$78,0)),
"")</f>
        <v>2</v>
      </c>
      <c r="K195" s="58" t="str">
        <f>_xlfn.IFNA(
INDEX(CA!E$2:E$78,MATCH($E195,CA!$A$2:$A$78,0)),
"")</f>
        <v>NORTHWEST</v>
      </c>
      <c r="L195" s="15" t="e">
        <v>#VALUE!</v>
      </c>
      <c r="M195" s="15" t="e">
        <v>#VALUE!</v>
      </c>
      <c r="N195" s="15" t="e">
        <v>#VALUE!</v>
      </c>
      <c r="O195" s="15" t="e">
        <v>#VALUE!</v>
      </c>
      <c r="P195" s="15" t="e">
        <v>#VALUE!</v>
      </c>
      <c r="Q195" s="15" t="e">
        <v>#VALUE!</v>
      </c>
      <c r="R195" s="15" t="e">
        <v>#VALUE!</v>
      </c>
      <c r="S195" s="15" t="e">
        <v>#VALUE!</v>
      </c>
      <c r="T195" s="129">
        <v>0.21808628982571487</v>
      </c>
      <c r="U195" s="130" t="e">
        <f t="shared" si="11"/>
        <v>#VALUE!</v>
      </c>
      <c r="V195" s="129">
        <v>0.21808628982571487</v>
      </c>
      <c r="W195" s="130" t="e">
        <f t="shared" si="8"/>
        <v>#VALUE!</v>
      </c>
      <c r="X195" s="129">
        <v>0.21808628982571487</v>
      </c>
      <c r="Y195" s="130" t="e">
        <f t="shared" si="9"/>
        <v>#VALUE!</v>
      </c>
      <c r="Z195" s="129">
        <v>0.21808628982571487</v>
      </c>
      <c r="AA195" s="130" t="e">
        <f t="shared" si="10"/>
        <v>#VALUE!</v>
      </c>
    </row>
    <row r="196" spans="1:27" x14ac:dyDescent="0.3">
      <c r="A196">
        <v>200300</v>
      </c>
      <c r="B196">
        <v>17031200300</v>
      </c>
      <c r="C196">
        <v>17031</v>
      </c>
      <c r="D196">
        <v>2010</v>
      </c>
      <c r="E196">
        <v>20</v>
      </c>
      <c r="F196">
        <v>2705800.4847071799</v>
      </c>
      <c r="G196" s="43">
        <v>9.7057237313015812E-2</v>
      </c>
      <c r="H196" s="58" t="str">
        <f>_xlfn.IFNA(
INDEX(CA!B$2:B$78,MATCH($E196,CA!$A$2:$A$78,0)),
"")</f>
        <v>HERMOSA</v>
      </c>
      <c r="I196" s="60" t="str">
        <f>_xlfn.IFNA(
INDEX(CA!C$2:C$78,MATCH($E196,CA!$A$2:$A$78,0)),
"")</f>
        <v>2-B</v>
      </c>
      <c r="J196" s="60">
        <f>_xlfn.IFNA(
INDEX(CA!D$2:D$78,MATCH($E196,CA!$A$2:$A$78,0)),
"")</f>
        <v>2</v>
      </c>
      <c r="K196" s="58" t="str">
        <f>_xlfn.IFNA(
INDEX(CA!E$2:E$78,MATCH($E196,CA!$A$2:$A$78,0)),
"")</f>
        <v>NORTHWEST</v>
      </c>
      <c r="L196" s="15" t="e">
        <v>#VALUE!</v>
      </c>
      <c r="M196" s="15" t="e">
        <v>#VALUE!</v>
      </c>
      <c r="N196" s="15" t="e">
        <v>#VALUE!</v>
      </c>
      <c r="O196" s="15" t="e">
        <v>#VALUE!</v>
      </c>
      <c r="P196" s="15" t="e">
        <v>#VALUE!</v>
      </c>
      <c r="Q196" s="15" t="e">
        <v>#VALUE!</v>
      </c>
      <c r="R196" s="15" t="e">
        <v>#VALUE!</v>
      </c>
      <c r="S196" s="15" t="e">
        <v>#VALUE!</v>
      </c>
      <c r="T196" s="129">
        <v>4.9249823456587537E-2</v>
      </c>
      <c r="U196" s="130" t="e">
        <f t="shared" si="11"/>
        <v>#VALUE!</v>
      </c>
      <c r="V196" s="129">
        <v>0</v>
      </c>
      <c r="W196" s="130" t="e">
        <f t="shared" si="8"/>
        <v>#VALUE!</v>
      </c>
      <c r="X196" s="129">
        <v>0</v>
      </c>
      <c r="Y196" s="130" t="e">
        <f t="shared" si="9"/>
        <v>#VALUE!</v>
      </c>
      <c r="Z196" s="129">
        <v>0</v>
      </c>
      <c r="AA196" s="130" t="e">
        <f t="shared" si="10"/>
        <v>#VALUE!</v>
      </c>
    </row>
    <row r="197" spans="1:27" x14ac:dyDescent="0.3">
      <c r="A197">
        <v>210502</v>
      </c>
      <c r="B197">
        <v>17031210502</v>
      </c>
      <c r="C197">
        <v>17031</v>
      </c>
      <c r="D197">
        <v>2010</v>
      </c>
      <c r="E197">
        <v>21</v>
      </c>
      <c r="F197">
        <v>3723677.0784098199</v>
      </c>
      <c r="G197" s="43">
        <v>0.13356853615737704</v>
      </c>
      <c r="H197" s="58" t="str">
        <f>_xlfn.IFNA(
INDEX(CA!B$2:B$78,MATCH($E197,CA!$A$2:$A$78,0)),
"")</f>
        <v>AVONDALE</v>
      </c>
      <c r="I197" s="60" t="str">
        <f>_xlfn.IFNA(
INDEX(CA!C$2:C$78,MATCH($E197,CA!$A$2:$A$78,0)),
"")</f>
        <v>2-B</v>
      </c>
      <c r="J197" s="60">
        <f>_xlfn.IFNA(
INDEX(CA!D$2:D$78,MATCH($E197,CA!$A$2:$A$78,0)),
"")</f>
        <v>2</v>
      </c>
      <c r="K197" s="58" t="str">
        <f>_xlfn.IFNA(
INDEX(CA!E$2:E$78,MATCH($E197,CA!$A$2:$A$78,0)),
"")</f>
        <v>NORTHWEST</v>
      </c>
      <c r="L197" s="15" t="e">
        <v>#VALUE!</v>
      </c>
      <c r="M197" s="15" t="e">
        <v>#VALUE!</v>
      </c>
      <c r="N197" s="15" t="e">
        <v>#VALUE!</v>
      </c>
      <c r="O197" s="15" t="e">
        <v>#VALUE!</v>
      </c>
      <c r="P197" s="15" t="e">
        <v>#VALUE!</v>
      </c>
      <c r="Q197" s="15" t="e">
        <v>#VALUE!</v>
      </c>
      <c r="R197" s="15" t="e">
        <v>#VALUE!</v>
      </c>
      <c r="S197" s="15" t="e">
        <v>#VALUE!</v>
      </c>
      <c r="T197" s="129">
        <v>0.13356853740495472</v>
      </c>
      <c r="U197" s="130" t="e">
        <f t="shared" si="11"/>
        <v>#VALUE!</v>
      </c>
      <c r="V197" s="129">
        <v>0.13356853740495472</v>
      </c>
      <c r="W197" s="130" t="e">
        <f t="shared" si="8"/>
        <v>#VALUE!</v>
      </c>
      <c r="X197" s="129">
        <v>0.13356853740495472</v>
      </c>
      <c r="Y197" s="130" t="e">
        <f t="shared" si="9"/>
        <v>#VALUE!</v>
      </c>
      <c r="Z197" s="129">
        <v>0.13356853740495472</v>
      </c>
      <c r="AA197" s="130" t="e">
        <f t="shared" si="10"/>
        <v>#VALUE!</v>
      </c>
    </row>
    <row r="198" spans="1:27" x14ac:dyDescent="0.3">
      <c r="A198">
        <v>210700</v>
      </c>
      <c r="B198">
        <v>17031210700</v>
      </c>
      <c r="C198">
        <v>17031</v>
      </c>
      <c r="D198">
        <v>2010</v>
      </c>
      <c r="E198">
        <v>21</v>
      </c>
      <c r="F198">
        <v>5332271.3585854601</v>
      </c>
      <c r="G198" s="43">
        <v>0.19126891638635862</v>
      </c>
      <c r="H198" s="58" t="str">
        <f>_xlfn.IFNA(
INDEX(CA!B$2:B$78,MATCH($E198,CA!$A$2:$A$78,0)),
"")</f>
        <v>AVONDALE</v>
      </c>
      <c r="I198" s="60" t="str">
        <f>_xlfn.IFNA(
INDEX(CA!C$2:C$78,MATCH($E198,CA!$A$2:$A$78,0)),
"")</f>
        <v>2-B</v>
      </c>
      <c r="J198" s="60">
        <f>_xlfn.IFNA(
INDEX(CA!D$2:D$78,MATCH($E198,CA!$A$2:$A$78,0)),
"")</f>
        <v>2</v>
      </c>
      <c r="K198" s="58" t="str">
        <f>_xlfn.IFNA(
INDEX(CA!E$2:E$78,MATCH($E198,CA!$A$2:$A$78,0)),
"")</f>
        <v>NORTHWEST</v>
      </c>
      <c r="L198" s="15" t="e">
        <v>#VALUE!</v>
      </c>
      <c r="M198" s="15" t="e">
        <v>#VALUE!</v>
      </c>
      <c r="N198" s="15" t="e">
        <v>#VALUE!</v>
      </c>
      <c r="O198" s="15" t="e">
        <v>#VALUE!</v>
      </c>
      <c r="P198" s="15" t="e">
        <v>#VALUE!</v>
      </c>
      <c r="Q198" s="15" t="e">
        <v>#VALUE!</v>
      </c>
      <c r="R198" s="15" t="e">
        <v>#VALUE!</v>
      </c>
      <c r="S198" s="15" t="e">
        <v>#VALUE!</v>
      </c>
      <c r="T198" s="129">
        <v>0.1912689177937274</v>
      </c>
      <c r="U198" s="130" t="e">
        <f t="shared" si="11"/>
        <v>#VALUE!</v>
      </c>
      <c r="V198" s="129">
        <v>0.1912689177937274</v>
      </c>
      <c r="W198" s="130" t="e">
        <f t="shared" ref="W198:W261" si="12">(V198/$G198)*$L198</f>
        <v>#VALUE!</v>
      </c>
      <c r="X198" s="129">
        <v>0.1912689177937274</v>
      </c>
      <c r="Y198" s="130" t="e">
        <f t="shared" ref="Y198:Y261" si="13">(X198/$G198)*$L198</f>
        <v>#VALUE!</v>
      </c>
      <c r="Z198" s="129">
        <v>0.1912689177937274</v>
      </c>
      <c r="AA198" s="130" t="e">
        <f t="shared" ref="AA198:AA261" si="14">(Z198/$G198)*$L198</f>
        <v>#VALUE!</v>
      </c>
    </row>
    <row r="199" spans="1:27" x14ac:dyDescent="0.3">
      <c r="A199">
        <v>210900</v>
      </c>
      <c r="B199">
        <v>17031210900</v>
      </c>
      <c r="C199">
        <v>17031</v>
      </c>
      <c r="D199">
        <v>2010</v>
      </c>
      <c r="E199">
        <v>21</v>
      </c>
      <c r="F199">
        <v>6151330.8346332097</v>
      </c>
      <c r="G199" s="43">
        <v>0.22064863244064256</v>
      </c>
      <c r="H199" s="58" t="str">
        <f>_xlfn.IFNA(
INDEX(CA!B$2:B$78,MATCH($E199,CA!$A$2:$A$78,0)),
"")</f>
        <v>AVONDALE</v>
      </c>
      <c r="I199" s="60" t="str">
        <f>_xlfn.IFNA(
INDEX(CA!C$2:C$78,MATCH($E199,CA!$A$2:$A$78,0)),
"")</f>
        <v>2-B</v>
      </c>
      <c r="J199" s="60">
        <f>_xlfn.IFNA(
INDEX(CA!D$2:D$78,MATCH($E199,CA!$A$2:$A$78,0)),
"")</f>
        <v>2</v>
      </c>
      <c r="K199" s="58" t="str">
        <f>_xlfn.IFNA(
INDEX(CA!E$2:E$78,MATCH($E199,CA!$A$2:$A$78,0)),
"")</f>
        <v>NORTHWEST</v>
      </c>
      <c r="L199" s="15" t="e">
        <v>#VALUE!</v>
      </c>
      <c r="M199" s="15" t="e">
        <v>#VALUE!</v>
      </c>
      <c r="N199" s="15" t="e">
        <v>#VALUE!</v>
      </c>
      <c r="O199" s="15" t="e">
        <v>#VALUE!</v>
      </c>
      <c r="P199" s="15" t="e">
        <v>#VALUE!</v>
      </c>
      <c r="Q199" s="15" t="e">
        <v>#VALUE!</v>
      </c>
      <c r="R199" s="15" t="e">
        <v>#VALUE!</v>
      </c>
      <c r="S199" s="15" t="e">
        <v>#VALUE!</v>
      </c>
      <c r="T199" s="129">
        <v>0.22064862727063569</v>
      </c>
      <c r="U199" s="130" t="e">
        <f t="shared" ref="U199:U262" si="15">(T199/$G199)*$L199</f>
        <v>#VALUE!</v>
      </c>
      <c r="V199" s="129">
        <v>0.22064862727063569</v>
      </c>
      <c r="W199" s="130" t="e">
        <f t="shared" si="12"/>
        <v>#VALUE!</v>
      </c>
      <c r="X199" s="129">
        <v>0.22064862727063569</v>
      </c>
      <c r="Y199" s="130" t="e">
        <f t="shared" si="13"/>
        <v>#VALUE!</v>
      </c>
      <c r="Z199" s="129">
        <v>0.22064862727063569</v>
      </c>
      <c r="AA199" s="130" t="e">
        <f t="shared" si="14"/>
        <v>#VALUE!</v>
      </c>
    </row>
    <row r="200" spans="1:27" x14ac:dyDescent="0.3">
      <c r="A200">
        <v>210601</v>
      </c>
      <c r="B200">
        <v>17031210601</v>
      </c>
      <c r="C200">
        <v>17031</v>
      </c>
      <c r="D200">
        <v>2010</v>
      </c>
      <c r="E200">
        <v>21</v>
      </c>
      <c r="F200">
        <v>2957703.27629657</v>
      </c>
      <c r="G200" s="43">
        <v>0.10609300663942586</v>
      </c>
      <c r="H200" s="58" t="str">
        <f>_xlfn.IFNA(
INDEX(CA!B$2:B$78,MATCH($E200,CA!$A$2:$A$78,0)),
"")</f>
        <v>AVONDALE</v>
      </c>
      <c r="I200" s="60" t="str">
        <f>_xlfn.IFNA(
INDEX(CA!C$2:C$78,MATCH($E200,CA!$A$2:$A$78,0)),
"")</f>
        <v>2-B</v>
      </c>
      <c r="J200" s="60">
        <f>_xlfn.IFNA(
INDEX(CA!D$2:D$78,MATCH($E200,CA!$A$2:$A$78,0)),
"")</f>
        <v>2</v>
      </c>
      <c r="K200" s="58" t="str">
        <f>_xlfn.IFNA(
INDEX(CA!E$2:E$78,MATCH($E200,CA!$A$2:$A$78,0)),
"")</f>
        <v>NORTHWEST</v>
      </c>
      <c r="L200" s="15" t="e">
        <v>#VALUE!</v>
      </c>
      <c r="M200" s="15" t="e">
        <v>#VALUE!</v>
      </c>
      <c r="N200" s="15" t="e">
        <v>#VALUE!</v>
      </c>
      <c r="O200" s="15" t="e">
        <v>#VALUE!</v>
      </c>
      <c r="P200" s="15" t="e">
        <v>#VALUE!</v>
      </c>
      <c r="Q200" s="15" t="e">
        <v>#VALUE!</v>
      </c>
      <c r="R200" s="15" t="e">
        <v>#VALUE!</v>
      </c>
      <c r="S200" s="15" t="e">
        <v>#VALUE!</v>
      </c>
      <c r="T200" s="129">
        <v>0.10609300750758113</v>
      </c>
      <c r="U200" s="130" t="e">
        <f t="shared" si="15"/>
        <v>#VALUE!</v>
      </c>
      <c r="V200" s="129">
        <v>0.10609300750758113</v>
      </c>
      <c r="W200" s="130" t="e">
        <f t="shared" si="12"/>
        <v>#VALUE!</v>
      </c>
      <c r="X200" s="129">
        <v>0.10609300750758113</v>
      </c>
      <c r="Y200" s="130" t="e">
        <f t="shared" si="13"/>
        <v>#VALUE!</v>
      </c>
      <c r="Z200" s="129">
        <v>0.10609300750758113</v>
      </c>
      <c r="AA200" s="130" t="e">
        <f t="shared" si="14"/>
        <v>#VALUE!</v>
      </c>
    </row>
    <row r="201" spans="1:27" x14ac:dyDescent="0.3">
      <c r="A201">
        <v>210100</v>
      </c>
      <c r="B201">
        <v>17031210100</v>
      </c>
      <c r="C201">
        <v>17031</v>
      </c>
      <c r="D201">
        <v>2010</v>
      </c>
      <c r="E201">
        <v>21</v>
      </c>
      <c r="F201">
        <v>9198946.6257407404</v>
      </c>
      <c r="G201" s="43">
        <v>0.32996680676583806</v>
      </c>
      <c r="H201" s="58" t="str">
        <f>_xlfn.IFNA(
INDEX(CA!B$2:B$78,MATCH($E201,CA!$A$2:$A$78,0)),
"")</f>
        <v>AVONDALE</v>
      </c>
      <c r="I201" s="60" t="str">
        <f>_xlfn.IFNA(
INDEX(CA!C$2:C$78,MATCH($E201,CA!$A$2:$A$78,0)),
"")</f>
        <v>2-B</v>
      </c>
      <c r="J201" s="60">
        <f>_xlfn.IFNA(
INDEX(CA!D$2:D$78,MATCH($E201,CA!$A$2:$A$78,0)),
"")</f>
        <v>2</v>
      </c>
      <c r="K201" s="58" t="str">
        <f>_xlfn.IFNA(
INDEX(CA!E$2:E$78,MATCH($E201,CA!$A$2:$A$78,0)),
"")</f>
        <v>NORTHWEST</v>
      </c>
      <c r="L201" s="15" t="e">
        <v>#VALUE!</v>
      </c>
      <c r="M201" s="15" t="e">
        <v>#VALUE!</v>
      </c>
      <c r="N201" s="15" t="e">
        <v>#VALUE!</v>
      </c>
      <c r="O201" s="15" t="e">
        <v>#VALUE!</v>
      </c>
      <c r="P201" s="15" t="e">
        <v>#VALUE!</v>
      </c>
      <c r="Q201" s="15" t="e">
        <v>#VALUE!</v>
      </c>
      <c r="R201" s="15" t="e">
        <v>#VALUE!</v>
      </c>
      <c r="S201" s="15" t="e">
        <v>#VALUE!</v>
      </c>
      <c r="T201" s="129">
        <v>0.32996680771152542</v>
      </c>
      <c r="U201" s="130" t="e">
        <f t="shared" si="15"/>
        <v>#VALUE!</v>
      </c>
      <c r="V201" s="129">
        <v>0.32996680771152542</v>
      </c>
      <c r="W201" s="130" t="e">
        <f t="shared" si="12"/>
        <v>#VALUE!</v>
      </c>
      <c r="X201" s="129">
        <v>0.32996680771152542</v>
      </c>
      <c r="Y201" s="130" t="e">
        <f t="shared" si="13"/>
        <v>#VALUE!</v>
      </c>
      <c r="Z201" s="129">
        <v>0.32996680771152542</v>
      </c>
      <c r="AA201" s="130" t="e">
        <f t="shared" si="14"/>
        <v>#VALUE!</v>
      </c>
    </row>
    <row r="202" spans="1:27" x14ac:dyDescent="0.3">
      <c r="A202">
        <v>210400</v>
      </c>
      <c r="B202">
        <v>17031210400</v>
      </c>
      <c r="C202">
        <v>17031</v>
      </c>
      <c r="D202">
        <v>2010</v>
      </c>
      <c r="E202">
        <v>21</v>
      </c>
      <c r="F202">
        <v>4532224.0273695597</v>
      </c>
      <c r="G202" s="43">
        <v>0.16257116718927772</v>
      </c>
      <c r="H202" s="58" t="str">
        <f>_xlfn.IFNA(
INDEX(CA!B$2:B$78,MATCH($E202,CA!$A$2:$A$78,0)),
"")</f>
        <v>AVONDALE</v>
      </c>
      <c r="I202" s="60" t="str">
        <f>_xlfn.IFNA(
INDEX(CA!C$2:C$78,MATCH($E202,CA!$A$2:$A$78,0)),
"")</f>
        <v>2-B</v>
      </c>
      <c r="J202" s="60">
        <f>_xlfn.IFNA(
INDEX(CA!D$2:D$78,MATCH($E202,CA!$A$2:$A$78,0)),
"")</f>
        <v>2</v>
      </c>
      <c r="K202" s="58" t="str">
        <f>_xlfn.IFNA(
INDEX(CA!E$2:E$78,MATCH($E202,CA!$A$2:$A$78,0)),
"")</f>
        <v>NORTHWEST</v>
      </c>
      <c r="L202" s="15" t="e">
        <v>#VALUE!</v>
      </c>
      <c r="M202" s="15" t="e">
        <v>#VALUE!</v>
      </c>
      <c r="N202" s="15" t="e">
        <v>#VALUE!</v>
      </c>
      <c r="O202" s="15" t="e">
        <v>#VALUE!</v>
      </c>
      <c r="P202" s="15" t="e">
        <v>#VALUE!</v>
      </c>
      <c r="Q202" s="15" t="e">
        <v>#VALUE!</v>
      </c>
      <c r="R202" s="15" t="e">
        <v>#VALUE!</v>
      </c>
      <c r="S202" s="15" t="e">
        <v>#VALUE!</v>
      </c>
      <c r="T202" s="129">
        <v>0.16083741795073389</v>
      </c>
      <c r="U202" s="130" t="e">
        <f t="shared" si="15"/>
        <v>#VALUE!</v>
      </c>
      <c r="V202" s="129">
        <v>0.16083741795073389</v>
      </c>
      <c r="W202" s="130" t="e">
        <f t="shared" si="12"/>
        <v>#VALUE!</v>
      </c>
      <c r="X202" s="129">
        <v>0.16083741795073389</v>
      </c>
      <c r="Y202" s="130" t="e">
        <f t="shared" si="13"/>
        <v>#VALUE!</v>
      </c>
      <c r="Z202" s="129">
        <v>0.16083741795073389</v>
      </c>
      <c r="AA202" s="130" t="e">
        <f t="shared" si="14"/>
        <v>#VALUE!</v>
      </c>
    </row>
    <row r="203" spans="1:27" x14ac:dyDescent="0.3">
      <c r="A203">
        <v>210602</v>
      </c>
      <c r="B203">
        <v>17031210602</v>
      </c>
      <c r="C203">
        <v>17031</v>
      </c>
      <c r="D203">
        <v>2010</v>
      </c>
      <c r="E203">
        <v>21</v>
      </c>
      <c r="F203">
        <v>4105886.98956588</v>
      </c>
      <c r="G203" s="43">
        <v>0.1472784302386751</v>
      </c>
      <c r="H203" s="58" t="str">
        <f>_xlfn.IFNA(
INDEX(CA!B$2:B$78,MATCH($E203,CA!$A$2:$A$78,0)),
"")</f>
        <v>AVONDALE</v>
      </c>
      <c r="I203" s="60" t="str">
        <f>_xlfn.IFNA(
INDEX(CA!C$2:C$78,MATCH($E203,CA!$A$2:$A$78,0)),
"")</f>
        <v>2-B</v>
      </c>
      <c r="J203" s="60">
        <f>_xlfn.IFNA(
INDEX(CA!D$2:D$78,MATCH($E203,CA!$A$2:$A$78,0)),
"")</f>
        <v>2</v>
      </c>
      <c r="K203" s="58" t="str">
        <f>_xlfn.IFNA(
INDEX(CA!E$2:E$78,MATCH($E203,CA!$A$2:$A$78,0)),
"")</f>
        <v>NORTHWEST</v>
      </c>
      <c r="L203" s="15" t="e">
        <v>#VALUE!</v>
      </c>
      <c r="M203" s="15" t="e">
        <v>#VALUE!</v>
      </c>
      <c r="N203" s="15" t="e">
        <v>#VALUE!</v>
      </c>
      <c r="O203" s="15" t="e">
        <v>#VALUE!</v>
      </c>
      <c r="P203" s="15" t="e">
        <v>#VALUE!</v>
      </c>
      <c r="Q203" s="15" t="e">
        <v>#VALUE!</v>
      </c>
      <c r="R203" s="15" t="e">
        <v>#VALUE!</v>
      </c>
      <c r="S203" s="15" t="e">
        <v>#VALUE!</v>
      </c>
      <c r="T203" s="129">
        <v>0.14727843114126529</v>
      </c>
      <c r="U203" s="130" t="e">
        <f t="shared" si="15"/>
        <v>#VALUE!</v>
      </c>
      <c r="V203" s="129">
        <v>0.14727843114126529</v>
      </c>
      <c r="W203" s="130" t="e">
        <f t="shared" si="12"/>
        <v>#VALUE!</v>
      </c>
      <c r="X203" s="129">
        <v>0.14727843114126529</v>
      </c>
      <c r="Y203" s="130" t="e">
        <f t="shared" si="13"/>
        <v>#VALUE!</v>
      </c>
      <c r="Z203" s="129">
        <v>0.14727843114126529</v>
      </c>
      <c r="AA203" s="130" t="e">
        <f t="shared" si="14"/>
        <v>#VALUE!</v>
      </c>
    </row>
    <row r="204" spans="1:27" x14ac:dyDescent="0.3">
      <c r="A204">
        <v>210800</v>
      </c>
      <c r="B204">
        <v>17031210800</v>
      </c>
      <c r="C204">
        <v>17031</v>
      </c>
      <c r="D204">
        <v>2010</v>
      </c>
      <c r="E204">
        <v>21</v>
      </c>
      <c r="F204">
        <v>1774424.5019407801</v>
      </c>
      <c r="G204" s="43">
        <v>6.364872094312371E-2</v>
      </c>
      <c r="H204" s="58" t="str">
        <f>_xlfn.IFNA(
INDEX(CA!B$2:B$78,MATCH($E204,CA!$A$2:$A$78,0)),
"")</f>
        <v>AVONDALE</v>
      </c>
      <c r="I204" s="60" t="str">
        <f>_xlfn.IFNA(
INDEX(CA!C$2:C$78,MATCH($E204,CA!$A$2:$A$78,0)),
"")</f>
        <v>2-B</v>
      </c>
      <c r="J204" s="60">
        <f>_xlfn.IFNA(
INDEX(CA!D$2:D$78,MATCH($E204,CA!$A$2:$A$78,0)),
"")</f>
        <v>2</v>
      </c>
      <c r="K204" s="58" t="str">
        <f>_xlfn.IFNA(
INDEX(CA!E$2:E$78,MATCH($E204,CA!$A$2:$A$78,0)),
"")</f>
        <v>NORTHWEST</v>
      </c>
      <c r="L204" s="15" t="e">
        <v>#VALUE!</v>
      </c>
      <c r="M204" s="15" t="e">
        <v>#VALUE!</v>
      </c>
      <c r="N204" s="15" t="e">
        <v>#VALUE!</v>
      </c>
      <c r="O204" s="15" t="e">
        <v>#VALUE!</v>
      </c>
      <c r="P204" s="15" t="e">
        <v>#VALUE!</v>
      </c>
      <c r="Q204" s="15" t="e">
        <v>#VALUE!</v>
      </c>
      <c r="R204" s="15" t="e">
        <v>#VALUE!</v>
      </c>
      <c r="S204" s="15" t="e">
        <v>#VALUE!</v>
      </c>
      <c r="T204" s="129">
        <v>6.3648717900548449E-2</v>
      </c>
      <c r="U204" s="130" t="e">
        <f t="shared" si="15"/>
        <v>#VALUE!</v>
      </c>
      <c r="V204" s="129">
        <v>6.3648717900548449E-2</v>
      </c>
      <c r="W204" s="130" t="e">
        <f t="shared" si="12"/>
        <v>#VALUE!</v>
      </c>
      <c r="X204" s="129">
        <v>6.3648717900548449E-2</v>
      </c>
      <c r="Y204" s="130" t="e">
        <f t="shared" si="13"/>
        <v>#VALUE!</v>
      </c>
      <c r="Z204" s="129">
        <v>6.3648717900548449E-2</v>
      </c>
      <c r="AA204" s="130" t="e">
        <f t="shared" si="14"/>
        <v>#VALUE!</v>
      </c>
    </row>
    <row r="205" spans="1:27" x14ac:dyDescent="0.3">
      <c r="A205">
        <v>831100</v>
      </c>
      <c r="B205">
        <v>17031831100</v>
      </c>
      <c r="C205">
        <v>17031</v>
      </c>
      <c r="D205">
        <v>2010</v>
      </c>
      <c r="E205">
        <v>21</v>
      </c>
      <c r="F205">
        <v>14143812.867406201</v>
      </c>
      <c r="G205" s="43">
        <v>0.50733947670620272</v>
      </c>
      <c r="H205" s="58" t="str">
        <f>_xlfn.IFNA(
INDEX(CA!B$2:B$78,MATCH($E205,CA!$A$2:$A$78,0)),
"")</f>
        <v>AVONDALE</v>
      </c>
      <c r="I205" s="60" t="str">
        <f>_xlfn.IFNA(
INDEX(CA!C$2:C$78,MATCH($E205,CA!$A$2:$A$78,0)),
"")</f>
        <v>2-B</v>
      </c>
      <c r="J205" s="60">
        <f>_xlfn.IFNA(
INDEX(CA!D$2:D$78,MATCH($E205,CA!$A$2:$A$78,0)),
"")</f>
        <v>2</v>
      </c>
      <c r="K205" s="58" t="str">
        <f>_xlfn.IFNA(
INDEX(CA!E$2:E$78,MATCH($E205,CA!$A$2:$A$78,0)),
"")</f>
        <v>NORTHWEST</v>
      </c>
      <c r="L205" s="15" t="e">
        <v>#VALUE!</v>
      </c>
      <c r="M205" s="15" t="e">
        <v>#VALUE!</v>
      </c>
      <c r="N205" s="15" t="e">
        <v>#VALUE!</v>
      </c>
      <c r="O205" s="15" t="e">
        <v>#VALUE!</v>
      </c>
      <c r="P205" s="15" t="e">
        <v>#VALUE!</v>
      </c>
      <c r="Q205" s="15" t="e">
        <v>#VALUE!</v>
      </c>
      <c r="R205" s="15" t="e">
        <v>#VALUE!</v>
      </c>
      <c r="S205" s="15" t="e">
        <v>#VALUE!</v>
      </c>
      <c r="T205" s="129">
        <v>0.3020941059129143</v>
      </c>
      <c r="U205" s="130" t="e">
        <f t="shared" si="15"/>
        <v>#VALUE!</v>
      </c>
      <c r="V205" s="129">
        <v>0.3020941059129143</v>
      </c>
      <c r="W205" s="130" t="e">
        <f t="shared" si="12"/>
        <v>#VALUE!</v>
      </c>
      <c r="X205" s="129">
        <v>0.3020941059129143</v>
      </c>
      <c r="Y205" s="130" t="e">
        <f t="shared" si="13"/>
        <v>#VALUE!</v>
      </c>
      <c r="Z205" s="129">
        <v>0.3020941059129143</v>
      </c>
      <c r="AA205" s="130" t="e">
        <f t="shared" si="14"/>
        <v>#VALUE!</v>
      </c>
    </row>
    <row r="206" spans="1:27" x14ac:dyDescent="0.3">
      <c r="A206">
        <v>210501</v>
      </c>
      <c r="B206">
        <v>17031210501</v>
      </c>
      <c r="C206">
        <v>17031</v>
      </c>
      <c r="D206">
        <v>2010</v>
      </c>
      <c r="E206">
        <v>21</v>
      </c>
      <c r="F206">
        <v>3370317.9130615899</v>
      </c>
      <c r="G206" s="43">
        <v>0.1208935201827074</v>
      </c>
      <c r="H206" s="58" t="str">
        <f>_xlfn.IFNA(
INDEX(CA!B$2:B$78,MATCH($E206,CA!$A$2:$A$78,0)),
"")</f>
        <v>AVONDALE</v>
      </c>
      <c r="I206" s="60" t="str">
        <f>_xlfn.IFNA(
INDEX(CA!C$2:C$78,MATCH($E206,CA!$A$2:$A$78,0)),
"")</f>
        <v>2-B</v>
      </c>
      <c r="J206" s="60">
        <f>_xlfn.IFNA(
INDEX(CA!D$2:D$78,MATCH($E206,CA!$A$2:$A$78,0)),
"")</f>
        <v>2</v>
      </c>
      <c r="K206" s="58" t="str">
        <f>_xlfn.IFNA(
INDEX(CA!E$2:E$78,MATCH($E206,CA!$A$2:$A$78,0)),
"")</f>
        <v>NORTHWEST</v>
      </c>
      <c r="L206" s="15" t="e">
        <v>#VALUE!</v>
      </c>
      <c r="M206" s="15" t="e">
        <v>#VALUE!</v>
      </c>
      <c r="N206" s="15" t="e">
        <v>#VALUE!</v>
      </c>
      <c r="O206" s="15" t="e">
        <v>#VALUE!</v>
      </c>
      <c r="P206" s="15" t="e">
        <v>#VALUE!</v>
      </c>
      <c r="Q206" s="15" t="e">
        <v>#VALUE!</v>
      </c>
      <c r="R206" s="15" t="e">
        <v>#VALUE!</v>
      </c>
      <c r="S206" s="15" t="e">
        <v>#VALUE!</v>
      </c>
      <c r="T206" s="129">
        <v>0.11879184460818627</v>
      </c>
      <c r="U206" s="130" t="e">
        <f t="shared" si="15"/>
        <v>#VALUE!</v>
      </c>
      <c r="V206" s="129">
        <v>0.11879184460818627</v>
      </c>
      <c r="W206" s="130" t="e">
        <f t="shared" si="12"/>
        <v>#VALUE!</v>
      </c>
      <c r="X206" s="129">
        <v>0.11879184460818627</v>
      </c>
      <c r="Y206" s="130" t="e">
        <f t="shared" si="13"/>
        <v>#VALUE!</v>
      </c>
      <c r="Z206" s="129">
        <v>0.11879184460818627</v>
      </c>
      <c r="AA206" s="130" t="e">
        <f t="shared" si="14"/>
        <v>#VALUE!</v>
      </c>
    </row>
    <row r="207" spans="1:27" x14ac:dyDescent="0.3">
      <c r="A207">
        <v>220602</v>
      </c>
      <c r="B207">
        <v>17031220602</v>
      </c>
      <c r="C207">
        <v>17031</v>
      </c>
      <c r="D207">
        <v>2010</v>
      </c>
      <c r="E207">
        <v>22</v>
      </c>
      <c r="F207">
        <v>5002004.1929226397</v>
      </c>
      <c r="G207" s="43">
        <v>0.17942221192473887</v>
      </c>
      <c r="H207" s="58" t="str">
        <f>_xlfn.IFNA(
INDEX(CA!B$2:B$78,MATCH($E207,CA!$A$2:$A$78,0)),
"")</f>
        <v>LOGAN SQUARE</v>
      </c>
      <c r="I207" s="60" t="str">
        <f>_xlfn.IFNA(
INDEX(CA!C$2:C$78,MATCH($E207,CA!$A$2:$A$78,0)),
"")</f>
        <v>2-B</v>
      </c>
      <c r="J207" s="60">
        <f>_xlfn.IFNA(
INDEX(CA!D$2:D$78,MATCH($E207,CA!$A$2:$A$78,0)),
"")</f>
        <v>2</v>
      </c>
      <c r="K207" s="58" t="str">
        <f>_xlfn.IFNA(
INDEX(CA!E$2:E$78,MATCH($E207,CA!$A$2:$A$78,0)),
"")</f>
        <v>NORTHWEST</v>
      </c>
      <c r="L207" s="15" t="e">
        <v>#VALUE!</v>
      </c>
      <c r="M207" s="15" t="e">
        <v>#VALUE!</v>
      </c>
      <c r="N207" s="15" t="e">
        <v>#VALUE!</v>
      </c>
      <c r="O207" s="15" t="e">
        <v>#VALUE!</v>
      </c>
      <c r="P207" s="15" t="e">
        <v>#VALUE!</v>
      </c>
      <c r="Q207" s="15" t="e">
        <v>#VALUE!</v>
      </c>
      <c r="R207" s="15" t="e">
        <v>#VALUE!</v>
      </c>
      <c r="S207" s="15" t="e">
        <v>#VALUE!</v>
      </c>
      <c r="T207" s="129">
        <v>0.17942220734675268</v>
      </c>
      <c r="U207" s="130" t="e">
        <f t="shared" si="15"/>
        <v>#VALUE!</v>
      </c>
      <c r="V207" s="129">
        <v>0.17942220734675268</v>
      </c>
      <c r="W207" s="130" t="e">
        <f t="shared" si="12"/>
        <v>#VALUE!</v>
      </c>
      <c r="X207" s="129">
        <v>0.17942220734675268</v>
      </c>
      <c r="Y207" s="130" t="e">
        <f t="shared" si="13"/>
        <v>#VALUE!</v>
      </c>
      <c r="Z207" s="129">
        <v>0.17942220734675268</v>
      </c>
      <c r="AA207" s="130" t="e">
        <f t="shared" si="14"/>
        <v>#VALUE!</v>
      </c>
    </row>
    <row r="208" spans="1:27" x14ac:dyDescent="0.3">
      <c r="A208">
        <v>220701</v>
      </c>
      <c r="B208">
        <v>17031220701</v>
      </c>
      <c r="C208">
        <v>17031</v>
      </c>
      <c r="D208">
        <v>2010</v>
      </c>
      <c r="E208">
        <v>22</v>
      </c>
      <c r="F208">
        <v>2866951.1391349901</v>
      </c>
      <c r="G208" s="43">
        <v>0.10283772164596929</v>
      </c>
      <c r="H208" s="58" t="str">
        <f>_xlfn.IFNA(
INDEX(CA!B$2:B$78,MATCH($E208,CA!$A$2:$A$78,0)),
"")</f>
        <v>LOGAN SQUARE</v>
      </c>
      <c r="I208" s="60" t="str">
        <f>_xlfn.IFNA(
INDEX(CA!C$2:C$78,MATCH($E208,CA!$A$2:$A$78,0)),
"")</f>
        <v>2-B</v>
      </c>
      <c r="J208" s="60">
        <f>_xlfn.IFNA(
INDEX(CA!D$2:D$78,MATCH($E208,CA!$A$2:$A$78,0)),
"")</f>
        <v>2</v>
      </c>
      <c r="K208" s="58" t="str">
        <f>_xlfn.IFNA(
INDEX(CA!E$2:E$78,MATCH($E208,CA!$A$2:$A$78,0)),
"")</f>
        <v>NORTHWEST</v>
      </c>
      <c r="L208" s="15" t="e">
        <v>#VALUE!</v>
      </c>
      <c r="M208" s="15" t="e">
        <v>#VALUE!</v>
      </c>
      <c r="N208" s="15" t="e">
        <v>#VALUE!</v>
      </c>
      <c r="O208" s="15" t="e">
        <v>#VALUE!</v>
      </c>
      <c r="P208" s="15" t="e">
        <v>#VALUE!</v>
      </c>
      <c r="Q208" s="15" t="e">
        <v>#VALUE!</v>
      </c>
      <c r="R208" s="15" t="e">
        <v>#VALUE!</v>
      </c>
      <c r="S208" s="15" t="e">
        <v>#VALUE!</v>
      </c>
      <c r="T208" s="129">
        <v>0.10283772123610106</v>
      </c>
      <c r="U208" s="130" t="e">
        <f t="shared" si="15"/>
        <v>#VALUE!</v>
      </c>
      <c r="V208" s="129">
        <v>0.10087937497653202</v>
      </c>
      <c r="W208" s="130" t="e">
        <f t="shared" si="12"/>
        <v>#VALUE!</v>
      </c>
      <c r="X208" s="129">
        <v>0.10087937497653202</v>
      </c>
      <c r="Y208" s="130" t="e">
        <f t="shared" si="13"/>
        <v>#VALUE!</v>
      </c>
      <c r="Z208" s="129">
        <v>0.10087937497653202</v>
      </c>
      <c r="AA208" s="130" t="e">
        <f t="shared" si="14"/>
        <v>#VALUE!</v>
      </c>
    </row>
    <row r="209" spans="1:27" x14ac:dyDescent="0.3">
      <c r="A209">
        <v>222800</v>
      </c>
      <c r="B209">
        <v>17031222800</v>
      </c>
      <c r="C209">
        <v>17031</v>
      </c>
      <c r="D209">
        <v>2010</v>
      </c>
      <c r="E209">
        <v>22</v>
      </c>
      <c r="F209">
        <v>1198793.9370174001</v>
      </c>
      <c r="G209" s="43">
        <v>4.3000815578275654E-2</v>
      </c>
      <c r="H209" s="58" t="str">
        <f>_xlfn.IFNA(
INDEX(CA!B$2:B$78,MATCH($E209,CA!$A$2:$A$78,0)),
"")</f>
        <v>LOGAN SQUARE</v>
      </c>
      <c r="I209" s="60" t="str">
        <f>_xlfn.IFNA(
INDEX(CA!C$2:C$78,MATCH($E209,CA!$A$2:$A$78,0)),
"")</f>
        <v>2-B</v>
      </c>
      <c r="J209" s="60">
        <f>_xlfn.IFNA(
INDEX(CA!D$2:D$78,MATCH($E209,CA!$A$2:$A$78,0)),
"")</f>
        <v>2</v>
      </c>
      <c r="K209" s="58" t="str">
        <f>_xlfn.IFNA(
INDEX(CA!E$2:E$78,MATCH($E209,CA!$A$2:$A$78,0)),
"")</f>
        <v>NORTHWEST</v>
      </c>
      <c r="L209" s="15" t="e">
        <v>#VALUE!</v>
      </c>
      <c r="M209" s="15" t="e">
        <v>#VALUE!</v>
      </c>
      <c r="N209" s="15" t="e">
        <v>#VALUE!</v>
      </c>
      <c r="O209" s="15" t="e">
        <v>#VALUE!</v>
      </c>
      <c r="P209" s="15" t="e">
        <v>#VALUE!</v>
      </c>
      <c r="Q209" s="15" t="e">
        <v>#VALUE!</v>
      </c>
      <c r="R209" s="15" t="e">
        <v>#VALUE!</v>
      </c>
      <c r="S209" s="15" t="e">
        <v>#VALUE!</v>
      </c>
      <c r="T209" s="129">
        <v>4.3000815917266053E-2</v>
      </c>
      <c r="U209" s="130" t="e">
        <f t="shared" si="15"/>
        <v>#VALUE!</v>
      </c>
      <c r="V209" s="129">
        <v>4.3000815917266053E-2</v>
      </c>
      <c r="W209" s="130" t="e">
        <f t="shared" si="12"/>
        <v>#VALUE!</v>
      </c>
      <c r="X209" s="129">
        <v>4.3000815917266053E-2</v>
      </c>
      <c r="Y209" s="130" t="e">
        <f t="shared" si="13"/>
        <v>#VALUE!</v>
      </c>
      <c r="Z209" s="129">
        <v>4.3000815917266053E-2</v>
      </c>
      <c r="AA209" s="130" t="e">
        <f t="shared" si="14"/>
        <v>#VALUE!</v>
      </c>
    </row>
    <row r="210" spans="1:27" x14ac:dyDescent="0.3">
      <c r="A210">
        <v>221100</v>
      </c>
      <c r="B210">
        <v>17031221100</v>
      </c>
      <c r="C210">
        <v>17031</v>
      </c>
      <c r="D210">
        <v>2010</v>
      </c>
      <c r="E210">
        <v>22</v>
      </c>
      <c r="F210">
        <v>4739646.3209417099</v>
      </c>
      <c r="G210" s="43">
        <v>0.17001141819264054</v>
      </c>
      <c r="H210" s="58" t="str">
        <f>_xlfn.IFNA(
INDEX(CA!B$2:B$78,MATCH($E210,CA!$A$2:$A$78,0)),
"")</f>
        <v>LOGAN SQUARE</v>
      </c>
      <c r="I210" s="60" t="str">
        <f>_xlfn.IFNA(
INDEX(CA!C$2:C$78,MATCH($E210,CA!$A$2:$A$78,0)),
"")</f>
        <v>2-B</v>
      </c>
      <c r="J210" s="60">
        <f>_xlfn.IFNA(
INDEX(CA!D$2:D$78,MATCH($E210,CA!$A$2:$A$78,0)),
"")</f>
        <v>2</v>
      </c>
      <c r="K210" s="58" t="str">
        <f>_xlfn.IFNA(
INDEX(CA!E$2:E$78,MATCH($E210,CA!$A$2:$A$78,0)),
"")</f>
        <v>NORTHWEST</v>
      </c>
      <c r="L210" s="15" t="e">
        <v>#VALUE!</v>
      </c>
      <c r="M210" s="15" t="e">
        <v>#VALUE!</v>
      </c>
      <c r="N210" s="15" t="e">
        <v>#VALUE!</v>
      </c>
      <c r="O210" s="15" t="e">
        <v>#VALUE!</v>
      </c>
      <c r="P210" s="15" t="e">
        <v>#VALUE!</v>
      </c>
      <c r="Q210" s="15" t="e">
        <v>#VALUE!</v>
      </c>
      <c r="R210" s="15" t="e">
        <v>#VALUE!</v>
      </c>
      <c r="S210" s="15" t="e">
        <v>#VALUE!</v>
      </c>
      <c r="T210" s="129">
        <v>0.17001142045867734</v>
      </c>
      <c r="U210" s="130" t="e">
        <f t="shared" si="15"/>
        <v>#VALUE!</v>
      </c>
      <c r="V210" s="129">
        <v>0.17001142045867734</v>
      </c>
      <c r="W210" s="130" t="e">
        <f t="shared" si="12"/>
        <v>#VALUE!</v>
      </c>
      <c r="X210" s="129">
        <v>0.17001142045867734</v>
      </c>
      <c r="Y210" s="130" t="e">
        <f t="shared" si="13"/>
        <v>#VALUE!</v>
      </c>
      <c r="Z210" s="129">
        <v>0.17001142045867734</v>
      </c>
      <c r="AA210" s="130" t="e">
        <f t="shared" si="14"/>
        <v>#VALUE!</v>
      </c>
    </row>
    <row r="211" spans="1:27" x14ac:dyDescent="0.3">
      <c r="A211">
        <v>832300</v>
      </c>
      <c r="B211">
        <v>17031832300</v>
      </c>
      <c r="C211">
        <v>17031</v>
      </c>
      <c r="D211">
        <v>2010</v>
      </c>
      <c r="E211">
        <v>22</v>
      </c>
      <c r="F211">
        <v>9103247.4130190108</v>
      </c>
      <c r="G211" s="43">
        <v>0.32653406985404509</v>
      </c>
      <c r="H211" s="58" t="str">
        <f>_xlfn.IFNA(
INDEX(CA!B$2:B$78,MATCH($E211,CA!$A$2:$A$78,0)),
"")</f>
        <v>LOGAN SQUARE</v>
      </c>
      <c r="I211" s="60" t="str">
        <f>_xlfn.IFNA(
INDEX(CA!C$2:C$78,MATCH($E211,CA!$A$2:$A$78,0)),
"")</f>
        <v>2-B</v>
      </c>
      <c r="J211" s="60">
        <f>_xlfn.IFNA(
INDEX(CA!D$2:D$78,MATCH($E211,CA!$A$2:$A$78,0)),
"")</f>
        <v>2</v>
      </c>
      <c r="K211" s="58" t="str">
        <f>_xlfn.IFNA(
INDEX(CA!E$2:E$78,MATCH($E211,CA!$A$2:$A$78,0)),
"")</f>
        <v>NORTHWEST</v>
      </c>
      <c r="L211" s="15" t="e">
        <v>#VALUE!</v>
      </c>
      <c r="M211" s="15" t="e">
        <v>#VALUE!</v>
      </c>
      <c r="N211" s="15" t="e">
        <v>#VALUE!</v>
      </c>
      <c r="O211" s="15" t="e">
        <v>#VALUE!</v>
      </c>
      <c r="P211" s="15" t="e">
        <v>#VALUE!</v>
      </c>
      <c r="Q211" s="15" t="e">
        <v>#VALUE!</v>
      </c>
      <c r="R211" s="15" t="e">
        <v>#VALUE!</v>
      </c>
      <c r="S211" s="15" t="e">
        <v>#VALUE!</v>
      </c>
      <c r="T211" s="129">
        <v>0.32653406857545952</v>
      </c>
      <c r="U211" s="130" t="e">
        <f t="shared" si="15"/>
        <v>#VALUE!</v>
      </c>
      <c r="V211" s="129">
        <v>0.32653406857545952</v>
      </c>
      <c r="W211" s="130" t="e">
        <f t="shared" si="12"/>
        <v>#VALUE!</v>
      </c>
      <c r="X211" s="129">
        <v>0.32653406857545952</v>
      </c>
      <c r="Y211" s="130" t="e">
        <f t="shared" si="13"/>
        <v>#VALUE!</v>
      </c>
      <c r="Z211" s="129">
        <v>0.32653406857545952</v>
      </c>
      <c r="AA211" s="130" t="e">
        <f t="shared" si="14"/>
        <v>#VALUE!</v>
      </c>
    </row>
    <row r="212" spans="1:27" x14ac:dyDescent="0.3">
      <c r="A212">
        <v>832400</v>
      </c>
      <c r="B212">
        <v>17031832400</v>
      </c>
      <c r="C212">
        <v>17031</v>
      </c>
      <c r="D212">
        <v>2010</v>
      </c>
      <c r="E212">
        <v>22</v>
      </c>
      <c r="F212">
        <v>3477517.91618879</v>
      </c>
      <c r="G212" s="43">
        <v>0.1247387911856057</v>
      </c>
      <c r="H212" s="58" t="str">
        <f>_xlfn.IFNA(
INDEX(CA!B$2:B$78,MATCH($E212,CA!$A$2:$A$78,0)),
"")</f>
        <v>LOGAN SQUARE</v>
      </c>
      <c r="I212" s="60" t="str">
        <f>_xlfn.IFNA(
INDEX(CA!C$2:C$78,MATCH($E212,CA!$A$2:$A$78,0)),
"")</f>
        <v>2-B</v>
      </c>
      <c r="J212" s="60">
        <f>_xlfn.IFNA(
INDEX(CA!D$2:D$78,MATCH($E212,CA!$A$2:$A$78,0)),
"")</f>
        <v>2</v>
      </c>
      <c r="K212" s="58" t="str">
        <f>_xlfn.IFNA(
INDEX(CA!E$2:E$78,MATCH($E212,CA!$A$2:$A$78,0)),
"")</f>
        <v>NORTHWEST</v>
      </c>
      <c r="L212" s="15" t="e">
        <v>#VALUE!</v>
      </c>
      <c r="M212" s="15" t="e">
        <v>#VALUE!</v>
      </c>
      <c r="N212" s="15" t="e">
        <v>#VALUE!</v>
      </c>
      <c r="O212" s="15" t="e">
        <v>#VALUE!</v>
      </c>
      <c r="P212" s="15" t="e">
        <v>#VALUE!</v>
      </c>
      <c r="Q212" s="15" t="e">
        <v>#VALUE!</v>
      </c>
      <c r="R212" s="15" t="e">
        <v>#VALUE!</v>
      </c>
      <c r="S212" s="15" t="e">
        <v>#VALUE!</v>
      </c>
      <c r="T212" s="129">
        <v>0.12473878987655748</v>
      </c>
      <c r="U212" s="130" t="e">
        <f t="shared" si="15"/>
        <v>#VALUE!</v>
      </c>
      <c r="V212" s="129">
        <v>0.12473878987655748</v>
      </c>
      <c r="W212" s="130" t="e">
        <f t="shared" si="12"/>
        <v>#VALUE!</v>
      </c>
      <c r="X212" s="129">
        <v>0.12473878987655748</v>
      </c>
      <c r="Y212" s="130" t="e">
        <f t="shared" si="13"/>
        <v>#VALUE!</v>
      </c>
      <c r="Z212" s="129">
        <v>0.12473878987655748</v>
      </c>
      <c r="AA212" s="130" t="e">
        <f t="shared" si="14"/>
        <v>#VALUE!</v>
      </c>
    </row>
    <row r="213" spans="1:27" x14ac:dyDescent="0.3">
      <c r="A213">
        <v>830900</v>
      </c>
      <c r="B213">
        <v>17031830900</v>
      </c>
      <c r="C213">
        <v>17031</v>
      </c>
      <c r="D213">
        <v>2010</v>
      </c>
      <c r="E213">
        <v>22</v>
      </c>
      <c r="F213">
        <v>11171752.2743068</v>
      </c>
      <c r="G213" s="43">
        <v>0.40073147219018307</v>
      </c>
      <c r="H213" s="58" t="str">
        <f>_xlfn.IFNA(
INDEX(CA!B$2:B$78,MATCH($E213,CA!$A$2:$A$78,0)),
"")</f>
        <v>LOGAN SQUARE</v>
      </c>
      <c r="I213" s="60" t="str">
        <f>_xlfn.IFNA(
INDEX(CA!C$2:C$78,MATCH($E213,CA!$A$2:$A$78,0)),
"")</f>
        <v>2-B</v>
      </c>
      <c r="J213" s="60">
        <f>_xlfn.IFNA(
INDEX(CA!D$2:D$78,MATCH($E213,CA!$A$2:$A$78,0)),
"")</f>
        <v>2</v>
      </c>
      <c r="K213" s="58" t="str">
        <f>_xlfn.IFNA(
INDEX(CA!E$2:E$78,MATCH($E213,CA!$A$2:$A$78,0)),
"")</f>
        <v>NORTHWEST</v>
      </c>
      <c r="L213" s="15" t="e">
        <v>#VALUE!</v>
      </c>
      <c r="M213" s="15" t="e">
        <v>#VALUE!</v>
      </c>
      <c r="N213" s="15" t="e">
        <v>#VALUE!</v>
      </c>
      <c r="O213" s="15" t="e">
        <v>#VALUE!</v>
      </c>
      <c r="P213" s="15" t="e">
        <v>#VALUE!</v>
      </c>
      <c r="Q213" s="15" t="e">
        <v>#VALUE!</v>
      </c>
      <c r="R213" s="15" t="e">
        <v>#VALUE!</v>
      </c>
      <c r="S213" s="15" t="e">
        <v>#VALUE!</v>
      </c>
      <c r="T213" s="129">
        <v>0.40073148381282997</v>
      </c>
      <c r="U213" s="130" t="e">
        <f t="shared" si="15"/>
        <v>#VALUE!</v>
      </c>
      <c r="V213" s="129">
        <v>0.40073148381282997</v>
      </c>
      <c r="W213" s="130" t="e">
        <f t="shared" si="12"/>
        <v>#VALUE!</v>
      </c>
      <c r="X213" s="129">
        <v>0.40073148381282997</v>
      </c>
      <c r="Y213" s="130" t="e">
        <f t="shared" si="13"/>
        <v>#VALUE!</v>
      </c>
      <c r="Z213" s="129">
        <v>0.40073148381282997</v>
      </c>
      <c r="AA213" s="130" t="e">
        <f t="shared" si="14"/>
        <v>#VALUE!</v>
      </c>
    </row>
    <row r="214" spans="1:27" x14ac:dyDescent="0.3">
      <c r="A214">
        <v>221400</v>
      </c>
      <c r="B214">
        <v>17031221400</v>
      </c>
      <c r="C214">
        <v>17031</v>
      </c>
      <c r="D214">
        <v>2010</v>
      </c>
      <c r="E214">
        <v>22</v>
      </c>
      <c r="F214">
        <v>3821881.6391162202</v>
      </c>
      <c r="G214" s="43">
        <v>0.13709114006242182</v>
      </c>
      <c r="H214" s="58" t="str">
        <f>_xlfn.IFNA(
INDEX(CA!B$2:B$78,MATCH($E214,CA!$A$2:$A$78,0)),
"")</f>
        <v>LOGAN SQUARE</v>
      </c>
      <c r="I214" s="60" t="str">
        <f>_xlfn.IFNA(
INDEX(CA!C$2:C$78,MATCH($E214,CA!$A$2:$A$78,0)),
"")</f>
        <v>2-B</v>
      </c>
      <c r="J214" s="60">
        <f>_xlfn.IFNA(
INDEX(CA!D$2:D$78,MATCH($E214,CA!$A$2:$A$78,0)),
"")</f>
        <v>2</v>
      </c>
      <c r="K214" s="58" t="str">
        <f>_xlfn.IFNA(
INDEX(CA!E$2:E$78,MATCH($E214,CA!$A$2:$A$78,0)),
"")</f>
        <v>NORTHWEST</v>
      </c>
      <c r="L214" s="15" t="e">
        <v>#VALUE!</v>
      </c>
      <c r="M214" s="15" t="e">
        <v>#VALUE!</v>
      </c>
      <c r="N214" s="15" t="e">
        <v>#VALUE!</v>
      </c>
      <c r="O214" s="15" t="e">
        <v>#VALUE!</v>
      </c>
      <c r="P214" s="15" t="e">
        <v>#VALUE!</v>
      </c>
      <c r="Q214" s="15" t="e">
        <v>#VALUE!</v>
      </c>
      <c r="R214" s="15" t="e">
        <v>#VALUE!</v>
      </c>
      <c r="S214" s="15" t="e">
        <v>#VALUE!</v>
      </c>
      <c r="T214" s="129">
        <v>0.13709114116609239</v>
      </c>
      <c r="U214" s="130" t="e">
        <f t="shared" si="15"/>
        <v>#VALUE!</v>
      </c>
      <c r="V214" s="129">
        <v>0.13709114116609239</v>
      </c>
      <c r="W214" s="130" t="e">
        <f t="shared" si="12"/>
        <v>#VALUE!</v>
      </c>
      <c r="X214" s="129">
        <v>0.13709114116609239</v>
      </c>
      <c r="Y214" s="130" t="e">
        <f t="shared" si="13"/>
        <v>#VALUE!</v>
      </c>
      <c r="Z214" s="129">
        <v>0.13709114116609239</v>
      </c>
      <c r="AA214" s="130" t="e">
        <f t="shared" si="14"/>
        <v>#VALUE!</v>
      </c>
    </row>
    <row r="215" spans="1:27" x14ac:dyDescent="0.3">
      <c r="A215">
        <v>220400</v>
      </c>
      <c r="B215">
        <v>17031220400</v>
      </c>
      <c r="C215">
        <v>17031</v>
      </c>
      <c r="D215">
        <v>2010</v>
      </c>
      <c r="E215">
        <v>22</v>
      </c>
      <c r="F215">
        <v>3547318.5701633198</v>
      </c>
      <c r="G215" s="43">
        <v>0.12724254513039915</v>
      </c>
      <c r="H215" s="58" t="str">
        <f>_xlfn.IFNA(
INDEX(CA!B$2:B$78,MATCH($E215,CA!$A$2:$A$78,0)),
"")</f>
        <v>LOGAN SQUARE</v>
      </c>
      <c r="I215" s="60" t="str">
        <f>_xlfn.IFNA(
INDEX(CA!C$2:C$78,MATCH($E215,CA!$A$2:$A$78,0)),
"")</f>
        <v>2-B</v>
      </c>
      <c r="J215" s="60">
        <f>_xlfn.IFNA(
INDEX(CA!D$2:D$78,MATCH($E215,CA!$A$2:$A$78,0)),
"")</f>
        <v>2</v>
      </c>
      <c r="K215" s="58" t="str">
        <f>_xlfn.IFNA(
INDEX(CA!E$2:E$78,MATCH($E215,CA!$A$2:$A$78,0)),
"")</f>
        <v>NORTHWEST</v>
      </c>
      <c r="L215" s="15" t="e">
        <v>#VALUE!</v>
      </c>
      <c r="M215" s="15" t="e">
        <v>#VALUE!</v>
      </c>
      <c r="N215" s="15" t="e">
        <v>#VALUE!</v>
      </c>
      <c r="O215" s="15" t="e">
        <v>#VALUE!</v>
      </c>
      <c r="P215" s="15" t="e">
        <v>#VALUE!</v>
      </c>
      <c r="Q215" s="15" t="e">
        <v>#VALUE!</v>
      </c>
      <c r="R215" s="15" t="e">
        <v>#VALUE!</v>
      </c>
      <c r="S215" s="15" t="e">
        <v>#VALUE!</v>
      </c>
      <c r="T215" s="129">
        <v>0.12724254546551919</v>
      </c>
      <c r="U215" s="130" t="e">
        <f t="shared" si="15"/>
        <v>#VALUE!</v>
      </c>
      <c r="V215" s="129">
        <v>0.12724254546551919</v>
      </c>
      <c r="W215" s="130" t="e">
        <f t="shared" si="12"/>
        <v>#VALUE!</v>
      </c>
      <c r="X215" s="129">
        <v>0.12724254546551919</v>
      </c>
      <c r="Y215" s="130" t="e">
        <f t="shared" si="13"/>
        <v>#VALUE!</v>
      </c>
      <c r="Z215" s="129">
        <v>0.12724254546551919</v>
      </c>
      <c r="AA215" s="130" t="e">
        <f t="shared" si="14"/>
        <v>#VALUE!</v>
      </c>
    </row>
    <row r="216" spans="1:27" x14ac:dyDescent="0.3">
      <c r="A216">
        <v>221600</v>
      </c>
      <c r="B216">
        <v>17031221600</v>
      </c>
      <c r="C216">
        <v>17031</v>
      </c>
      <c r="D216">
        <v>2010</v>
      </c>
      <c r="E216">
        <v>22</v>
      </c>
      <c r="F216">
        <v>3553517.1306062699</v>
      </c>
      <c r="G216" s="43">
        <v>0.127464887891926</v>
      </c>
      <c r="H216" s="58" t="str">
        <f>_xlfn.IFNA(
INDEX(CA!B$2:B$78,MATCH($E216,CA!$A$2:$A$78,0)),
"")</f>
        <v>LOGAN SQUARE</v>
      </c>
      <c r="I216" s="60" t="str">
        <f>_xlfn.IFNA(
INDEX(CA!C$2:C$78,MATCH($E216,CA!$A$2:$A$78,0)),
"")</f>
        <v>2-B</v>
      </c>
      <c r="J216" s="60">
        <f>_xlfn.IFNA(
INDEX(CA!D$2:D$78,MATCH($E216,CA!$A$2:$A$78,0)),
"")</f>
        <v>2</v>
      </c>
      <c r="K216" s="58" t="str">
        <f>_xlfn.IFNA(
INDEX(CA!E$2:E$78,MATCH($E216,CA!$A$2:$A$78,0)),
"")</f>
        <v>NORTHWEST</v>
      </c>
      <c r="L216" s="15" t="e">
        <v>#VALUE!</v>
      </c>
      <c r="M216" s="15" t="e">
        <v>#VALUE!</v>
      </c>
      <c r="N216" s="15" t="e">
        <v>#VALUE!</v>
      </c>
      <c r="O216" s="15" t="e">
        <v>#VALUE!</v>
      </c>
      <c r="P216" s="15" t="e">
        <v>#VALUE!</v>
      </c>
      <c r="Q216" s="15" t="e">
        <v>#VALUE!</v>
      </c>
      <c r="R216" s="15" t="e">
        <v>#VALUE!</v>
      </c>
      <c r="S216" s="15" t="e">
        <v>#VALUE!</v>
      </c>
      <c r="T216" s="129">
        <v>0.12746488964994548</v>
      </c>
      <c r="U216" s="130" t="e">
        <f t="shared" si="15"/>
        <v>#VALUE!</v>
      </c>
      <c r="V216" s="129">
        <v>0.12746488964994548</v>
      </c>
      <c r="W216" s="130" t="e">
        <f t="shared" si="12"/>
        <v>#VALUE!</v>
      </c>
      <c r="X216" s="129">
        <v>0.12746488964994548</v>
      </c>
      <c r="Y216" s="130" t="e">
        <f t="shared" si="13"/>
        <v>#VALUE!</v>
      </c>
      <c r="Z216" s="129">
        <v>0.12746488964994548</v>
      </c>
      <c r="AA216" s="130" t="e">
        <f t="shared" si="14"/>
        <v>#VALUE!</v>
      </c>
    </row>
    <row r="217" spans="1:27" x14ac:dyDescent="0.3">
      <c r="A217">
        <v>222900</v>
      </c>
      <c r="B217">
        <v>17031222900</v>
      </c>
      <c r="C217">
        <v>17031</v>
      </c>
      <c r="D217">
        <v>2010</v>
      </c>
      <c r="E217">
        <v>22</v>
      </c>
      <c r="F217">
        <v>2393672.5791508998</v>
      </c>
      <c r="G217" s="43">
        <v>8.5861189277393959E-2</v>
      </c>
      <c r="H217" s="58" t="str">
        <f>_xlfn.IFNA(
INDEX(CA!B$2:B$78,MATCH($E217,CA!$A$2:$A$78,0)),
"")</f>
        <v>LOGAN SQUARE</v>
      </c>
      <c r="I217" s="60" t="str">
        <f>_xlfn.IFNA(
INDEX(CA!C$2:C$78,MATCH($E217,CA!$A$2:$A$78,0)),
"")</f>
        <v>2-B</v>
      </c>
      <c r="J217" s="60">
        <f>_xlfn.IFNA(
INDEX(CA!D$2:D$78,MATCH($E217,CA!$A$2:$A$78,0)),
"")</f>
        <v>2</v>
      </c>
      <c r="K217" s="58" t="str">
        <f>_xlfn.IFNA(
INDEX(CA!E$2:E$78,MATCH($E217,CA!$A$2:$A$78,0)),
"")</f>
        <v>NORTHWEST</v>
      </c>
      <c r="L217" s="15" t="e">
        <v>#VALUE!</v>
      </c>
      <c r="M217" s="15" t="e">
        <v>#VALUE!</v>
      </c>
      <c r="N217" s="15" t="e">
        <v>#VALUE!</v>
      </c>
      <c r="O217" s="15" t="e">
        <v>#VALUE!</v>
      </c>
      <c r="P217" s="15" t="e">
        <v>#VALUE!</v>
      </c>
      <c r="Q217" s="15" t="e">
        <v>#VALUE!</v>
      </c>
      <c r="R217" s="15" t="e">
        <v>#VALUE!</v>
      </c>
      <c r="S217" s="15" t="e">
        <v>#VALUE!</v>
      </c>
      <c r="T217" s="129">
        <v>8.586118491475013E-2</v>
      </c>
      <c r="U217" s="130" t="e">
        <f t="shared" si="15"/>
        <v>#VALUE!</v>
      </c>
      <c r="V217" s="129">
        <v>8.586118491475013E-2</v>
      </c>
      <c r="W217" s="130" t="e">
        <f t="shared" si="12"/>
        <v>#VALUE!</v>
      </c>
      <c r="X217" s="129">
        <v>8.586118491475013E-2</v>
      </c>
      <c r="Y217" s="130" t="e">
        <f t="shared" si="13"/>
        <v>#VALUE!</v>
      </c>
      <c r="Z217" s="129">
        <v>8.586118491475013E-2</v>
      </c>
      <c r="AA217" s="130" t="e">
        <f t="shared" si="14"/>
        <v>#VALUE!</v>
      </c>
    </row>
    <row r="218" spans="1:27" x14ac:dyDescent="0.3">
      <c r="A218">
        <v>220902</v>
      </c>
      <c r="B218">
        <v>17031220902</v>
      </c>
      <c r="C218">
        <v>17031</v>
      </c>
      <c r="D218">
        <v>2010</v>
      </c>
      <c r="E218">
        <v>22</v>
      </c>
      <c r="F218">
        <v>3555585.6261557299</v>
      </c>
      <c r="G218" s="43">
        <v>0.12753908496024627</v>
      </c>
      <c r="H218" s="58" t="str">
        <f>_xlfn.IFNA(
INDEX(CA!B$2:B$78,MATCH($E218,CA!$A$2:$A$78,0)),
"")</f>
        <v>LOGAN SQUARE</v>
      </c>
      <c r="I218" s="60" t="str">
        <f>_xlfn.IFNA(
INDEX(CA!C$2:C$78,MATCH($E218,CA!$A$2:$A$78,0)),
"")</f>
        <v>2-B</v>
      </c>
      <c r="J218" s="60">
        <f>_xlfn.IFNA(
INDEX(CA!D$2:D$78,MATCH($E218,CA!$A$2:$A$78,0)),
"")</f>
        <v>2</v>
      </c>
      <c r="K218" s="58" t="str">
        <f>_xlfn.IFNA(
INDEX(CA!E$2:E$78,MATCH($E218,CA!$A$2:$A$78,0)),
"")</f>
        <v>NORTHWEST</v>
      </c>
      <c r="L218" s="15" t="e">
        <v>#VALUE!</v>
      </c>
      <c r="M218" s="15" t="e">
        <v>#VALUE!</v>
      </c>
      <c r="N218" s="15" t="e">
        <v>#VALUE!</v>
      </c>
      <c r="O218" s="15" t="e">
        <v>#VALUE!</v>
      </c>
      <c r="P218" s="15" t="e">
        <v>#VALUE!</v>
      </c>
      <c r="Q218" s="15" t="e">
        <v>#VALUE!</v>
      </c>
      <c r="R218" s="15" t="e">
        <v>#VALUE!</v>
      </c>
      <c r="S218" s="15" t="e">
        <v>#VALUE!</v>
      </c>
      <c r="T218" s="129">
        <v>0.12510693011172055</v>
      </c>
      <c r="U218" s="130" t="e">
        <f t="shared" si="15"/>
        <v>#VALUE!</v>
      </c>
      <c r="V218" s="129">
        <v>2.0745466942415957E-3</v>
      </c>
      <c r="W218" s="130" t="e">
        <f t="shared" si="12"/>
        <v>#VALUE!</v>
      </c>
      <c r="X218" s="129">
        <v>2.0745466942415957E-3</v>
      </c>
      <c r="Y218" s="130" t="e">
        <f t="shared" si="13"/>
        <v>#VALUE!</v>
      </c>
      <c r="Z218" s="129">
        <v>2.0745466942415957E-3</v>
      </c>
      <c r="AA218" s="130" t="e">
        <f t="shared" si="14"/>
        <v>#VALUE!</v>
      </c>
    </row>
    <row r="219" spans="1:27" x14ac:dyDescent="0.3">
      <c r="A219">
        <v>220702</v>
      </c>
      <c r="B219">
        <v>17031220702</v>
      </c>
      <c r="C219">
        <v>17031</v>
      </c>
      <c r="D219">
        <v>2010</v>
      </c>
      <c r="E219">
        <v>22</v>
      </c>
      <c r="F219">
        <v>6184604.2910941001</v>
      </c>
      <c r="G219" s="43">
        <v>0.22184215346268438</v>
      </c>
      <c r="H219" s="58" t="str">
        <f>_xlfn.IFNA(
INDEX(CA!B$2:B$78,MATCH($E219,CA!$A$2:$A$78,0)),
"")</f>
        <v>LOGAN SQUARE</v>
      </c>
      <c r="I219" s="60" t="str">
        <f>_xlfn.IFNA(
INDEX(CA!C$2:C$78,MATCH($E219,CA!$A$2:$A$78,0)),
"")</f>
        <v>2-B</v>
      </c>
      <c r="J219" s="60">
        <f>_xlfn.IFNA(
INDEX(CA!D$2:D$78,MATCH($E219,CA!$A$2:$A$78,0)),
"")</f>
        <v>2</v>
      </c>
      <c r="K219" s="58" t="str">
        <f>_xlfn.IFNA(
INDEX(CA!E$2:E$78,MATCH($E219,CA!$A$2:$A$78,0)),
"")</f>
        <v>NORTHWEST</v>
      </c>
      <c r="L219" s="15" t="e">
        <v>#VALUE!</v>
      </c>
      <c r="M219" s="15" t="e">
        <v>#VALUE!</v>
      </c>
      <c r="N219" s="15" t="e">
        <v>#VALUE!</v>
      </c>
      <c r="O219" s="15" t="e">
        <v>#VALUE!</v>
      </c>
      <c r="P219" s="15" t="e">
        <v>#VALUE!</v>
      </c>
      <c r="Q219" s="15" t="e">
        <v>#VALUE!</v>
      </c>
      <c r="R219" s="15" t="e">
        <v>#VALUE!</v>
      </c>
      <c r="S219" s="15" t="e">
        <v>#VALUE!</v>
      </c>
      <c r="T219" s="129">
        <v>0.22184215463826581</v>
      </c>
      <c r="U219" s="130" t="e">
        <f t="shared" si="15"/>
        <v>#VALUE!</v>
      </c>
      <c r="V219" s="129">
        <v>0.22134974786570033</v>
      </c>
      <c r="W219" s="130" t="e">
        <f t="shared" si="12"/>
        <v>#VALUE!</v>
      </c>
      <c r="X219" s="129">
        <v>0.22134974786570033</v>
      </c>
      <c r="Y219" s="130" t="e">
        <f t="shared" si="13"/>
        <v>#VALUE!</v>
      </c>
      <c r="Z219" s="129">
        <v>0.22134974786570033</v>
      </c>
      <c r="AA219" s="130" t="e">
        <f t="shared" si="14"/>
        <v>#VALUE!</v>
      </c>
    </row>
    <row r="220" spans="1:27" x14ac:dyDescent="0.3">
      <c r="A220">
        <v>222200</v>
      </c>
      <c r="B220">
        <v>17031222200</v>
      </c>
      <c r="C220">
        <v>17031</v>
      </c>
      <c r="D220">
        <v>2010</v>
      </c>
      <c r="E220">
        <v>22</v>
      </c>
      <c r="F220">
        <v>2486945.8921548701</v>
      </c>
      <c r="G220" s="43">
        <v>8.9206909010376131E-2</v>
      </c>
      <c r="H220" s="58" t="str">
        <f>_xlfn.IFNA(
INDEX(CA!B$2:B$78,MATCH($E220,CA!$A$2:$A$78,0)),
"")</f>
        <v>LOGAN SQUARE</v>
      </c>
      <c r="I220" s="60" t="str">
        <f>_xlfn.IFNA(
INDEX(CA!C$2:C$78,MATCH($E220,CA!$A$2:$A$78,0)),
"")</f>
        <v>2-B</v>
      </c>
      <c r="J220" s="60">
        <f>_xlfn.IFNA(
INDEX(CA!D$2:D$78,MATCH($E220,CA!$A$2:$A$78,0)),
"")</f>
        <v>2</v>
      </c>
      <c r="K220" s="58" t="str">
        <f>_xlfn.IFNA(
INDEX(CA!E$2:E$78,MATCH($E220,CA!$A$2:$A$78,0)),
"")</f>
        <v>NORTHWEST</v>
      </c>
      <c r="L220" s="15" t="e">
        <v>#VALUE!</v>
      </c>
      <c r="M220" s="15" t="e">
        <v>#VALUE!</v>
      </c>
      <c r="N220" s="15" t="e">
        <v>#VALUE!</v>
      </c>
      <c r="O220" s="15" t="e">
        <v>#VALUE!</v>
      </c>
      <c r="P220" s="15" t="e">
        <v>#VALUE!</v>
      </c>
      <c r="Q220" s="15" t="e">
        <v>#VALUE!</v>
      </c>
      <c r="R220" s="15" t="e">
        <v>#VALUE!</v>
      </c>
      <c r="S220" s="15" t="e">
        <v>#VALUE!</v>
      </c>
      <c r="T220" s="129">
        <v>8.920690934001306E-2</v>
      </c>
      <c r="U220" s="130" t="e">
        <f t="shared" si="15"/>
        <v>#VALUE!</v>
      </c>
      <c r="V220" s="129">
        <v>8.920690934001306E-2</v>
      </c>
      <c r="W220" s="130" t="e">
        <f t="shared" si="12"/>
        <v>#VALUE!</v>
      </c>
      <c r="X220" s="129">
        <v>8.920690934001306E-2</v>
      </c>
      <c r="Y220" s="130" t="e">
        <f t="shared" si="13"/>
        <v>#VALUE!</v>
      </c>
      <c r="Z220" s="129">
        <v>8.920690934001306E-2</v>
      </c>
      <c r="AA220" s="130" t="e">
        <f t="shared" si="14"/>
        <v>#VALUE!</v>
      </c>
    </row>
    <row r="221" spans="1:27" x14ac:dyDescent="0.3">
      <c r="A221">
        <v>221300</v>
      </c>
      <c r="B221">
        <v>17031221300</v>
      </c>
      <c r="C221">
        <v>17031</v>
      </c>
      <c r="D221">
        <v>2010</v>
      </c>
      <c r="E221">
        <v>22</v>
      </c>
      <c r="F221">
        <v>3553343.7835945999</v>
      </c>
      <c r="G221" s="43">
        <v>0.12745866992347479</v>
      </c>
      <c r="H221" s="58" t="str">
        <f>_xlfn.IFNA(
INDEX(CA!B$2:B$78,MATCH($E221,CA!$A$2:$A$78,0)),
"")</f>
        <v>LOGAN SQUARE</v>
      </c>
      <c r="I221" s="60" t="str">
        <f>_xlfn.IFNA(
INDEX(CA!C$2:C$78,MATCH($E221,CA!$A$2:$A$78,0)),
"")</f>
        <v>2-B</v>
      </c>
      <c r="J221" s="60">
        <f>_xlfn.IFNA(
INDEX(CA!D$2:D$78,MATCH($E221,CA!$A$2:$A$78,0)),
"")</f>
        <v>2</v>
      </c>
      <c r="K221" s="58" t="str">
        <f>_xlfn.IFNA(
INDEX(CA!E$2:E$78,MATCH($E221,CA!$A$2:$A$78,0)),
"")</f>
        <v>NORTHWEST</v>
      </c>
      <c r="L221" s="15" t="e">
        <v>#VALUE!</v>
      </c>
      <c r="M221" s="15" t="e">
        <v>#VALUE!</v>
      </c>
      <c r="N221" s="15" t="e">
        <v>#VALUE!</v>
      </c>
      <c r="O221" s="15" t="e">
        <v>#VALUE!</v>
      </c>
      <c r="P221" s="15" t="e">
        <v>#VALUE!</v>
      </c>
      <c r="Q221" s="15" t="e">
        <v>#VALUE!</v>
      </c>
      <c r="R221" s="15" t="e">
        <v>#VALUE!</v>
      </c>
      <c r="S221" s="15" t="e">
        <v>#VALUE!</v>
      </c>
      <c r="T221" s="129">
        <v>0.12745867067741479</v>
      </c>
      <c r="U221" s="130" t="e">
        <f t="shared" si="15"/>
        <v>#VALUE!</v>
      </c>
      <c r="V221" s="129">
        <v>0.12745867067741479</v>
      </c>
      <c r="W221" s="130" t="e">
        <f t="shared" si="12"/>
        <v>#VALUE!</v>
      </c>
      <c r="X221" s="129">
        <v>0.12745867067741479</v>
      </c>
      <c r="Y221" s="130" t="e">
        <f t="shared" si="13"/>
        <v>#VALUE!</v>
      </c>
      <c r="Z221" s="129">
        <v>0.12745867067741479</v>
      </c>
      <c r="AA221" s="130" t="e">
        <f t="shared" si="14"/>
        <v>#VALUE!</v>
      </c>
    </row>
    <row r="222" spans="1:27" x14ac:dyDescent="0.3">
      <c r="A222">
        <v>220901</v>
      </c>
      <c r="B222">
        <v>17031220901</v>
      </c>
      <c r="C222">
        <v>17031</v>
      </c>
      <c r="D222">
        <v>2010</v>
      </c>
      <c r="E222">
        <v>22</v>
      </c>
      <c r="F222">
        <v>3157214.1853880398</v>
      </c>
      <c r="G222" s="43">
        <v>0.11324947577292957</v>
      </c>
      <c r="H222" s="58" t="str">
        <f>_xlfn.IFNA(
INDEX(CA!B$2:B$78,MATCH($E222,CA!$A$2:$A$78,0)),
"")</f>
        <v>LOGAN SQUARE</v>
      </c>
      <c r="I222" s="60" t="str">
        <f>_xlfn.IFNA(
INDEX(CA!C$2:C$78,MATCH($E222,CA!$A$2:$A$78,0)),
"")</f>
        <v>2-B</v>
      </c>
      <c r="J222" s="60">
        <f>_xlfn.IFNA(
INDEX(CA!D$2:D$78,MATCH($E222,CA!$A$2:$A$78,0)),
"")</f>
        <v>2</v>
      </c>
      <c r="K222" s="58" t="str">
        <f>_xlfn.IFNA(
INDEX(CA!E$2:E$78,MATCH($E222,CA!$A$2:$A$78,0)),
"")</f>
        <v>NORTHWEST</v>
      </c>
      <c r="L222" s="15" t="e">
        <v>#VALUE!</v>
      </c>
      <c r="M222" s="15" t="e">
        <v>#VALUE!</v>
      </c>
      <c r="N222" s="15" t="e">
        <v>#VALUE!</v>
      </c>
      <c r="O222" s="15" t="e">
        <v>#VALUE!</v>
      </c>
      <c r="P222" s="15" t="e">
        <v>#VALUE!</v>
      </c>
      <c r="Q222" s="15" t="e">
        <v>#VALUE!</v>
      </c>
      <c r="R222" s="15" t="e">
        <v>#VALUE!</v>
      </c>
      <c r="S222" s="15" t="e">
        <v>#VALUE!</v>
      </c>
      <c r="T222" s="129">
        <v>9.6932413567463696E-2</v>
      </c>
      <c r="U222" s="130" t="e">
        <f t="shared" si="15"/>
        <v>#VALUE!</v>
      </c>
      <c r="V222" s="129">
        <v>9.6932720560944319E-2</v>
      </c>
      <c r="W222" s="130" t="e">
        <f t="shared" si="12"/>
        <v>#VALUE!</v>
      </c>
      <c r="X222" s="129">
        <v>9.6932720560944319E-2</v>
      </c>
      <c r="Y222" s="130" t="e">
        <f t="shared" si="13"/>
        <v>#VALUE!</v>
      </c>
      <c r="Z222" s="129">
        <v>9.6932720560944319E-2</v>
      </c>
      <c r="AA222" s="130" t="e">
        <f t="shared" si="14"/>
        <v>#VALUE!</v>
      </c>
    </row>
    <row r="223" spans="1:27" x14ac:dyDescent="0.3">
      <c r="A223">
        <v>222500</v>
      </c>
      <c r="B223">
        <v>17031222500</v>
      </c>
      <c r="C223">
        <v>17031</v>
      </c>
      <c r="D223">
        <v>2010</v>
      </c>
      <c r="E223">
        <v>22</v>
      </c>
      <c r="F223">
        <v>1705796.69434264</v>
      </c>
      <c r="G223" s="43">
        <v>6.1187037073240934E-2</v>
      </c>
      <c r="H223" s="58" t="str">
        <f>_xlfn.IFNA(
INDEX(CA!B$2:B$78,MATCH($E223,CA!$A$2:$A$78,0)),
"")</f>
        <v>LOGAN SQUARE</v>
      </c>
      <c r="I223" s="60" t="str">
        <f>_xlfn.IFNA(
INDEX(CA!C$2:C$78,MATCH($E223,CA!$A$2:$A$78,0)),
"")</f>
        <v>2-B</v>
      </c>
      <c r="J223" s="60">
        <f>_xlfn.IFNA(
INDEX(CA!D$2:D$78,MATCH($E223,CA!$A$2:$A$78,0)),
"")</f>
        <v>2</v>
      </c>
      <c r="K223" s="58" t="str">
        <f>_xlfn.IFNA(
INDEX(CA!E$2:E$78,MATCH($E223,CA!$A$2:$A$78,0)),
"")</f>
        <v>NORTHWEST</v>
      </c>
      <c r="L223" s="15" t="e">
        <v>#VALUE!</v>
      </c>
      <c r="M223" s="15" t="e">
        <v>#VALUE!</v>
      </c>
      <c r="N223" s="15" t="e">
        <v>#VALUE!</v>
      </c>
      <c r="O223" s="15" t="e">
        <v>#VALUE!</v>
      </c>
      <c r="P223" s="15" t="e">
        <v>#VALUE!</v>
      </c>
      <c r="Q223" s="15" t="e">
        <v>#VALUE!</v>
      </c>
      <c r="R223" s="15" t="e">
        <v>#VALUE!</v>
      </c>
      <c r="S223" s="15" t="e">
        <v>#VALUE!</v>
      </c>
      <c r="T223" s="129">
        <v>6.1187036779799059E-2</v>
      </c>
      <c r="U223" s="130" t="e">
        <f t="shared" si="15"/>
        <v>#VALUE!</v>
      </c>
      <c r="V223" s="129">
        <v>6.1187036779799059E-2</v>
      </c>
      <c r="W223" s="130" t="e">
        <f t="shared" si="12"/>
        <v>#VALUE!</v>
      </c>
      <c r="X223" s="129">
        <v>6.1187036779799059E-2</v>
      </c>
      <c r="Y223" s="130" t="e">
        <f t="shared" si="13"/>
        <v>#VALUE!</v>
      </c>
      <c r="Z223" s="129">
        <v>6.1187036779799059E-2</v>
      </c>
      <c r="AA223" s="130" t="e">
        <f t="shared" si="14"/>
        <v>#VALUE!</v>
      </c>
    </row>
    <row r="224" spans="1:27" x14ac:dyDescent="0.3">
      <c r="A224">
        <v>220500</v>
      </c>
      <c r="B224">
        <v>17031220500</v>
      </c>
      <c r="C224">
        <v>17031</v>
      </c>
      <c r="D224">
        <v>2010</v>
      </c>
      <c r="E224">
        <v>22</v>
      </c>
      <c r="F224">
        <v>3598298.2363546798</v>
      </c>
      <c r="G224" s="43">
        <v>0.12907118903361312</v>
      </c>
      <c r="H224" s="58" t="str">
        <f>_xlfn.IFNA(
INDEX(CA!B$2:B$78,MATCH($E224,CA!$A$2:$A$78,0)),
"")</f>
        <v>LOGAN SQUARE</v>
      </c>
      <c r="I224" s="60" t="str">
        <f>_xlfn.IFNA(
INDEX(CA!C$2:C$78,MATCH($E224,CA!$A$2:$A$78,0)),
"")</f>
        <v>2-B</v>
      </c>
      <c r="J224" s="60">
        <f>_xlfn.IFNA(
INDEX(CA!D$2:D$78,MATCH($E224,CA!$A$2:$A$78,0)),
"")</f>
        <v>2</v>
      </c>
      <c r="K224" s="58" t="str">
        <f>_xlfn.IFNA(
INDEX(CA!E$2:E$78,MATCH($E224,CA!$A$2:$A$78,0)),
"")</f>
        <v>NORTHWEST</v>
      </c>
      <c r="L224" s="15" t="e">
        <v>#VALUE!</v>
      </c>
      <c r="M224" s="15" t="e">
        <v>#VALUE!</v>
      </c>
      <c r="N224" s="15" t="e">
        <v>#VALUE!</v>
      </c>
      <c r="O224" s="15" t="e">
        <v>#VALUE!</v>
      </c>
      <c r="P224" s="15" t="e">
        <v>#VALUE!</v>
      </c>
      <c r="Q224" s="15" t="e">
        <v>#VALUE!</v>
      </c>
      <c r="R224" s="15" t="e">
        <v>#VALUE!</v>
      </c>
      <c r="S224" s="15" t="e">
        <v>#VALUE!</v>
      </c>
      <c r="T224" s="129">
        <v>0.1290711892613701</v>
      </c>
      <c r="U224" s="130" t="e">
        <f t="shared" si="15"/>
        <v>#VALUE!</v>
      </c>
      <c r="V224" s="129">
        <v>0.1290711892613701</v>
      </c>
      <c r="W224" s="130" t="e">
        <f t="shared" si="12"/>
        <v>#VALUE!</v>
      </c>
      <c r="X224" s="129">
        <v>0.1290711892613701</v>
      </c>
      <c r="Y224" s="130" t="e">
        <f t="shared" si="13"/>
        <v>#VALUE!</v>
      </c>
      <c r="Z224" s="129">
        <v>0.1290711892613701</v>
      </c>
      <c r="AA224" s="130" t="e">
        <f t="shared" si="14"/>
        <v>#VALUE!</v>
      </c>
    </row>
    <row r="225" spans="1:27" x14ac:dyDescent="0.3">
      <c r="A225">
        <v>221000</v>
      </c>
      <c r="B225">
        <v>17031221000</v>
      </c>
      <c r="C225">
        <v>17031</v>
      </c>
      <c r="D225">
        <v>2010</v>
      </c>
      <c r="E225">
        <v>22</v>
      </c>
      <c r="F225">
        <v>2369034.77168176</v>
      </c>
      <c r="G225" s="43">
        <v>8.4977429539778465E-2</v>
      </c>
      <c r="H225" s="58" t="str">
        <f>_xlfn.IFNA(
INDEX(CA!B$2:B$78,MATCH($E225,CA!$A$2:$A$78,0)),
"")</f>
        <v>LOGAN SQUARE</v>
      </c>
      <c r="I225" s="60" t="str">
        <f>_xlfn.IFNA(
INDEX(CA!C$2:C$78,MATCH($E225,CA!$A$2:$A$78,0)),
"")</f>
        <v>2-B</v>
      </c>
      <c r="J225" s="60">
        <f>_xlfn.IFNA(
INDEX(CA!D$2:D$78,MATCH($E225,CA!$A$2:$A$78,0)),
"")</f>
        <v>2</v>
      </c>
      <c r="K225" s="58" t="str">
        <f>_xlfn.IFNA(
INDEX(CA!E$2:E$78,MATCH($E225,CA!$A$2:$A$78,0)),
"")</f>
        <v>NORTHWEST</v>
      </c>
      <c r="L225" s="15" t="e">
        <v>#VALUE!</v>
      </c>
      <c r="M225" s="15" t="e">
        <v>#VALUE!</v>
      </c>
      <c r="N225" s="15" t="e">
        <v>#VALUE!</v>
      </c>
      <c r="O225" s="15" t="e">
        <v>#VALUE!</v>
      </c>
      <c r="P225" s="15" t="e">
        <v>#VALUE!</v>
      </c>
      <c r="Q225" s="15" t="e">
        <v>#VALUE!</v>
      </c>
      <c r="R225" s="15" t="e">
        <v>#VALUE!</v>
      </c>
      <c r="S225" s="15" t="e">
        <v>#VALUE!</v>
      </c>
      <c r="T225" s="129">
        <v>8.497742648516092E-2</v>
      </c>
      <c r="U225" s="130" t="e">
        <f t="shared" si="15"/>
        <v>#VALUE!</v>
      </c>
      <c r="V225" s="129">
        <v>8.2792727859270623E-2</v>
      </c>
      <c r="W225" s="130" t="e">
        <f t="shared" si="12"/>
        <v>#VALUE!</v>
      </c>
      <c r="X225" s="129">
        <v>8.2792727859270623E-2</v>
      </c>
      <c r="Y225" s="130" t="e">
        <f t="shared" si="13"/>
        <v>#VALUE!</v>
      </c>
      <c r="Z225" s="129">
        <v>8.2792727859270623E-2</v>
      </c>
      <c r="AA225" s="130" t="e">
        <f t="shared" si="14"/>
        <v>#VALUE!</v>
      </c>
    </row>
    <row r="226" spans="1:27" x14ac:dyDescent="0.3">
      <c r="A226">
        <v>221200</v>
      </c>
      <c r="B226">
        <v>17031221200</v>
      </c>
      <c r="C226">
        <v>17031</v>
      </c>
      <c r="D226">
        <v>2010</v>
      </c>
      <c r="E226">
        <v>22</v>
      </c>
      <c r="F226">
        <v>3553457.6426396002</v>
      </c>
      <c r="G226" s="43">
        <v>0.12746275405473773</v>
      </c>
      <c r="H226" s="58" t="str">
        <f>_xlfn.IFNA(
INDEX(CA!B$2:B$78,MATCH($E226,CA!$A$2:$A$78,0)),
"")</f>
        <v>LOGAN SQUARE</v>
      </c>
      <c r="I226" s="60" t="str">
        <f>_xlfn.IFNA(
INDEX(CA!C$2:C$78,MATCH($E226,CA!$A$2:$A$78,0)),
"")</f>
        <v>2-B</v>
      </c>
      <c r="J226" s="60">
        <f>_xlfn.IFNA(
INDEX(CA!D$2:D$78,MATCH($E226,CA!$A$2:$A$78,0)),
"")</f>
        <v>2</v>
      </c>
      <c r="K226" s="58" t="str">
        <f>_xlfn.IFNA(
INDEX(CA!E$2:E$78,MATCH($E226,CA!$A$2:$A$78,0)),
"")</f>
        <v>NORTHWEST</v>
      </c>
      <c r="L226" s="15" t="e">
        <v>#VALUE!</v>
      </c>
      <c r="M226" s="15" t="e">
        <v>#VALUE!</v>
      </c>
      <c r="N226" s="15" t="e">
        <v>#VALUE!</v>
      </c>
      <c r="O226" s="15" t="e">
        <v>#VALUE!</v>
      </c>
      <c r="P226" s="15" t="e">
        <v>#VALUE!</v>
      </c>
      <c r="Q226" s="15" t="e">
        <v>#VALUE!</v>
      </c>
      <c r="R226" s="15" t="e">
        <v>#VALUE!</v>
      </c>
      <c r="S226" s="15" t="e">
        <v>#VALUE!</v>
      </c>
      <c r="T226" s="129">
        <v>0.12746275132982238</v>
      </c>
      <c r="U226" s="130" t="e">
        <f t="shared" si="15"/>
        <v>#VALUE!</v>
      </c>
      <c r="V226" s="129">
        <v>0.12746275132982238</v>
      </c>
      <c r="W226" s="130" t="e">
        <f t="shared" si="12"/>
        <v>#VALUE!</v>
      </c>
      <c r="X226" s="129">
        <v>0.12746275132982238</v>
      </c>
      <c r="Y226" s="130" t="e">
        <f t="shared" si="13"/>
        <v>#VALUE!</v>
      </c>
      <c r="Z226" s="129">
        <v>0.12746275132982238</v>
      </c>
      <c r="AA226" s="130" t="e">
        <f t="shared" si="14"/>
        <v>#VALUE!</v>
      </c>
    </row>
    <row r="227" spans="1:27" x14ac:dyDescent="0.3">
      <c r="A227">
        <v>221500</v>
      </c>
      <c r="B227">
        <v>17031221500</v>
      </c>
      <c r="C227">
        <v>17031</v>
      </c>
      <c r="D227">
        <v>2010</v>
      </c>
      <c r="E227">
        <v>22</v>
      </c>
      <c r="F227">
        <v>3282111.6899449201</v>
      </c>
      <c r="G227" s="43">
        <v>0.11772955728969095</v>
      </c>
      <c r="H227" s="58" t="str">
        <f>_xlfn.IFNA(
INDEX(CA!B$2:B$78,MATCH($E227,CA!$A$2:$A$78,0)),
"")</f>
        <v>LOGAN SQUARE</v>
      </c>
      <c r="I227" s="60" t="str">
        <f>_xlfn.IFNA(
INDEX(CA!C$2:C$78,MATCH($E227,CA!$A$2:$A$78,0)),
"")</f>
        <v>2-B</v>
      </c>
      <c r="J227" s="60">
        <f>_xlfn.IFNA(
INDEX(CA!D$2:D$78,MATCH($E227,CA!$A$2:$A$78,0)),
"")</f>
        <v>2</v>
      </c>
      <c r="K227" s="58" t="str">
        <f>_xlfn.IFNA(
INDEX(CA!E$2:E$78,MATCH($E227,CA!$A$2:$A$78,0)),
"")</f>
        <v>NORTHWEST</v>
      </c>
      <c r="L227" s="15" t="e">
        <v>#VALUE!</v>
      </c>
      <c r="M227" s="15" t="e">
        <v>#VALUE!</v>
      </c>
      <c r="N227" s="15" t="e">
        <v>#VALUE!</v>
      </c>
      <c r="O227" s="15" t="e">
        <v>#VALUE!</v>
      </c>
      <c r="P227" s="15" t="e">
        <v>#VALUE!</v>
      </c>
      <c r="Q227" s="15" t="e">
        <v>#VALUE!</v>
      </c>
      <c r="R227" s="15" t="e">
        <v>#VALUE!</v>
      </c>
      <c r="S227" s="15" t="e">
        <v>#VALUE!</v>
      </c>
      <c r="T227" s="129">
        <v>0.11772955656519707</v>
      </c>
      <c r="U227" s="130" t="e">
        <f t="shared" si="15"/>
        <v>#VALUE!</v>
      </c>
      <c r="V227" s="129">
        <v>0.11772955656519707</v>
      </c>
      <c r="W227" s="130" t="e">
        <f t="shared" si="12"/>
        <v>#VALUE!</v>
      </c>
      <c r="X227" s="129">
        <v>0.11772955656519707</v>
      </c>
      <c r="Y227" s="130" t="e">
        <f t="shared" si="13"/>
        <v>#VALUE!</v>
      </c>
      <c r="Z227" s="129">
        <v>0.11772955656519707</v>
      </c>
      <c r="AA227" s="130" t="e">
        <f t="shared" si="14"/>
        <v>#VALUE!</v>
      </c>
    </row>
    <row r="228" spans="1:27" x14ac:dyDescent="0.3">
      <c r="A228">
        <v>832200</v>
      </c>
      <c r="B228">
        <v>17031832200</v>
      </c>
      <c r="C228">
        <v>17031</v>
      </c>
      <c r="D228">
        <v>2010</v>
      </c>
      <c r="E228">
        <v>22</v>
      </c>
      <c r="F228">
        <v>4271999.2073427998</v>
      </c>
      <c r="G228" s="43">
        <v>0.15323688616788625</v>
      </c>
      <c r="H228" s="58" t="str">
        <f>_xlfn.IFNA(
INDEX(CA!B$2:B$78,MATCH($E228,CA!$A$2:$A$78,0)),
"")</f>
        <v>LOGAN SQUARE</v>
      </c>
      <c r="I228" s="60" t="str">
        <f>_xlfn.IFNA(
INDEX(CA!C$2:C$78,MATCH($E228,CA!$A$2:$A$78,0)),
"")</f>
        <v>2-B</v>
      </c>
      <c r="J228" s="60">
        <f>_xlfn.IFNA(
INDEX(CA!D$2:D$78,MATCH($E228,CA!$A$2:$A$78,0)),
"")</f>
        <v>2</v>
      </c>
      <c r="K228" s="58" t="str">
        <f>_xlfn.IFNA(
INDEX(CA!E$2:E$78,MATCH($E228,CA!$A$2:$A$78,0)),
"")</f>
        <v>NORTHWEST</v>
      </c>
      <c r="L228" s="15" t="e">
        <v>#VALUE!</v>
      </c>
      <c r="M228" s="15" t="e">
        <v>#VALUE!</v>
      </c>
      <c r="N228" s="15" t="e">
        <v>#VALUE!</v>
      </c>
      <c r="O228" s="15" t="e">
        <v>#VALUE!</v>
      </c>
      <c r="P228" s="15" t="e">
        <v>#VALUE!</v>
      </c>
      <c r="Q228" s="15" t="e">
        <v>#VALUE!</v>
      </c>
      <c r="R228" s="15" t="e">
        <v>#VALUE!</v>
      </c>
      <c r="S228" s="15" t="e">
        <v>#VALUE!</v>
      </c>
      <c r="T228" s="129">
        <v>0.15323688766901722</v>
      </c>
      <c r="U228" s="130" t="e">
        <f t="shared" si="15"/>
        <v>#VALUE!</v>
      </c>
      <c r="V228" s="129">
        <v>0.15323688766901722</v>
      </c>
      <c r="W228" s="130" t="e">
        <f t="shared" si="12"/>
        <v>#VALUE!</v>
      </c>
      <c r="X228" s="129">
        <v>0.15323688766901722</v>
      </c>
      <c r="Y228" s="130" t="e">
        <f t="shared" si="13"/>
        <v>#VALUE!</v>
      </c>
      <c r="Z228" s="129">
        <v>0.15323688766901722</v>
      </c>
      <c r="AA228" s="130" t="e">
        <f t="shared" si="14"/>
        <v>#VALUE!</v>
      </c>
    </row>
    <row r="229" spans="1:27" x14ac:dyDescent="0.3">
      <c r="A229">
        <v>220300</v>
      </c>
      <c r="B229">
        <v>17031220300</v>
      </c>
      <c r="C229">
        <v>17031</v>
      </c>
      <c r="D229">
        <v>2010</v>
      </c>
      <c r="E229">
        <v>22</v>
      </c>
      <c r="F229">
        <v>3509629.21988955</v>
      </c>
      <c r="G229" s="43">
        <v>0.12589062571343942</v>
      </c>
      <c r="H229" s="58" t="str">
        <f>_xlfn.IFNA(
INDEX(CA!B$2:B$78,MATCH($E229,CA!$A$2:$A$78,0)),
"")</f>
        <v>LOGAN SQUARE</v>
      </c>
      <c r="I229" s="60" t="str">
        <f>_xlfn.IFNA(
INDEX(CA!C$2:C$78,MATCH($E229,CA!$A$2:$A$78,0)),
"")</f>
        <v>2-B</v>
      </c>
      <c r="J229" s="60">
        <f>_xlfn.IFNA(
INDEX(CA!D$2:D$78,MATCH($E229,CA!$A$2:$A$78,0)),
"")</f>
        <v>2</v>
      </c>
      <c r="K229" s="58" t="str">
        <f>_xlfn.IFNA(
INDEX(CA!E$2:E$78,MATCH($E229,CA!$A$2:$A$78,0)),
"")</f>
        <v>NORTHWEST</v>
      </c>
      <c r="L229" s="15" t="e">
        <v>#VALUE!</v>
      </c>
      <c r="M229" s="15" t="e">
        <v>#VALUE!</v>
      </c>
      <c r="N229" s="15" t="e">
        <v>#VALUE!</v>
      </c>
      <c r="O229" s="15" t="e">
        <v>#VALUE!</v>
      </c>
      <c r="P229" s="15" t="e">
        <v>#VALUE!</v>
      </c>
      <c r="Q229" s="15" t="e">
        <v>#VALUE!</v>
      </c>
      <c r="R229" s="15" t="e">
        <v>#VALUE!</v>
      </c>
      <c r="S229" s="15" t="e">
        <v>#VALUE!</v>
      </c>
      <c r="T229" s="129">
        <v>0.1258906271492557</v>
      </c>
      <c r="U229" s="130" t="e">
        <f t="shared" si="15"/>
        <v>#VALUE!</v>
      </c>
      <c r="V229" s="129">
        <v>0.1258906271492557</v>
      </c>
      <c r="W229" s="130" t="e">
        <f t="shared" si="12"/>
        <v>#VALUE!</v>
      </c>
      <c r="X229" s="129">
        <v>0.1258906271492557</v>
      </c>
      <c r="Y229" s="130" t="e">
        <f t="shared" si="13"/>
        <v>#VALUE!</v>
      </c>
      <c r="Z229" s="129">
        <v>0.1258906271492557</v>
      </c>
      <c r="AA229" s="130" t="e">
        <f t="shared" si="14"/>
        <v>#VALUE!</v>
      </c>
    </row>
    <row r="230" spans="1:27" x14ac:dyDescent="0.3">
      <c r="A230">
        <v>220601</v>
      </c>
      <c r="B230">
        <v>17031220601</v>
      </c>
      <c r="C230">
        <v>17031</v>
      </c>
      <c r="D230">
        <v>2010</v>
      </c>
      <c r="E230">
        <v>22</v>
      </c>
      <c r="F230">
        <v>2035241.3598060301</v>
      </c>
      <c r="G230" s="43">
        <v>7.3004238399837509E-2</v>
      </c>
      <c r="H230" s="58" t="str">
        <f>_xlfn.IFNA(
INDEX(CA!B$2:B$78,MATCH($E230,CA!$A$2:$A$78,0)),
"")</f>
        <v>LOGAN SQUARE</v>
      </c>
      <c r="I230" s="60" t="str">
        <f>_xlfn.IFNA(
INDEX(CA!C$2:C$78,MATCH($E230,CA!$A$2:$A$78,0)),
"")</f>
        <v>2-B</v>
      </c>
      <c r="J230" s="60">
        <f>_xlfn.IFNA(
INDEX(CA!D$2:D$78,MATCH($E230,CA!$A$2:$A$78,0)),
"")</f>
        <v>2</v>
      </c>
      <c r="K230" s="58" t="str">
        <f>_xlfn.IFNA(
INDEX(CA!E$2:E$78,MATCH($E230,CA!$A$2:$A$78,0)),
"")</f>
        <v>NORTHWEST</v>
      </c>
      <c r="L230" s="15" t="e">
        <v>#VALUE!</v>
      </c>
      <c r="M230" s="15" t="e">
        <v>#VALUE!</v>
      </c>
      <c r="N230" s="15" t="e">
        <v>#VALUE!</v>
      </c>
      <c r="O230" s="15" t="e">
        <v>#VALUE!</v>
      </c>
      <c r="P230" s="15" t="e">
        <v>#VALUE!</v>
      </c>
      <c r="Q230" s="15" t="e">
        <v>#VALUE!</v>
      </c>
      <c r="R230" s="15" t="e">
        <v>#VALUE!</v>
      </c>
      <c r="S230" s="15" t="e">
        <v>#VALUE!</v>
      </c>
      <c r="T230" s="129">
        <v>7.3004239211466579E-2</v>
      </c>
      <c r="U230" s="130" t="e">
        <f t="shared" si="15"/>
        <v>#VALUE!</v>
      </c>
      <c r="V230" s="129">
        <v>7.2802052297747361E-2</v>
      </c>
      <c r="W230" s="130" t="e">
        <f t="shared" si="12"/>
        <v>#VALUE!</v>
      </c>
      <c r="X230" s="129">
        <v>7.2802052297747361E-2</v>
      </c>
      <c r="Y230" s="130" t="e">
        <f t="shared" si="13"/>
        <v>#VALUE!</v>
      </c>
      <c r="Z230" s="129">
        <v>7.2802052297747361E-2</v>
      </c>
      <c r="AA230" s="130" t="e">
        <f t="shared" si="14"/>
        <v>#VALUE!</v>
      </c>
    </row>
    <row r="231" spans="1:27" x14ac:dyDescent="0.3">
      <c r="A231">
        <v>222700</v>
      </c>
      <c r="B231">
        <v>17031222700</v>
      </c>
      <c r="C231">
        <v>17031</v>
      </c>
      <c r="D231">
        <v>2010</v>
      </c>
      <c r="E231">
        <v>22</v>
      </c>
      <c r="F231">
        <v>2430723.0992560298</v>
      </c>
      <c r="G231" s="43">
        <v>8.7190193815141107E-2</v>
      </c>
      <c r="H231" s="58" t="str">
        <f>_xlfn.IFNA(
INDEX(CA!B$2:B$78,MATCH($E231,CA!$A$2:$A$78,0)),
"")</f>
        <v>LOGAN SQUARE</v>
      </c>
      <c r="I231" s="60" t="str">
        <f>_xlfn.IFNA(
INDEX(CA!C$2:C$78,MATCH($E231,CA!$A$2:$A$78,0)),
"")</f>
        <v>2-B</v>
      </c>
      <c r="J231" s="60">
        <f>_xlfn.IFNA(
INDEX(CA!D$2:D$78,MATCH($E231,CA!$A$2:$A$78,0)),
"")</f>
        <v>2</v>
      </c>
      <c r="K231" s="58" t="str">
        <f>_xlfn.IFNA(
INDEX(CA!E$2:E$78,MATCH($E231,CA!$A$2:$A$78,0)),
"")</f>
        <v>NORTHWEST</v>
      </c>
      <c r="L231" s="15" t="e">
        <v>#VALUE!</v>
      </c>
      <c r="M231" s="15" t="e">
        <v>#VALUE!</v>
      </c>
      <c r="N231" s="15" t="e">
        <v>#VALUE!</v>
      </c>
      <c r="O231" s="15" t="e">
        <v>#VALUE!</v>
      </c>
      <c r="P231" s="15" t="e">
        <v>#VALUE!</v>
      </c>
      <c r="Q231" s="15" t="e">
        <v>#VALUE!</v>
      </c>
      <c r="R231" s="15" t="e">
        <v>#VALUE!</v>
      </c>
      <c r="S231" s="15" t="e">
        <v>#VALUE!</v>
      </c>
      <c r="T231" s="129">
        <v>8.7190190570111265E-2</v>
      </c>
      <c r="U231" s="130" t="e">
        <f t="shared" si="15"/>
        <v>#VALUE!</v>
      </c>
      <c r="V231" s="129">
        <v>8.7190190570111265E-2</v>
      </c>
      <c r="W231" s="130" t="e">
        <f t="shared" si="12"/>
        <v>#VALUE!</v>
      </c>
      <c r="X231" s="129">
        <v>8.7190190570111265E-2</v>
      </c>
      <c r="Y231" s="130" t="e">
        <f t="shared" si="13"/>
        <v>#VALUE!</v>
      </c>
      <c r="Z231" s="129">
        <v>8.7190190570111265E-2</v>
      </c>
      <c r="AA231" s="130" t="e">
        <f t="shared" si="14"/>
        <v>#VALUE!</v>
      </c>
    </row>
    <row r="232" spans="1:27" x14ac:dyDescent="0.3">
      <c r="A232">
        <v>222600</v>
      </c>
      <c r="B232">
        <v>17031222600</v>
      </c>
      <c r="C232">
        <v>17031</v>
      </c>
      <c r="D232">
        <v>2010</v>
      </c>
      <c r="E232">
        <v>22</v>
      </c>
      <c r="F232">
        <v>1750654.8526399101</v>
      </c>
      <c r="G232" s="43">
        <v>6.2796102094808529E-2</v>
      </c>
      <c r="H232" s="58" t="str">
        <f>_xlfn.IFNA(
INDEX(CA!B$2:B$78,MATCH($E232,CA!$A$2:$A$78,0)),
"")</f>
        <v>LOGAN SQUARE</v>
      </c>
      <c r="I232" s="60" t="str">
        <f>_xlfn.IFNA(
INDEX(CA!C$2:C$78,MATCH($E232,CA!$A$2:$A$78,0)),
"")</f>
        <v>2-B</v>
      </c>
      <c r="J232" s="60">
        <f>_xlfn.IFNA(
INDEX(CA!D$2:D$78,MATCH($E232,CA!$A$2:$A$78,0)),
"")</f>
        <v>2</v>
      </c>
      <c r="K232" s="58" t="str">
        <f>_xlfn.IFNA(
INDEX(CA!E$2:E$78,MATCH($E232,CA!$A$2:$A$78,0)),
"")</f>
        <v>NORTHWEST</v>
      </c>
      <c r="L232" s="15" t="e">
        <v>#VALUE!</v>
      </c>
      <c r="M232" s="15" t="e">
        <v>#VALUE!</v>
      </c>
      <c r="N232" s="15" t="e">
        <v>#VALUE!</v>
      </c>
      <c r="O232" s="15" t="e">
        <v>#VALUE!</v>
      </c>
      <c r="P232" s="15" t="e">
        <v>#VALUE!</v>
      </c>
      <c r="Q232" s="15" t="e">
        <v>#VALUE!</v>
      </c>
      <c r="R232" s="15" t="e">
        <v>#VALUE!</v>
      </c>
      <c r="S232" s="15" t="e">
        <v>#VALUE!</v>
      </c>
      <c r="T232" s="129">
        <v>6.2796105332690547E-2</v>
      </c>
      <c r="U232" s="130" t="e">
        <f t="shared" si="15"/>
        <v>#VALUE!</v>
      </c>
      <c r="V232" s="129">
        <v>6.2796105332690547E-2</v>
      </c>
      <c r="W232" s="130" t="e">
        <f t="shared" si="12"/>
        <v>#VALUE!</v>
      </c>
      <c r="X232" s="129">
        <v>6.2796105332690547E-2</v>
      </c>
      <c r="Y232" s="130" t="e">
        <f t="shared" si="13"/>
        <v>#VALUE!</v>
      </c>
      <c r="Z232" s="129">
        <v>6.2796105332690547E-2</v>
      </c>
      <c r="AA232" s="130" t="e">
        <f t="shared" si="14"/>
        <v>#VALUE!</v>
      </c>
    </row>
    <row r="233" spans="1:27" x14ac:dyDescent="0.3">
      <c r="A233">
        <v>230700</v>
      </c>
      <c r="B233">
        <v>17031230700</v>
      </c>
      <c r="C233">
        <v>17031</v>
      </c>
      <c r="D233">
        <v>2010</v>
      </c>
      <c r="E233">
        <v>23</v>
      </c>
      <c r="F233">
        <v>6970913.4225766696</v>
      </c>
      <c r="G233" s="43">
        <v>0.25004711255225082</v>
      </c>
      <c r="H233" s="58" t="str">
        <f>_xlfn.IFNA(
INDEX(CA!B$2:B$78,MATCH($E233,CA!$A$2:$A$78,0)),
"")</f>
        <v>HUMBOLDT PARK</v>
      </c>
      <c r="I233" s="60" t="str">
        <f>_xlfn.IFNA(
INDEX(CA!C$2:C$78,MATCH($E233,CA!$A$2:$A$78,0)),
"")</f>
        <v>3-A</v>
      </c>
      <c r="J233" s="60">
        <f>_xlfn.IFNA(
INDEX(CA!D$2:D$78,MATCH($E233,CA!$A$2:$A$78,0)),
"")</f>
        <v>3</v>
      </c>
      <c r="K233" s="58" t="str">
        <f>_xlfn.IFNA(
INDEX(CA!E$2:E$78,MATCH($E233,CA!$A$2:$A$78,0)),
"")</f>
        <v>WEST</v>
      </c>
      <c r="L233" s="15" t="e">
        <v>#VALUE!</v>
      </c>
      <c r="M233" s="15" t="e">
        <v>#VALUE!</v>
      </c>
      <c r="N233" s="15" t="e">
        <v>#VALUE!</v>
      </c>
      <c r="O233" s="15" t="e">
        <v>#VALUE!</v>
      </c>
      <c r="P233" s="15" t="e">
        <v>#VALUE!</v>
      </c>
      <c r="Q233" s="15" t="e">
        <v>#VALUE!</v>
      </c>
      <c r="R233" s="15" t="e">
        <v>#VALUE!</v>
      </c>
      <c r="S233" s="15" t="e">
        <v>#VALUE!</v>
      </c>
      <c r="T233" s="129">
        <v>0.18321111781249244</v>
      </c>
      <c r="U233" s="130" t="e">
        <f t="shared" si="15"/>
        <v>#VALUE!</v>
      </c>
      <c r="V233" s="129">
        <v>0.18321111781249244</v>
      </c>
      <c r="W233" s="130" t="e">
        <f t="shared" si="12"/>
        <v>#VALUE!</v>
      </c>
      <c r="X233" s="129">
        <v>0.18321111781249244</v>
      </c>
      <c r="Y233" s="130" t="e">
        <f t="shared" si="13"/>
        <v>#VALUE!</v>
      </c>
      <c r="Z233" s="129">
        <v>0.18321111781249244</v>
      </c>
      <c r="AA233" s="130" t="e">
        <f t="shared" si="14"/>
        <v>#VALUE!</v>
      </c>
    </row>
    <row r="234" spans="1:27" x14ac:dyDescent="0.3">
      <c r="A234">
        <v>230900</v>
      </c>
      <c r="B234">
        <v>17031230900</v>
      </c>
      <c r="C234">
        <v>17031</v>
      </c>
      <c r="D234">
        <v>2010</v>
      </c>
      <c r="E234">
        <v>23</v>
      </c>
      <c r="F234">
        <v>4850302.3169136904</v>
      </c>
      <c r="G234" s="43">
        <v>0.17398065588102943</v>
      </c>
      <c r="H234" s="58" t="str">
        <f>_xlfn.IFNA(
INDEX(CA!B$2:B$78,MATCH($E234,CA!$A$2:$A$78,0)),
"")</f>
        <v>HUMBOLDT PARK</v>
      </c>
      <c r="I234" s="60" t="str">
        <f>_xlfn.IFNA(
INDEX(CA!C$2:C$78,MATCH($E234,CA!$A$2:$A$78,0)),
"")</f>
        <v>3-A</v>
      </c>
      <c r="J234" s="60">
        <f>_xlfn.IFNA(
INDEX(CA!D$2:D$78,MATCH($E234,CA!$A$2:$A$78,0)),
"")</f>
        <v>3</v>
      </c>
      <c r="K234" s="58" t="str">
        <f>_xlfn.IFNA(
INDEX(CA!E$2:E$78,MATCH($E234,CA!$A$2:$A$78,0)),
"")</f>
        <v>WEST</v>
      </c>
      <c r="L234" s="15" t="e">
        <v>#VALUE!</v>
      </c>
      <c r="M234" s="15" t="e">
        <v>#VALUE!</v>
      </c>
      <c r="N234" s="15" t="e">
        <v>#VALUE!</v>
      </c>
      <c r="O234" s="15" t="e">
        <v>#VALUE!</v>
      </c>
      <c r="P234" s="15" t="e">
        <v>#VALUE!</v>
      </c>
      <c r="Q234" s="15" t="e">
        <v>#VALUE!</v>
      </c>
      <c r="R234" s="15" t="e">
        <v>#VALUE!</v>
      </c>
      <c r="S234" s="15" t="e">
        <v>#VALUE!</v>
      </c>
      <c r="T234" s="129">
        <v>0.17398065468765067</v>
      </c>
      <c r="U234" s="130" t="e">
        <f t="shared" si="15"/>
        <v>#VALUE!</v>
      </c>
      <c r="V234" s="129">
        <v>0.17398065468765067</v>
      </c>
      <c r="W234" s="130" t="e">
        <f t="shared" si="12"/>
        <v>#VALUE!</v>
      </c>
      <c r="X234" s="129">
        <v>0.17398065468765067</v>
      </c>
      <c r="Y234" s="130" t="e">
        <f t="shared" si="13"/>
        <v>#VALUE!</v>
      </c>
      <c r="Z234" s="129">
        <v>0.17398065468765067</v>
      </c>
      <c r="AA234" s="130" t="e">
        <f t="shared" si="14"/>
        <v>#VALUE!</v>
      </c>
    </row>
    <row r="235" spans="1:27" x14ac:dyDescent="0.3">
      <c r="A235">
        <v>231200</v>
      </c>
      <c r="B235">
        <v>17031231200</v>
      </c>
      <c r="C235">
        <v>17031</v>
      </c>
      <c r="D235">
        <v>2010</v>
      </c>
      <c r="E235">
        <v>23</v>
      </c>
      <c r="F235">
        <v>7068625.9737795303</v>
      </c>
      <c r="G235" s="43">
        <v>0.2535520680447777</v>
      </c>
      <c r="H235" s="58" t="str">
        <f>_xlfn.IFNA(
INDEX(CA!B$2:B$78,MATCH($E235,CA!$A$2:$A$78,0)),
"")</f>
        <v>HUMBOLDT PARK</v>
      </c>
      <c r="I235" s="60" t="str">
        <f>_xlfn.IFNA(
INDEX(CA!C$2:C$78,MATCH($E235,CA!$A$2:$A$78,0)),
"")</f>
        <v>3-A</v>
      </c>
      <c r="J235" s="60">
        <f>_xlfn.IFNA(
INDEX(CA!D$2:D$78,MATCH($E235,CA!$A$2:$A$78,0)),
"")</f>
        <v>3</v>
      </c>
      <c r="K235" s="58" t="str">
        <f>_xlfn.IFNA(
INDEX(CA!E$2:E$78,MATCH($E235,CA!$A$2:$A$78,0)),
"")</f>
        <v>WEST</v>
      </c>
      <c r="L235" s="15" t="e">
        <v>#VALUE!</v>
      </c>
      <c r="M235" s="15" t="e">
        <v>#VALUE!</v>
      </c>
      <c r="N235" s="15" t="e">
        <v>#VALUE!</v>
      </c>
      <c r="O235" s="15" t="e">
        <v>#VALUE!</v>
      </c>
      <c r="P235" s="15" t="e">
        <v>#VALUE!</v>
      </c>
      <c r="Q235" s="15" t="e">
        <v>#VALUE!</v>
      </c>
      <c r="R235" s="15" t="e">
        <v>#VALUE!</v>
      </c>
      <c r="S235" s="15" t="e">
        <v>#VALUE!</v>
      </c>
      <c r="T235" s="129">
        <v>0.24070615060400777</v>
      </c>
      <c r="U235" s="130" t="e">
        <f t="shared" si="15"/>
        <v>#VALUE!</v>
      </c>
      <c r="V235" s="129">
        <v>0.24070615060400777</v>
      </c>
      <c r="W235" s="130" t="e">
        <f t="shared" si="12"/>
        <v>#VALUE!</v>
      </c>
      <c r="X235" s="129">
        <v>0.24070615060400777</v>
      </c>
      <c r="Y235" s="130" t="e">
        <f t="shared" si="13"/>
        <v>#VALUE!</v>
      </c>
      <c r="Z235" s="129">
        <v>0.24070615060400777</v>
      </c>
      <c r="AA235" s="130" t="e">
        <f t="shared" si="14"/>
        <v>#VALUE!</v>
      </c>
    </row>
    <row r="236" spans="1:27" x14ac:dyDescent="0.3">
      <c r="A236">
        <v>842100</v>
      </c>
      <c r="B236">
        <v>17031842100</v>
      </c>
      <c r="C236">
        <v>17031</v>
      </c>
      <c r="D236">
        <v>2010</v>
      </c>
      <c r="E236">
        <v>23</v>
      </c>
      <c r="F236">
        <v>21623848.355086401</v>
      </c>
      <c r="G236" s="43">
        <v>0.77564883045965338</v>
      </c>
      <c r="H236" s="58" t="str">
        <f>_xlfn.IFNA(
INDEX(CA!B$2:B$78,MATCH($E236,CA!$A$2:$A$78,0)),
"")</f>
        <v>HUMBOLDT PARK</v>
      </c>
      <c r="I236" s="60" t="str">
        <f>_xlfn.IFNA(
INDEX(CA!C$2:C$78,MATCH($E236,CA!$A$2:$A$78,0)),
"")</f>
        <v>3-A</v>
      </c>
      <c r="J236" s="60">
        <f>_xlfn.IFNA(
INDEX(CA!D$2:D$78,MATCH($E236,CA!$A$2:$A$78,0)),
"")</f>
        <v>3</v>
      </c>
      <c r="K236" s="58" t="str">
        <f>_xlfn.IFNA(
INDEX(CA!E$2:E$78,MATCH($E236,CA!$A$2:$A$78,0)),
"")</f>
        <v>WEST</v>
      </c>
      <c r="L236" s="15" t="e">
        <v>#VALUE!</v>
      </c>
      <c r="M236" s="15" t="e">
        <v>#VALUE!</v>
      </c>
      <c r="N236" s="15" t="e">
        <v>#VALUE!</v>
      </c>
      <c r="O236" s="15" t="e">
        <v>#VALUE!</v>
      </c>
      <c r="P236" s="15" t="e">
        <v>#VALUE!</v>
      </c>
      <c r="Q236" s="15" t="e">
        <v>#VALUE!</v>
      </c>
      <c r="R236" s="15" t="e">
        <v>#VALUE!</v>
      </c>
      <c r="S236" s="15" t="e">
        <v>#VALUE!</v>
      </c>
      <c r="T236" s="129">
        <v>0.27565217797348918</v>
      </c>
      <c r="U236" s="130" t="e">
        <f t="shared" si="15"/>
        <v>#VALUE!</v>
      </c>
      <c r="V236" s="129">
        <v>0.27565217797348918</v>
      </c>
      <c r="W236" s="130" t="e">
        <f t="shared" si="12"/>
        <v>#VALUE!</v>
      </c>
      <c r="X236" s="129">
        <v>0.27565217797348918</v>
      </c>
      <c r="Y236" s="130" t="e">
        <f t="shared" si="13"/>
        <v>#VALUE!</v>
      </c>
      <c r="Z236" s="129">
        <v>0.27565217797348918</v>
      </c>
      <c r="AA236" s="130" t="e">
        <f t="shared" si="14"/>
        <v>#VALUE!</v>
      </c>
    </row>
    <row r="237" spans="1:27" x14ac:dyDescent="0.3">
      <c r="A237">
        <v>230600</v>
      </c>
      <c r="B237">
        <v>17031230600</v>
      </c>
      <c r="C237">
        <v>17031</v>
      </c>
      <c r="D237">
        <v>2010</v>
      </c>
      <c r="E237">
        <v>23</v>
      </c>
      <c r="F237">
        <v>10690725.019616401</v>
      </c>
      <c r="G237" s="43">
        <v>0.3834769936444129</v>
      </c>
      <c r="H237" s="58" t="str">
        <f>_xlfn.IFNA(
INDEX(CA!B$2:B$78,MATCH($E237,CA!$A$2:$A$78,0)),
"")</f>
        <v>HUMBOLDT PARK</v>
      </c>
      <c r="I237" s="60" t="str">
        <f>_xlfn.IFNA(
INDEX(CA!C$2:C$78,MATCH($E237,CA!$A$2:$A$78,0)),
"")</f>
        <v>3-A</v>
      </c>
      <c r="J237" s="60">
        <f>_xlfn.IFNA(
INDEX(CA!D$2:D$78,MATCH($E237,CA!$A$2:$A$78,0)),
"")</f>
        <v>3</v>
      </c>
      <c r="K237" s="58" t="str">
        <f>_xlfn.IFNA(
INDEX(CA!E$2:E$78,MATCH($E237,CA!$A$2:$A$78,0)),
"")</f>
        <v>WEST</v>
      </c>
      <c r="L237" s="15" t="e">
        <v>#VALUE!</v>
      </c>
      <c r="M237" s="15" t="e">
        <v>#VALUE!</v>
      </c>
      <c r="N237" s="15" t="e">
        <v>#VALUE!</v>
      </c>
      <c r="O237" s="15" t="e">
        <v>#VALUE!</v>
      </c>
      <c r="P237" s="15" t="e">
        <v>#VALUE!</v>
      </c>
      <c r="Q237" s="15" t="e">
        <v>#VALUE!</v>
      </c>
      <c r="R237" s="15" t="e">
        <v>#VALUE!</v>
      </c>
      <c r="S237" s="15" t="e">
        <v>#VALUE!</v>
      </c>
      <c r="T237" s="129">
        <v>4.8386603727371006E-3</v>
      </c>
      <c r="U237" s="130" t="e">
        <f t="shared" si="15"/>
        <v>#VALUE!</v>
      </c>
      <c r="V237" s="129">
        <v>4.8386603727371006E-3</v>
      </c>
      <c r="W237" s="130" t="e">
        <f t="shared" si="12"/>
        <v>#VALUE!</v>
      </c>
      <c r="X237" s="129">
        <v>4.8386603727371006E-3</v>
      </c>
      <c r="Y237" s="130" t="e">
        <f t="shared" si="13"/>
        <v>#VALUE!</v>
      </c>
      <c r="Z237" s="129">
        <v>4.8386603727371006E-3</v>
      </c>
      <c r="AA237" s="130" t="e">
        <f t="shared" si="14"/>
        <v>#VALUE!</v>
      </c>
    </row>
    <row r="238" spans="1:27" x14ac:dyDescent="0.3">
      <c r="A238">
        <v>230200</v>
      </c>
      <c r="B238">
        <v>17031230200</v>
      </c>
      <c r="C238">
        <v>17031</v>
      </c>
      <c r="D238">
        <v>2010</v>
      </c>
      <c r="E238">
        <v>23</v>
      </c>
      <c r="F238">
        <v>2310151.2211192702</v>
      </c>
      <c r="G238" s="43">
        <v>8.2865272796117079E-2</v>
      </c>
      <c r="H238" s="58" t="str">
        <f>_xlfn.IFNA(
INDEX(CA!B$2:B$78,MATCH($E238,CA!$A$2:$A$78,0)),
"")</f>
        <v>HUMBOLDT PARK</v>
      </c>
      <c r="I238" s="60" t="str">
        <f>_xlfn.IFNA(
INDEX(CA!C$2:C$78,MATCH($E238,CA!$A$2:$A$78,0)),
"")</f>
        <v>3-A</v>
      </c>
      <c r="J238" s="60">
        <f>_xlfn.IFNA(
INDEX(CA!D$2:D$78,MATCH($E238,CA!$A$2:$A$78,0)),
"")</f>
        <v>3</v>
      </c>
      <c r="K238" s="58" t="str">
        <f>_xlfn.IFNA(
INDEX(CA!E$2:E$78,MATCH($E238,CA!$A$2:$A$78,0)),
"")</f>
        <v>WEST</v>
      </c>
      <c r="L238" s="15" t="e">
        <v>#VALUE!</v>
      </c>
      <c r="M238" s="15" t="e">
        <v>#VALUE!</v>
      </c>
      <c r="N238" s="15" t="e">
        <v>#VALUE!</v>
      </c>
      <c r="O238" s="15" t="e">
        <v>#VALUE!</v>
      </c>
      <c r="P238" s="15" t="e">
        <v>#VALUE!</v>
      </c>
      <c r="Q238" s="15" t="e">
        <v>#VALUE!</v>
      </c>
      <c r="R238" s="15" t="e">
        <v>#VALUE!</v>
      </c>
      <c r="S238" s="15" t="e">
        <v>#VALUE!</v>
      </c>
      <c r="T238" s="129">
        <v>8.2865271979492727E-2</v>
      </c>
      <c r="U238" s="130" t="e">
        <f t="shared" si="15"/>
        <v>#VALUE!</v>
      </c>
      <c r="V238" s="129">
        <v>8.2865271979492727E-2</v>
      </c>
      <c r="W238" s="130" t="e">
        <f t="shared" si="12"/>
        <v>#VALUE!</v>
      </c>
      <c r="X238" s="129">
        <v>8.2865271979492727E-2</v>
      </c>
      <c r="Y238" s="130" t="e">
        <f t="shared" si="13"/>
        <v>#VALUE!</v>
      </c>
      <c r="Z238" s="129">
        <v>8.2865271979492727E-2</v>
      </c>
      <c r="AA238" s="130" t="e">
        <f t="shared" si="14"/>
        <v>#VALUE!</v>
      </c>
    </row>
    <row r="239" spans="1:27" x14ac:dyDescent="0.3">
      <c r="A239">
        <v>230400</v>
      </c>
      <c r="B239">
        <v>17031230400</v>
      </c>
      <c r="C239">
        <v>17031</v>
      </c>
      <c r="D239">
        <v>2010</v>
      </c>
      <c r="E239">
        <v>23</v>
      </c>
      <c r="F239">
        <v>3581395.1397288102</v>
      </c>
      <c r="G239" s="43">
        <v>0.1284648738711264</v>
      </c>
      <c r="H239" s="58" t="str">
        <f>_xlfn.IFNA(
INDEX(CA!B$2:B$78,MATCH($E239,CA!$A$2:$A$78,0)),
"")</f>
        <v>HUMBOLDT PARK</v>
      </c>
      <c r="I239" s="60" t="str">
        <f>_xlfn.IFNA(
INDEX(CA!C$2:C$78,MATCH($E239,CA!$A$2:$A$78,0)),
"")</f>
        <v>3-A</v>
      </c>
      <c r="J239" s="60">
        <f>_xlfn.IFNA(
INDEX(CA!D$2:D$78,MATCH($E239,CA!$A$2:$A$78,0)),
"")</f>
        <v>3</v>
      </c>
      <c r="K239" s="58" t="str">
        <f>_xlfn.IFNA(
INDEX(CA!E$2:E$78,MATCH($E239,CA!$A$2:$A$78,0)),
"")</f>
        <v>WEST</v>
      </c>
      <c r="L239" s="15" t="e">
        <v>#VALUE!</v>
      </c>
      <c r="M239" s="15" t="e">
        <v>#VALUE!</v>
      </c>
      <c r="N239" s="15" t="e">
        <v>#VALUE!</v>
      </c>
      <c r="O239" s="15" t="e">
        <v>#VALUE!</v>
      </c>
      <c r="P239" s="15" t="e">
        <v>#VALUE!</v>
      </c>
      <c r="Q239" s="15" t="e">
        <v>#VALUE!</v>
      </c>
      <c r="R239" s="15" t="e">
        <v>#VALUE!</v>
      </c>
      <c r="S239" s="15" t="e">
        <v>#VALUE!</v>
      </c>
      <c r="T239" s="129">
        <v>0.12846488183605265</v>
      </c>
      <c r="U239" s="130" t="e">
        <f t="shared" si="15"/>
        <v>#VALUE!</v>
      </c>
      <c r="V239" s="129">
        <v>0.12846488183605265</v>
      </c>
      <c r="W239" s="130" t="e">
        <f t="shared" si="12"/>
        <v>#VALUE!</v>
      </c>
      <c r="X239" s="129">
        <v>0.12846488183605265</v>
      </c>
      <c r="Y239" s="130" t="e">
        <f t="shared" si="13"/>
        <v>#VALUE!</v>
      </c>
      <c r="Z239" s="129">
        <v>0.12846488183605265</v>
      </c>
      <c r="AA239" s="130" t="e">
        <f t="shared" si="14"/>
        <v>#VALUE!</v>
      </c>
    </row>
    <row r="240" spans="1:27" x14ac:dyDescent="0.3">
      <c r="A240">
        <v>836700</v>
      </c>
      <c r="B240">
        <v>17031836700</v>
      </c>
      <c r="C240">
        <v>17031</v>
      </c>
      <c r="D240">
        <v>2010</v>
      </c>
      <c r="E240">
        <v>23</v>
      </c>
      <c r="F240">
        <v>13253999.576710699</v>
      </c>
      <c r="G240" s="43">
        <v>0.47542181677250844</v>
      </c>
      <c r="H240" s="58" t="str">
        <f>_xlfn.IFNA(
INDEX(CA!B$2:B$78,MATCH($E240,CA!$A$2:$A$78,0)),
"")</f>
        <v>HUMBOLDT PARK</v>
      </c>
      <c r="I240" s="60" t="str">
        <f>_xlfn.IFNA(
INDEX(CA!C$2:C$78,MATCH($E240,CA!$A$2:$A$78,0)),
"")</f>
        <v>3-A</v>
      </c>
      <c r="J240" s="60">
        <f>_xlfn.IFNA(
INDEX(CA!D$2:D$78,MATCH($E240,CA!$A$2:$A$78,0)),
"")</f>
        <v>3</v>
      </c>
      <c r="K240" s="58" t="str">
        <f>_xlfn.IFNA(
INDEX(CA!E$2:E$78,MATCH($E240,CA!$A$2:$A$78,0)),
"")</f>
        <v>WEST</v>
      </c>
      <c r="L240" s="15" t="e">
        <v>#VALUE!</v>
      </c>
      <c r="M240" s="15" t="e">
        <v>#VALUE!</v>
      </c>
      <c r="N240" s="15" t="e">
        <v>#VALUE!</v>
      </c>
      <c r="O240" s="15" t="e">
        <v>#VALUE!</v>
      </c>
      <c r="P240" s="15" t="e">
        <v>#VALUE!</v>
      </c>
      <c r="Q240" s="15" t="e">
        <v>#VALUE!</v>
      </c>
      <c r="R240" s="15" t="e">
        <v>#VALUE!</v>
      </c>
      <c r="S240" s="15" t="e">
        <v>#VALUE!</v>
      </c>
      <c r="T240" s="129">
        <v>0.47542183359395446</v>
      </c>
      <c r="U240" s="130" t="e">
        <f t="shared" si="15"/>
        <v>#VALUE!</v>
      </c>
      <c r="V240" s="129">
        <v>0.47542183359395446</v>
      </c>
      <c r="W240" s="130" t="e">
        <f t="shared" si="12"/>
        <v>#VALUE!</v>
      </c>
      <c r="X240" s="129">
        <v>0.47542183359395446</v>
      </c>
      <c r="Y240" s="130" t="e">
        <f t="shared" si="13"/>
        <v>#VALUE!</v>
      </c>
      <c r="Z240" s="129">
        <v>0.47542183359395446</v>
      </c>
      <c r="AA240" s="130" t="e">
        <f t="shared" si="14"/>
        <v>#VALUE!</v>
      </c>
    </row>
    <row r="241" spans="1:27" x14ac:dyDescent="0.3">
      <c r="A241">
        <v>230300</v>
      </c>
      <c r="B241">
        <v>17031230300</v>
      </c>
      <c r="C241">
        <v>17031</v>
      </c>
      <c r="D241">
        <v>2010</v>
      </c>
      <c r="E241">
        <v>23</v>
      </c>
      <c r="F241">
        <v>1147298.8889013401</v>
      </c>
      <c r="G241" s="43">
        <v>4.1153684892294394E-2</v>
      </c>
      <c r="H241" s="58" t="str">
        <f>_xlfn.IFNA(
INDEX(CA!B$2:B$78,MATCH($E241,CA!$A$2:$A$78,0)),
"")</f>
        <v>HUMBOLDT PARK</v>
      </c>
      <c r="I241" s="60" t="str">
        <f>_xlfn.IFNA(
INDEX(CA!C$2:C$78,MATCH($E241,CA!$A$2:$A$78,0)),
"")</f>
        <v>3-A</v>
      </c>
      <c r="J241" s="60">
        <f>_xlfn.IFNA(
INDEX(CA!D$2:D$78,MATCH($E241,CA!$A$2:$A$78,0)),
"")</f>
        <v>3</v>
      </c>
      <c r="K241" s="58" t="str">
        <f>_xlfn.IFNA(
INDEX(CA!E$2:E$78,MATCH($E241,CA!$A$2:$A$78,0)),
"")</f>
        <v>WEST</v>
      </c>
      <c r="L241" s="15" t="e">
        <v>#VALUE!</v>
      </c>
      <c r="M241" s="15" t="e">
        <v>#VALUE!</v>
      </c>
      <c r="N241" s="15" t="e">
        <v>#VALUE!</v>
      </c>
      <c r="O241" s="15" t="e">
        <v>#VALUE!</v>
      </c>
      <c r="P241" s="15" t="e">
        <v>#VALUE!</v>
      </c>
      <c r="Q241" s="15" t="e">
        <v>#VALUE!</v>
      </c>
      <c r="R241" s="15" t="e">
        <v>#VALUE!</v>
      </c>
      <c r="S241" s="15" t="e">
        <v>#VALUE!</v>
      </c>
      <c r="T241" s="129">
        <v>4.1153678088842252E-2</v>
      </c>
      <c r="U241" s="130" t="e">
        <f t="shared" si="15"/>
        <v>#VALUE!</v>
      </c>
      <c r="V241" s="129">
        <v>4.1153678088842252E-2</v>
      </c>
      <c r="W241" s="130" t="e">
        <f t="shared" si="12"/>
        <v>#VALUE!</v>
      </c>
      <c r="X241" s="129">
        <v>4.1153678088842252E-2</v>
      </c>
      <c r="Y241" s="130" t="e">
        <f t="shared" si="13"/>
        <v>#VALUE!</v>
      </c>
      <c r="Z241" s="129">
        <v>4.1153678088842252E-2</v>
      </c>
      <c r="AA241" s="130" t="e">
        <f t="shared" si="14"/>
        <v>#VALUE!</v>
      </c>
    </row>
    <row r="242" spans="1:27" x14ac:dyDescent="0.3">
      <c r="A242">
        <v>230800</v>
      </c>
      <c r="B242">
        <v>17031230800</v>
      </c>
      <c r="C242">
        <v>17031</v>
      </c>
      <c r="D242">
        <v>2010</v>
      </c>
      <c r="E242">
        <v>23</v>
      </c>
      <c r="F242">
        <v>2194601.0790440599</v>
      </c>
      <c r="G242" s="43">
        <v>7.8720481772413767E-2</v>
      </c>
      <c r="H242" s="58" t="str">
        <f>_xlfn.IFNA(
INDEX(CA!B$2:B$78,MATCH($E242,CA!$A$2:$A$78,0)),
"")</f>
        <v>HUMBOLDT PARK</v>
      </c>
      <c r="I242" s="60" t="str">
        <f>_xlfn.IFNA(
INDEX(CA!C$2:C$78,MATCH($E242,CA!$A$2:$A$78,0)),
"")</f>
        <v>3-A</v>
      </c>
      <c r="J242" s="60">
        <f>_xlfn.IFNA(
INDEX(CA!D$2:D$78,MATCH($E242,CA!$A$2:$A$78,0)),
"")</f>
        <v>3</v>
      </c>
      <c r="K242" s="58" t="str">
        <f>_xlfn.IFNA(
INDEX(CA!E$2:E$78,MATCH($E242,CA!$A$2:$A$78,0)),
"")</f>
        <v>WEST</v>
      </c>
      <c r="L242" s="15" t="e">
        <v>#VALUE!</v>
      </c>
      <c r="M242" s="15" t="e">
        <v>#VALUE!</v>
      </c>
      <c r="N242" s="15" t="e">
        <v>#VALUE!</v>
      </c>
      <c r="O242" s="15" t="e">
        <v>#VALUE!</v>
      </c>
      <c r="P242" s="15" t="e">
        <v>#VALUE!</v>
      </c>
      <c r="Q242" s="15" t="e">
        <v>#VALUE!</v>
      </c>
      <c r="R242" s="15" t="e">
        <v>#VALUE!</v>
      </c>
      <c r="S242" s="15" t="e">
        <v>#VALUE!</v>
      </c>
      <c r="T242" s="129">
        <v>7.8720489386394477E-2</v>
      </c>
      <c r="U242" s="130" t="e">
        <f t="shared" si="15"/>
        <v>#VALUE!</v>
      </c>
      <c r="V242" s="129">
        <v>7.8720489386394477E-2</v>
      </c>
      <c r="W242" s="130" t="e">
        <f t="shared" si="12"/>
        <v>#VALUE!</v>
      </c>
      <c r="X242" s="129">
        <v>7.8720489386394477E-2</v>
      </c>
      <c r="Y242" s="130" t="e">
        <f t="shared" si="13"/>
        <v>#VALUE!</v>
      </c>
      <c r="Z242" s="129">
        <v>7.8720489386394477E-2</v>
      </c>
      <c r="AA242" s="130" t="e">
        <f t="shared" si="14"/>
        <v>#VALUE!</v>
      </c>
    </row>
    <row r="243" spans="1:27" x14ac:dyDescent="0.3">
      <c r="A243">
        <v>836600</v>
      </c>
      <c r="B243">
        <v>17031836600</v>
      </c>
      <c r="C243">
        <v>17031</v>
      </c>
      <c r="D243">
        <v>2010</v>
      </c>
      <c r="E243">
        <v>23</v>
      </c>
      <c r="F243">
        <v>6830158.6089316802</v>
      </c>
      <c r="G243" s="43">
        <v>0.24499822833920457</v>
      </c>
      <c r="H243" s="58" t="str">
        <f>_xlfn.IFNA(
INDEX(CA!B$2:B$78,MATCH($E243,CA!$A$2:$A$78,0)),
"")</f>
        <v>HUMBOLDT PARK</v>
      </c>
      <c r="I243" s="60" t="str">
        <f>_xlfn.IFNA(
INDEX(CA!C$2:C$78,MATCH($E243,CA!$A$2:$A$78,0)),
"")</f>
        <v>3-A</v>
      </c>
      <c r="J243" s="60">
        <f>_xlfn.IFNA(
INDEX(CA!D$2:D$78,MATCH($E243,CA!$A$2:$A$78,0)),
"")</f>
        <v>3</v>
      </c>
      <c r="K243" s="58" t="str">
        <f>_xlfn.IFNA(
INDEX(CA!E$2:E$78,MATCH($E243,CA!$A$2:$A$78,0)),
"")</f>
        <v>WEST</v>
      </c>
      <c r="L243" s="15" t="e">
        <v>#VALUE!</v>
      </c>
      <c r="M243" s="15" t="e">
        <v>#VALUE!</v>
      </c>
      <c r="N243" s="15" t="e">
        <v>#VALUE!</v>
      </c>
      <c r="O243" s="15" t="e">
        <v>#VALUE!</v>
      </c>
      <c r="P243" s="15" t="e">
        <v>#VALUE!</v>
      </c>
      <c r="Q243" s="15" t="e">
        <v>#VALUE!</v>
      </c>
      <c r="R243" s="15" t="e">
        <v>#VALUE!</v>
      </c>
      <c r="S243" s="15" t="e">
        <v>#VALUE!</v>
      </c>
      <c r="T243" s="129">
        <v>0.24499822357646242</v>
      </c>
      <c r="U243" s="130" t="e">
        <f t="shared" si="15"/>
        <v>#VALUE!</v>
      </c>
      <c r="V243" s="129">
        <v>0.24499822357646242</v>
      </c>
      <c r="W243" s="130" t="e">
        <f t="shared" si="12"/>
        <v>#VALUE!</v>
      </c>
      <c r="X243" s="129">
        <v>0.24499822357646242</v>
      </c>
      <c r="Y243" s="130" t="e">
        <f t="shared" si="13"/>
        <v>#VALUE!</v>
      </c>
      <c r="Z243" s="129">
        <v>0.24499822357646242</v>
      </c>
      <c r="AA243" s="130" t="e">
        <f t="shared" si="14"/>
        <v>#VALUE!</v>
      </c>
    </row>
    <row r="244" spans="1:27" x14ac:dyDescent="0.3">
      <c r="A244">
        <v>230100</v>
      </c>
      <c r="B244">
        <v>17031230100</v>
      </c>
      <c r="C244">
        <v>17031</v>
      </c>
      <c r="D244">
        <v>2010</v>
      </c>
      <c r="E244">
        <v>23</v>
      </c>
      <c r="F244">
        <v>1775376.82677664</v>
      </c>
      <c r="G244" s="43">
        <v>6.3682880896200639E-2</v>
      </c>
      <c r="H244" s="58" t="str">
        <f>_xlfn.IFNA(
INDEX(CA!B$2:B$78,MATCH($E244,CA!$A$2:$A$78,0)),
"")</f>
        <v>HUMBOLDT PARK</v>
      </c>
      <c r="I244" s="60" t="str">
        <f>_xlfn.IFNA(
INDEX(CA!C$2:C$78,MATCH($E244,CA!$A$2:$A$78,0)),
"")</f>
        <v>3-A</v>
      </c>
      <c r="J244" s="60">
        <f>_xlfn.IFNA(
INDEX(CA!D$2:D$78,MATCH($E244,CA!$A$2:$A$78,0)),
"")</f>
        <v>3</v>
      </c>
      <c r="K244" s="58" t="str">
        <f>_xlfn.IFNA(
INDEX(CA!E$2:E$78,MATCH($E244,CA!$A$2:$A$78,0)),
"")</f>
        <v>WEST</v>
      </c>
      <c r="L244" s="15" t="e">
        <v>#VALUE!</v>
      </c>
      <c r="M244" s="15" t="e">
        <v>#VALUE!</v>
      </c>
      <c r="N244" s="15" t="e">
        <v>#VALUE!</v>
      </c>
      <c r="O244" s="15" t="e">
        <v>#VALUE!</v>
      </c>
      <c r="P244" s="15" t="e">
        <v>#VALUE!</v>
      </c>
      <c r="Q244" s="15" t="e">
        <v>#VALUE!</v>
      </c>
      <c r="R244" s="15" t="e">
        <v>#VALUE!</v>
      </c>
      <c r="S244" s="15" t="e">
        <v>#VALUE!</v>
      </c>
      <c r="T244" s="129">
        <v>6.3682873421810435E-2</v>
      </c>
      <c r="U244" s="130" t="e">
        <f t="shared" si="15"/>
        <v>#VALUE!</v>
      </c>
      <c r="V244" s="129">
        <v>6.3682873421810435E-2</v>
      </c>
      <c r="W244" s="130" t="e">
        <f t="shared" si="12"/>
        <v>#VALUE!</v>
      </c>
      <c r="X244" s="129">
        <v>6.3682873421810435E-2</v>
      </c>
      <c r="Y244" s="130" t="e">
        <f t="shared" si="13"/>
        <v>#VALUE!</v>
      </c>
      <c r="Z244" s="129">
        <v>6.3682873421810435E-2</v>
      </c>
      <c r="AA244" s="130" t="e">
        <f t="shared" si="14"/>
        <v>#VALUE!</v>
      </c>
    </row>
    <row r="245" spans="1:27" x14ac:dyDescent="0.3">
      <c r="A245">
        <v>231100</v>
      </c>
      <c r="B245">
        <v>17031231100</v>
      </c>
      <c r="C245">
        <v>17031</v>
      </c>
      <c r="D245">
        <v>2010</v>
      </c>
      <c r="E245">
        <v>23</v>
      </c>
      <c r="F245">
        <v>1895074.15186983</v>
      </c>
      <c r="G245" s="43">
        <v>6.7976431641336307E-2</v>
      </c>
      <c r="H245" s="58" t="str">
        <f>_xlfn.IFNA(
INDEX(CA!B$2:B$78,MATCH($E245,CA!$A$2:$A$78,0)),
"")</f>
        <v>HUMBOLDT PARK</v>
      </c>
      <c r="I245" s="60" t="str">
        <f>_xlfn.IFNA(
INDEX(CA!C$2:C$78,MATCH($E245,CA!$A$2:$A$78,0)),
"")</f>
        <v>3-A</v>
      </c>
      <c r="J245" s="60">
        <f>_xlfn.IFNA(
INDEX(CA!D$2:D$78,MATCH($E245,CA!$A$2:$A$78,0)),
"")</f>
        <v>3</v>
      </c>
      <c r="K245" s="58" t="str">
        <f>_xlfn.IFNA(
INDEX(CA!E$2:E$78,MATCH($E245,CA!$A$2:$A$78,0)),
"")</f>
        <v>WEST</v>
      </c>
      <c r="L245" s="15" t="e">
        <v>#VALUE!</v>
      </c>
      <c r="M245" s="15" t="e">
        <v>#VALUE!</v>
      </c>
      <c r="N245" s="15" t="e">
        <v>#VALUE!</v>
      </c>
      <c r="O245" s="15" t="e">
        <v>#VALUE!</v>
      </c>
      <c r="P245" s="15" t="e">
        <v>#VALUE!</v>
      </c>
      <c r="Q245" s="15" t="e">
        <v>#VALUE!</v>
      </c>
      <c r="R245" s="15" t="e">
        <v>#VALUE!</v>
      </c>
      <c r="S245" s="15" t="e">
        <v>#VALUE!</v>
      </c>
      <c r="T245" s="129">
        <v>6.7976433623348542E-2</v>
      </c>
      <c r="U245" s="130" t="e">
        <f t="shared" si="15"/>
        <v>#VALUE!</v>
      </c>
      <c r="V245" s="129">
        <v>6.7976433623348542E-2</v>
      </c>
      <c r="W245" s="130" t="e">
        <f t="shared" si="12"/>
        <v>#VALUE!</v>
      </c>
      <c r="X245" s="129">
        <v>6.7976433623348542E-2</v>
      </c>
      <c r="Y245" s="130" t="e">
        <f t="shared" si="13"/>
        <v>#VALUE!</v>
      </c>
      <c r="Z245" s="129">
        <v>6.7976433623348542E-2</v>
      </c>
      <c r="AA245" s="130" t="e">
        <f t="shared" si="14"/>
        <v>#VALUE!</v>
      </c>
    </row>
    <row r="246" spans="1:27" x14ac:dyDescent="0.3">
      <c r="A246">
        <v>231500</v>
      </c>
      <c r="B246">
        <v>17031231500</v>
      </c>
      <c r="C246">
        <v>17031</v>
      </c>
      <c r="D246">
        <v>2010</v>
      </c>
      <c r="E246">
        <v>23</v>
      </c>
      <c r="F246">
        <v>10706817.1998515</v>
      </c>
      <c r="G246" s="43">
        <v>0.38405422118383764</v>
      </c>
      <c r="H246" s="58" t="str">
        <f>_xlfn.IFNA(
INDEX(CA!B$2:B$78,MATCH($E246,CA!$A$2:$A$78,0)),
"")</f>
        <v>HUMBOLDT PARK</v>
      </c>
      <c r="I246" s="60" t="str">
        <f>_xlfn.IFNA(
INDEX(CA!C$2:C$78,MATCH($E246,CA!$A$2:$A$78,0)),
"")</f>
        <v>3-A</v>
      </c>
      <c r="J246" s="60">
        <f>_xlfn.IFNA(
INDEX(CA!D$2:D$78,MATCH($E246,CA!$A$2:$A$78,0)),
"")</f>
        <v>3</v>
      </c>
      <c r="K246" s="58" t="str">
        <f>_xlfn.IFNA(
INDEX(CA!E$2:E$78,MATCH($E246,CA!$A$2:$A$78,0)),
"")</f>
        <v>WEST</v>
      </c>
      <c r="L246" s="15" t="e">
        <v>#VALUE!</v>
      </c>
      <c r="M246" s="15" t="e">
        <v>#VALUE!</v>
      </c>
      <c r="N246" s="15" t="e">
        <v>#VALUE!</v>
      </c>
      <c r="O246" s="15" t="e">
        <v>#VALUE!</v>
      </c>
      <c r="P246" s="15" t="e">
        <v>#VALUE!</v>
      </c>
      <c r="Q246" s="15" t="e">
        <v>#VALUE!</v>
      </c>
      <c r="R246" s="15" t="e">
        <v>#VALUE!</v>
      </c>
      <c r="S246" s="15" t="e">
        <v>#VALUE!</v>
      </c>
      <c r="T246" s="129">
        <v>0.37018112344318899</v>
      </c>
      <c r="U246" s="130" t="e">
        <f t="shared" si="15"/>
        <v>#VALUE!</v>
      </c>
      <c r="V246" s="129">
        <v>0.37018112344318899</v>
      </c>
      <c r="W246" s="130" t="e">
        <f t="shared" si="12"/>
        <v>#VALUE!</v>
      </c>
      <c r="X246" s="129">
        <v>0.37018112344318899</v>
      </c>
      <c r="Y246" s="130" t="e">
        <f t="shared" si="13"/>
        <v>#VALUE!</v>
      </c>
      <c r="Z246" s="129">
        <v>0.37018112344318899</v>
      </c>
      <c r="AA246" s="130" t="e">
        <f t="shared" si="14"/>
        <v>#VALUE!</v>
      </c>
    </row>
    <row r="247" spans="1:27" x14ac:dyDescent="0.3">
      <c r="A247">
        <v>230500</v>
      </c>
      <c r="B247">
        <v>17031230500</v>
      </c>
      <c r="C247">
        <v>17031</v>
      </c>
      <c r="D247">
        <v>2010</v>
      </c>
      <c r="E247">
        <v>23</v>
      </c>
      <c r="F247">
        <v>5581588.7213832801</v>
      </c>
      <c r="G247" s="43">
        <v>0.20021194621582589</v>
      </c>
      <c r="H247" s="58" t="str">
        <f>_xlfn.IFNA(
INDEX(CA!B$2:B$78,MATCH($E247,CA!$A$2:$A$78,0)),
"")</f>
        <v>HUMBOLDT PARK</v>
      </c>
      <c r="I247" s="60" t="str">
        <f>_xlfn.IFNA(
INDEX(CA!C$2:C$78,MATCH($E247,CA!$A$2:$A$78,0)),
"")</f>
        <v>3-A</v>
      </c>
      <c r="J247" s="60">
        <f>_xlfn.IFNA(
INDEX(CA!D$2:D$78,MATCH($E247,CA!$A$2:$A$78,0)),
"")</f>
        <v>3</v>
      </c>
      <c r="K247" s="58" t="str">
        <f>_xlfn.IFNA(
INDEX(CA!E$2:E$78,MATCH($E247,CA!$A$2:$A$78,0)),
"")</f>
        <v>WEST</v>
      </c>
      <c r="L247" s="15" t="e">
        <v>#VALUE!</v>
      </c>
      <c r="M247" s="15" t="e">
        <v>#VALUE!</v>
      </c>
      <c r="N247" s="15" t="e">
        <v>#VALUE!</v>
      </c>
      <c r="O247" s="15" t="e">
        <v>#VALUE!</v>
      </c>
      <c r="P247" s="15" t="e">
        <v>#VALUE!</v>
      </c>
      <c r="Q247" s="15" t="e">
        <v>#VALUE!</v>
      </c>
      <c r="R247" s="15" t="e">
        <v>#VALUE!</v>
      </c>
      <c r="S247" s="15" t="e">
        <v>#VALUE!</v>
      </c>
      <c r="T247" s="129">
        <v>3.4883806305128454E-2</v>
      </c>
      <c r="U247" s="130" t="e">
        <f t="shared" si="15"/>
        <v>#VALUE!</v>
      </c>
      <c r="V247" s="129">
        <v>3.4883806305128454E-2</v>
      </c>
      <c r="W247" s="130" t="e">
        <f t="shared" si="12"/>
        <v>#VALUE!</v>
      </c>
      <c r="X247" s="129">
        <v>3.4883806305128454E-2</v>
      </c>
      <c r="Y247" s="130" t="e">
        <f t="shared" si="13"/>
        <v>#VALUE!</v>
      </c>
      <c r="Z247" s="129">
        <v>3.4883806305128454E-2</v>
      </c>
      <c r="AA247" s="130" t="e">
        <f t="shared" si="14"/>
        <v>#VALUE!</v>
      </c>
    </row>
    <row r="248" spans="1:27" x14ac:dyDescent="0.3">
      <c r="A248">
        <v>242100</v>
      </c>
      <c r="B248">
        <v>17031242100</v>
      </c>
      <c r="C248">
        <v>17031</v>
      </c>
      <c r="D248">
        <v>2010</v>
      </c>
      <c r="E248">
        <v>24</v>
      </c>
      <c r="F248">
        <v>3530263.8394004698</v>
      </c>
      <c r="G248" s="43">
        <v>0.12663079084167203</v>
      </c>
      <c r="H248" s="58" t="str">
        <f>_xlfn.IFNA(
INDEX(CA!B$2:B$78,MATCH($E248,CA!$A$2:$A$78,0)),
"")</f>
        <v>WEST TOWN</v>
      </c>
      <c r="I248" s="60" t="str">
        <f>_xlfn.IFNA(
INDEX(CA!C$2:C$78,MATCH($E248,CA!$A$2:$A$78,0)),
"")</f>
        <v>3-B</v>
      </c>
      <c r="J248" s="60">
        <f>_xlfn.IFNA(
INDEX(CA!D$2:D$78,MATCH($E248,CA!$A$2:$A$78,0)),
"")</f>
        <v>7</v>
      </c>
      <c r="K248" s="58" t="str">
        <f>_xlfn.IFNA(
INDEX(CA!E$2:E$78,MATCH($E248,CA!$A$2:$A$78,0)),
"")</f>
        <v>CENTRAL</v>
      </c>
      <c r="L248" s="15" t="e">
        <v>#VALUE!</v>
      </c>
      <c r="M248" s="15" t="e">
        <v>#VALUE!</v>
      </c>
      <c r="N248" s="15" t="e">
        <v>#VALUE!</v>
      </c>
      <c r="O248" s="15" t="e">
        <v>#VALUE!</v>
      </c>
      <c r="P248" s="15" t="e">
        <v>#VALUE!</v>
      </c>
      <c r="Q248" s="15" t="e">
        <v>#VALUE!</v>
      </c>
      <c r="R248" s="15" t="e">
        <v>#VALUE!</v>
      </c>
      <c r="S248" s="15" t="e">
        <v>#VALUE!</v>
      </c>
      <c r="T248" s="129">
        <v>0.12663078950174186</v>
      </c>
      <c r="U248" s="130" t="e">
        <f t="shared" si="15"/>
        <v>#VALUE!</v>
      </c>
      <c r="V248" s="129">
        <v>0.12663078950174186</v>
      </c>
      <c r="W248" s="130" t="e">
        <f t="shared" si="12"/>
        <v>#VALUE!</v>
      </c>
      <c r="X248" s="129">
        <v>0.12663078950174186</v>
      </c>
      <c r="Y248" s="130" t="e">
        <f t="shared" si="13"/>
        <v>#VALUE!</v>
      </c>
      <c r="Z248" s="129">
        <v>0.12663078950174186</v>
      </c>
      <c r="AA248" s="130" t="e">
        <f t="shared" si="14"/>
        <v>#VALUE!</v>
      </c>
    </row>
    <row r="249" spans="1:27" x14ac:dyDescent="0.3">
      <c r="A249">
        <v>242800</v>
      </c>
      <c r="B249">
        <v>17031242800</v>
      </c>
      <c r="C249">
        <v>17031</v>
      </c>
      <c r="D249">
        <v>2010</v>
      </c>
      <c r="E249">
        <v>24</v>
      </c>
      <c r="F249">
        <v>4805619.9230553601</v>
      </c>
      <c r="G249" s="43">
        <v>0.17237789554118457</v>
      </c>
      <c r="H249" s="58" t="str">
        <f>_xlfn.IFNA(
INDEX(CA!B$2:B$78,MATCH($E249,CA!$A$2:$A$78,0)),
"")</f>
        <v>WEST TOWN</v>
      </c>
      <c r="I249" s="60" t="str">
        <f>_xlfn.IFNA(
INDEX(CA!C$2:C$78,MATCH($E249,CA!$A$2:$A$78,0)),
"")</f>
        <v>3-B</v>
      </c>
      <c r="J249" s="60">
        <f>_xlfn.IFNA(
INDEX(CA!D$2:D$78,MATCH($E249,CA!$A$2:$A$78,0)),
"")</f>
        <v>7</v>
      </c>
      <c r="K249" s="58" t="str">
        <f>_xlfn.IFNA(
INDEX(CA!E$2:E$78,MATCH($E249,CA!$A$2:$A$78,0)),
"")</f>
        <v>CENTRAL</v>
      </c>
      <c r="L249" s="15" t="e">
        <v>#VALUE!</v>
      </c>
      <c r="M249" s="15" t="e">
        <v>#VALUE!</v>
      </c>
      <c r="N249" s="15" t="e">
        <v>#VALUE!</v>
      </c>
      <c r="O249" s="15" t="e">
        <v>#VALUE!</v>
      </c>
      <c r="P249" s="15" t="e">
        <v>#VALUE!</v>
      </c>
      <c r="Q249" s="15" t="e">
        <v>#VALUE!</v>
      </c>
      <c r="R249" s="15" t="e">
        <v>#VALUE!</v>
      </c>
      <c r="S249" s="15" t="e">
        <v>#VALUE!</v>
      </c>
      <c r="T249" s="129">
        <v>0.17079773240058899</v>
      </c>
      <c r="U249" s="130" t="e">
        <f t="shared" si="15"/>
        <v>#VALUE!</v>
      </c>
      <c r="V249" s="129">
        <v>0.17079773240058899</v>
      </c>
      <c r="W249" s="130" t="e">
        <f t="shared" si="12"/>
        <v>#VALUE!</v>
      </c>
      <c r="X249" s="129">
        <v>0.17079773240058899</v>
      </c>
      <c r="Y249" s="130" t="e">
        <f t="shared" si="13"/>
        <v>#VALUE!</v>
      </c>
      <c r="Z249" s="129">
        <v>0.17079773240058899</v>
      </c>
      <c r="AA249" s="130" t="e">
        <f t="shared" si="14"/>
        <v>#VALUE!</v>
      </c>
    </row>
    <row r="250" spans="1:27" x14ac:dyDescent="0.3">
      <c r="A250">
        <v>243100</v>
      </c>
      <c r="B250">
        <v>17031243100</v>
      </c>
      <c r="C250">
        <v>17031</v>
      </c>
      <c r="D250">
        <v>2010</v>
      </c>
      <c r="E250">
        <v>24</v>
      </c>
      <c r="F250">
        <v>3487580.5135117699</v>
      </c>
      <c r="G250" s="43">
        <v>0.12509973719839626</v>
      </c>
      <c r="H250" s="58" t="str">
        <f>_xlfn.IFNA(
INDEX(CA!B$2:B$78,MATCH($E250,CA!$A$2:$A$78,0)),
"")</f>
        <v>WEST TOWN</v>
      </c>
      <c r="I250" s="60" t="str">
        <f>_xlfn.IFNA(
INDEX(CA!C$2:C$78,MATCH($E250,CA!$A$2:$A$78,0)),
"")</f>
        <v>3-B</v>
      </c>
      <c r="J250" s="60">
        <f>_xlfn.IFNA(
INDEX(CA!D$2:D$78,MATCH($E250,CA!$A$2:$A$78,0)),
"")</f>
        <v>7</v>
      </c>
      <c r="K250" s="58" t="str">
        <f>_xlfn.IFNA(
INDEX(CA!E$2:E$78,MATCH($E250,CA!$A$2:$A$78,0)),
"")</f>
        <v>CENTRAL</v>
      </c>
      <c r="L250" s="15" t="e">
        <v>#VALUE!</v>
      </c>
      <c r="M250" s="15" t="e">
        <v>#VALUE!</v>
      </c>
      <c r="N250" s="15" t="e">
        <v>#VALUE!</v>
      </c>
      <c r="O250" s="15" t="e">
        <v>#VALUE!</v>
      </c>
      <c r="P250" s="15" t="e">
        <v>#VALUE!</v>
      </c>
      <c r="Q250" s="15" t="e">
        <v>#VALUE!</v>
      </c>
      <c r="R250" s="15" t="e">
        <v>#VALUE!</v>
      </c>
      <c r="S250" s="15" t="e">
        <v>#VALUE!</v>
      </c>
      <c r="T250" s="129">
        <v>0.12509973968815785</v>
      </c>
      <c r="U250" s="130" t="e">
        <f t="shared" si="15"/>
        <v>#VALUE!</v>
      </c>
      <c r="V250" s="129">
        <v>0.12509973968815785</v>
      </c>
      <c r="W250" s="130" t="e">
        <f t="shared" si="12"/>
        <v>#VALUE!</v>
      </c>
      <c r="X250" s="129">
        <v>0.12509973968815785</v>
      </c>
      <c r="Y250" s="130" t="e">
        <f t="shared" si="13"/>
        <v>#VALUE!</v>
      </c>
      <c r="Z250" s="129">
        <v>0.12509973968815785</v>
      </c>
      <c r="AA250" s="130" t="e">
        <f t="shared" si="14"/>
        <v>#VALUE!</v>
      </c>
    </row>
    <row r="251" spans="1:27" x14ac:dyDescent="0.3">
      <c r="A251">
        <v>243500</v>
      </c>
      <c r="B251">
        <v>17031243500</v>
      </c>
      <c r="C251">
        <v>17031</v>
      </c>
      <c r="D251">
        <v>2010</v>
      </c>
      <c r="E251">
        <v>24</v>
      </c>
      <c r="F251">
        <v>7088006.7342959503</v>
      </c>
      <c r="G251" s="43">
        <v>0.25424725717028057</v>
      </c>
      <c r="H251" s="58" t="str">
        <f>_xlfn.IFNA(
INDEX(CA!B$2:B$78,MATCH($E251,CA!$A$2:$A$78,0)),
"")</f>
        <v>WEST TOWN</v>
      </c>
      <c r="I251" s="60" t="str">
        <f>_xlfn.IFNA(
INDEX(CA!C$2:C$78,MATCH($E251,CA!$A$2:$A$78,0)),
"")</f>
        <v>3-B</v>
      </c>
      <c r="J251" s="60">
        <f>_xlfn.IFNA(
INDEX(CA!D$2:D$78,MATCH($E251,CA!$A$2:$A$78,0)),
"")</f>
        <v>7</v>
      </c>
      <c r="K251" s="58" t="str">
        <f>_xlfn.IFNA(
INDEX(CA!E$2:E$78,MATCH($E251,CA!$A$2:$A$78,0)),
"")</f>
        <v>CENTRAL</v>
      </c>
      <c r="L251" s="15" t="e">
        <v>#VALUE!</v>
      </c>
      <c r="M251" s="15" t="e">
        <v>#VALUE!</v>
      </c>
      <c r="N251" s="15" t="e">
        <v>#VALUE!</v>
      </c>
      <c r="O251" s="15" t="e">
        <v>#VALUE!</v>
      </c>
      <c r="P251" s="15" t="e">
        <v>#VALUE!</v>
      </c>
      <c r="Q251" s="15" t="e">
        <v>#VALUE!</v>
      </c>
      <c r="R251" s="15" t="e">
        <v>#VALUE!</v>
      </c>
      <c r="S251" s="15" t="e">
        <v>#VALUE!</v>
      </c>
      <c r="T251" s="129">
        <v>0.25424725619430022</v>
      </c>
      <c r="U251" s="130" t="e">
        <f t="shared" si="15"/>
        <v>#VALUE!</v>
      </c>
      <c r="V251" s="129">
        <v>0.25424725619430022</v>
      </c>
      <c r="W251" s="130" t="e">
        <f t="shared" si="12"/>
        <v>#VALUE!</v>
      </c>
      <c r="X251" s="129">
        <v>0.25424725619430022</v>
      </c>
      <c r="Y251" s="130" t="e">
        <f t="shared" si="13"/>
        <v>#VALUE!</v>
      </c>
      <c r="Z251" s="129">
        <v>0.25424725619430022</v>
      </c>
      <c r="AA251" s="130" t="e">
        <f t="shared" si="14"/>
        <v>#VALUE!</v>
      </c>
    </row>
    <row r="252" spans="1:27" x14ac:dyDescent="0.3">
      <c r="A252">
        <v>842300</v>
      </c>
      <c r="B252">
        <v>17031842300</v>
      </c>
      <c r="C252">
        <v>17031</v>
      </c>
      <c r="D252">
        <v>2010</v>
      </c>
      <c r="E252">
        <v>24</v>
      </c>
      <c r="F252">
        <v>20148455.538192399</v>
      </c>
      <c r="G252" s="43">
        <v>0.72272639528066174</v>
      </c>
      <c r="H252" s="58" t="str">
        <f>_xlfn.IFNA(
INDEX(CA!B$2:B$78,MATCH($E252,CA!$A$2:$A$78,0)),
"")</f>
        <v>WEST TOWN</v>
      </c>
      <c r="I252" s="60" t="str">
        <f>_xlfn.IFNA(
INDEX(CA!C$2:C$78,MATCH($E252,CA!$A$2:$A$78,0)),
"")</f>
        <v>3-B</v>
      </c>
      <c r="J252" s="60">
        <f>_xlfn.IFNA(
INDEX(CA!D$2:D$78,MATCH($E252,CA!$A$2:$A$78,0)),
"")</f>
        <v>7</v>
      </c>
      <c r="K252" s="58" t="str">
        <f>_xlfn.IFNA(
INDEX(CA!E$2:E$78,MATCH($E252,CA!$A$2:$A$78,0)),
"")</f>
        <v>CENTRAL</v>
      </c>
      <c r="L252" s="15" t="e">
        <v>#VALUE!</v>
      </c>
      <c r="M252" s="15" t="e">
        <v>#VALUE!</v>
      </c>
      <c r="N252" s="15" t="e">
        <v>#VALUE!</v>
      </c>
      <c r="O252" s="15" t="e">
        <v>#VALUE!</v>
      </c>
      <c r="P252" s="15" t="e">
        <v>#VALUE!</v>
      </c>
      <c r="Q252" s="15" t="e">
        <v>#VALUE!</v>
      </c>
      <c r="R252" s="15" t="e">
        <v>#VALUE!</v>
      </c>
      <c r="S252" s="15" t="e">
        <v>#VALUE!</v>
      </c>
      <c r="T252" s="129">
        <v>0.72272639559653717</v>
      </c>
      <c r="U252" s="130" t="e">
        <f t="shared" si="15"/>
        <v>#VALUE!</v>
      </c>
      <c r="V252" s="129">
        <v>0.72272639559653717</v>
      </c>
      <c r="W252" s="130" t="e">
        <f t="shared" si="12"/>
        <v>#VALUE!</v>
      </c>
      <c r="X252" s="129">
        <v>0.72272639559653717</v>
      </c>
      <c r="Y252" s="130" t="e">
        <f t="shared" si="13"/>
        <v>#VALUE!</v>
      </c>
      <c r="Z252" s="129">
        <v>0.72272639559653717</v>
      </c>
      <c r="AA252" s="130" t="e">
        <f t="shared" si="14"/>
        <v>#VALUE!</v>
      </c>
    </row>
    <row r="253" spans="1:27" x14ac:dyDescent="0.3">
      <c r="A253">
        <v>240500</v>
      </c>
      <c r="B253">
        <v>17031240500</v>
      </c>
      <c r="C253">
        <v>17031</v>
      </c>
      <c r="D253">
        <v>2010</v>
      </c>
      <c r="E253">
        <v>24</v>
      </c>
      <c r="F253">
        <v>2509349.84908348</v>
      </c>
      <c r="G253" s="43">
        <v>9.0010540385512802E-2</v>
      </c>
      <c r="H253" s="58" t="str">
        <f>_xlfn.IFNA(
INDEX(CA!B$2:B$78,MATCH($E253,CA!$A$2:$A$78,0)),
"")</f>
        <v>WEST TOWN</v>
      </c>
      <c r="I253" s="60" t="str">
        <f>_xlfn.IFNA(
INDEX(CA!C$2:C$78,MATCH($E253,CA!$A$2:$A$78,0)),
"")</f>
        <v>3-B</v>
      </c>
      <c r="J253" s="60">
        <f>_xlfn.IFNA(
INDEX(CA!D$2:D$78,MATCH($E253,CA!$A$2:$A$78,0)),
"")</f>
        <v>7</v>
      </c>
      <c r="K253" s="58" t="str">
        <f>_xlfn.IFNA(
INDEX(CA!E$2:E$78,MATCH($E253,CA!$A$2:$A$78,0)),
"")</f>
        <v>CENTRAL</v>
      </c>
      <c r="L253" s="15" t="e">
        <v>#VALUE!</v>
      </c>
      <c r="M253" s="15" t="e">
        <v>#VALUE!</v>
      </c>
      <c r="N253" s="15" t="e">
        <v>#VALUE!</v>
      </c>
      <c r="O253" s="15" t="e">
        <v>#VALUE!</v>
      </c>
      <c r="P253" s="15" t="e">
        <v>#VALUE!</v>
      </c>
      <c r="Q253" s="15" t="e">
        <v>#VALUE!</v>
      </c>
      <c r="R253" s="15" t="e">
        <v>#VALUE!</v>
      </c>
      <c r="S253" s="15" t="e">
        <v>#VALUE!</v>
      </c>
      <c r="T253" s="129">
        <v>9.0010542183495107E-2</v>
      </c>
      <c r="U253" s="130" t="e">
        <f t="shared" si="15"/>
        <v>#VALUE!</v>
      </c>
      <c r="V253" s="129">
        <v>9.0010542183495107E-2</v>
      </c>
      <c r="W253" s="130" t="e">
        <f t="shared" si="12"/>
        <v>#VALUE!</v>
      </c>
      <c r="X253" s="129">
        <v>9.0010542183495107E-2</v>
      </c>
      <c r="Y253" s="130" t="e">
        <f t="shared" si="13"/>
        <v>#VALUE!</v>
      </c>
      <c r="Z253" s="129">
        <v>9.0010542183495107E-2</v>
      </c>
      <c r="AA253" s="130" t="e">
        <f t="shared" si="14"/>
        <v>#VALUE!</v>
      </c>
    </row>
    <row r="254" spans="1:27" x14ac:dyDescent="0.3">
      <c r="A254">
        <v>241500</v>
      </c>
      <c r="B254">
        <v>17031241500</v>
      </c>
      <c r="C254">
        <v>17031</v>
      </c>
      <c r="D254">
        <v>2010</v>
      </c>
      <c r="E254">
        <v>24</v>
      </c>
      <c r="F254">
        <v>3263725.1380277202</v>
      </c>
      <c r="G254" s="43">
        <v>0.11707003049054895</v>
      </c>
      <c r="H254" s="58" t="str">
        <f>_xlfn.IFNA(
INDEX(CA!B$2:B$78,MATCH($E254,CA!$A$2:$A$78,0)),
"")</f>
        <v>WEST TOWN</v>
      </c>
      <c r="I254" s="60" t="str">
        <f>_xlfn.IFNA(
INDEX(CA!C$2:C$78,MATCH($E254,CA!$A$2:$A$78,0)),
"")</f>
        <v>3-B</v>
      </c>
      <c r="J254" s="60">
        <f>_xlfn.IFNA(
INDEX(CA!D$2:D$78,MATCH($E254,CA!$A$2:$A$78,0)),
"")</f>
        <v>7</v>
      </c>
      <c r="K254" s="58" t="str">
        <f>_xlfn.IFNA(
INDEX(CA!E$2:E$78,MATCH($E254,CA!$A$2:$A$78,0)),
"")</f>
        <v>CENTRAL</v>
      </c>
      <c r="L254" s="15" t="e">
        <v>#VALUE!</v>
      </c>
      <c r="M254" s="15" t="e">
        <v>#VALUE!</v>
      </c>
      <c r="N254" s="15" t="e">
        <v>#VALUE!</v>
      </c>
      <c r="O254" s="15" t="e">
        <v>#VALUE!</v>
      </c>
      <c r="P254" s="15" t="e">
        <v>#VALUE!</v>
      </c>
      <c r="Q254" s="15" t="e">
        <v>#VALUE!</v>
      </c>
      <c r="R254" s="15" t="e">
        <v>#VALUE!</v>
      </c>
      <c r="S254" s="15" t="e">
        <v>#VALUE!</v>
      </c>
      <c r="T254" s="129">
        <v>0.11707002794883387</v>
      </c>
      <c r="U254" s="130" t="e">
        <f t="shared" si="15"/>
        <v>#VALUE!</v>
      </c>
      <c r="V254" s="129">
        <v>0.11707002794883387</v>
      </c>
      <c r="W254" s="130" t="e">
        <f t="shared" si="12"/>
        <v>#VALUE!</v>
      </c>
      <c r="X254" s="129">
        <v>0.11707002794883387</v>
      </c>
      <c r="Y254" s="130" t="e">
        <f t="shared" si="13"/>
        <v>#VALUE!</v>
      </c>
      <c r="Z254" s="129">
        <v>0.11707002794883387</v>
      </c>
      <c r="AA254" s="130" t="e">
        <f t="shared" si="14"/>
        <v>#VALUE!</v>
      </c>
    </row>
    <row r="255" spans="1:27" x14ac:dyDescent="0.3">
      <c r="A255">
        <v>241600</v>
      </c>
      <c r="B255">
        <v>17031241600</v>
      </c>
      <c r="C255">
        <v>17031</v>
      </c>
      <c r="D255">
        <v>2010</v>
      </c>
      <c r="E255">
        <v>24</v>
      </c>
      <c r="F255">
        <v>3106183.4147675401</v>
      </c>
      <c r="G255" s="43">
        <v>0.11141899875055743</v>
      </c>
      <c r="H255" s="58" t="str">
        <f>_xlfn.IFNA(
INDEX(CA!B$2:B$78,MATCH($E255,CA!$A$2:$A$78,0)),
"")</f>
        <v>WEST TOWN</v>
      </c>
      <c r="I255" s="60" t="str">
        <f>_xlfn.IFNA(
INDEX(CA!C$2:C$78,MATCH($E255,CA!$A$2:$A$78,0)),
"")</f>
        <v>3-B</v>
      </c>
      <c r="J255" s="60">
        <f>_xlfn.IFNA(
INDEX(CA!D$2:D$78,MATCH($E255,CA!$A$2:$A$78,0)),
"")</f>
        <v>7</v>
      </c>
      <c r="K255" s="58" t="str">
        <f>_xlfn.IFNA(
INDEX(CA!E$2:E$78,MATCH($E255,CA!$A$2:$A$78,0)),
"")</f>
        <v>CENTRAL</v>
      </c>
      <c r="L255" s="15" t="e">
        <v>#VALUE!</v>
      </c>
      <c r="M255" s="15" t="e">
        <v>#VALUE!</v>
      </c>
      <c r="N255" s="15" t="e">
        <v>#VALUE!</v>
      </c>
      <c r="O255" s="15" t="e">
        <v>#VALUE!</v>
      </c>
      <c r="P255" s="15" t="e">
        <v>#VALUE!</v>
      </c>
      <c r="Q255" s="15" t="e">
        <v>#VALUE!</v>
      </c>
      <c r="R255" s="15" t="e">
        <v>#VALUE!</v>
      </c>
      <c r="S255" s="15" t="e">
        <v>#VALUE!</v>
      </c>
      <c r="T255" s="129">
        <v>0.1114190006509606</v>
      </c>
      <c r="U255" s="130" t="e">
        <f t="shared" si="15"/>
        <v>#VALUE!</v>
      </c>
      <c r="V255" s="129">
        <v>0.1114190006509606</v>
      </c>
      <c r="W255" s="130" t="e">
        <f t="shared" si="12"/>
        <v>#VALUE!</v>
      </c>
      <c r="X255" s="129">
        <v>0.1114190006509606</v>
      </c>
      <c r="Y255" s="130" t="e">
        <f t="shared" si="13"/>
        <v>#VALUE!</v>
      </c>
      <c r="Z255" s="129">
        <v>0.1114190006509606</v>
      </c>
      <c r="AA255" s="130" t="e">
        <f t="shared" si="14"/>
        <v>#VALUE!</v>
      </c>
    </row>
    <row r="256" spans="1:27" x14ac:dyDescent="0.3">
      <c r="A256">
        <v>242600</v>
      </c>
      <c r="B256">
        <v>17031242600</v>
      </c>
      <c r="C256">
        <v>17031</v>
      </c>
      <c r="D256">
        <v>2010</v>
      </c>
      <c r="E256">
        <v>24</v>
      </c>
      <c r="F256">
        <v>5120926.0005925903</v>
      </c>
      <c r="G256" s="43">
        <v>0.18368794481005332</v>
      </c>
      <c r="H256" s="58" t="str">
        <f>_xlfn.IFNA(
INDEX(CA!B$2:B$78,MATCH($E256,CA!$A$2:$A$78,0)),
"")</f>
        <v>WEST TOWN</v>
      </c>
      <c r="I256" s="60" t="str">
        <f>_xlfn.IFNA(
INDEX(CA!C$2:C$78,MATCH($E256,CA!$A$2:$A$78,0)),
"")</f>
        <v>3-B</v>
      </c>
      <c r="J256" s="60">
        <f>_xlfn.IFNA(
INDEX(CA!D$2:D$78,MATCH($E256,CA!$A$2:$A$78,0)),
"")</f>
        <v>7</v>
      </c>
      <c r="K256" s="58" t="str">
        <f>_xlfn.IFNA(
INDEX(CA!E$2:E$78,MATCH($E256,CA!$A$2:$A$78,0)),
"")</f>
        <v>CENTRAL</v>
      </c>
      <c r="L256" s="15" t="e">
        <v>#VALUE!</v>
      </c>
      <c r="M256" s="15" t="e">
        <v>#VALUE!</v>
      </c>
      <c r="N256" s="15" t="e">
        <v>#VALUE!</v>
      </c>
      <c r="O256" s="15" t="e">
        <v>#VALUE!</v>
      </c>
      <c r="P256" s="15" t="e">
        <v>#VALUE!</v>
      </c>
      <c r="Q256" s="15" t="e">
        <v>#VALUE!</v>
      </c>
      <c r="R256" s="15" t="e">
        <v>#VALUE!</v>
      </c>
      <c r="S256" s="15" t="e">
        <v>#VALUE!</v>
      </c>
      <c r="T256" s="129">
        <v>0.18368794401819222</v>
      </c>
      <c r="U256" s="130" t="e">
        <f t="shared" si="15"/>
        <v>#VALUE!</v>
      </c>
      <c r="V256" s="129">
        <v>0.18368794401819222</v>
      </c>
      <c r="W256" s="130" t="e">
        <f t="shared" si="12"/>
        <v>#VALUE!</v>
      </c>
      <c r="X256" s="129">
        <v>0.18368794401819222</v>
      </c>
      <c r="Y256" s="130" t="e">
        <f t="shared" si="13"/>
        <v>#VALUE!</v>
      </c>
      <c r="Z256" s="129">
        <v>0.18368794401819222</v>
      </c>
      <c r="AA256" s="130" t="e">
        <f t="shared" si="14"/>
        <v>#VALUE!</v>
      </c>
    </row>
    <row r="257" spans="1:27" x14ac:dyDescent="0.3">
      <c r="A257">
        <v>240200</v>
      </c>
      <c r="B257">
        <v>17031240200</v>
      </c>
      <c r="C257">
        <v>17031</v>
      </c>
      <c r="D257">
        <v>2010</v>
      </c>
      <c r="E257">
        <v>24</v>
      </c>
      <c r="F257">
        <v>1778208.13183849</v>
      </c>
      <c r="G257" s="43">
        <v>6.3784439990763095E-2</v>
      </c>
      <c r="H257" s="58" t="str">
        <f>_xlfn.IFNA(
INDEX(CA!B$2:B$78,MATCH($E257,CA!$A$2:$A$78,0)),
"")</f>
        <v>WEST TOWN</v>
      </c>
      <c r="I257" s="60" t="str">
        <f>_xlfn.IFNA(
INDEX(CA!C$2:C$78,MATCH($E257,CA!$A$2:$A$78,0)),
"")</f>
        <v>3-B</v>
      </c>
      <c r="J257" s="60">
        <f>_xlfn.IFNA(
INDEX(CA!D$2:D$78,MATCH($E257,CA!$A$2:$A$78,0)),
"")</f>
        <v>7</v>
      </c>
      <c r="K257" s="58" t="str">
        <f>_xlfn.IFNA(
INDEX(CA!E$2:E$78,MATCH($E257,CA!$A$2:$A$78,0)),
"")</f>
        <v>CENTRAL</v>
      </c>
      <c r="L257" s="15" t="e">
        <v>#VALUE!</v>
      </c>
      <c r="M257" s="15" t="e">
        <v>#VALUE!</v>
      </c>
      <c r="N257" s="15" t="e">
        <v>#VALUE!</v>
      </c>
      <c r="O257" s="15" t="e">
        <v>#VALUE!</v>
      </c>
      <c r="P257" s="15" t="e">
        <v>#VALUE!</v>
      </c>
      <c r="Q257" s="15" t="e">
        <v>#VALUE!</v>
      </c>
      <c r="R257" s="15" t="e">
        <v>#VALUE!</v>
      </c>
      <c r="S257" s="15" t="e">
        <v>#VALUE!</v>
      </c>
      <c r="T257" s="129">
        <v>6.3784439379034663E-2</v>
      </c>
      <c r="U257" s="130" t="e">
        <f t="shared" si="15"/>
        <v>#VALUE!</v>
      </c>
      <c r="V257" s="129">
        <v>6.3784439379034663E-2</v>
      </c>
      <c r="W257" s="130" t="e">
        <f t="shared" si="12"/>
        <v>#VALUE!</v>
      </c>
      <c r="X257" s="129">
        <v>6.3784439379034663E-2</v>
      </c>
      <c r="Y257" s="130" t="e">
        <f t="shared" si="13"/>
        <v>#VALUE!</v>
      </c>
      <c r="Z257" s="129">
        <v>6.3784439379034663E-2</v>
      </c>
      <c r="AA257" s="130" t="e">
        <f t="shared" si="14"/>
        <v>#VALUE!</v>
      </c>
    </row>
    <row r="258" spans="1:27" x14ac:dyDescent="0.3">
      <c r="A258">
        <v>242400</v>
      </c>
      <c r="B258">
        <v>17031242400</v>
      </c>
      <c r="C258">
        <v>17031</v>
      </c>
      <c r="D258">
        <v>2010</v>
      </c>
      <c r="E258">
        <v>24</v>
      </c>
      <c r="F258">
        <v>3531250.95905643</v>
      </c>
      <c r="G258" s="43">
        <v>0.12666619888718256</v>
      </c>
      <c r="H258" s="58" t="str">
        <f>_xlfn.IFNA(
INDEX(CA!B$2:B$78,MATCH($E258,CA!$A$2:$A$78,0)),
"")</f>
        <v>WEST TOWN</v>
      </c>
      <c r="I258" s="60" t="str">
        <f>_xlfn.IFNA(
INDEX(CA!C$2:C$78,MATCH($E258,CA!$A$2:$A$78,0)),
"")</f>
        <v>3-B</v>
      </c>
      <c r="J258" s="60">
        <f>_xlfn.IFNA(
INDEX(CA!D$2:D$78,MATCH($E258,CA!$A$2:$A$78,0)),
"")</f>
        <v>7</v>
      </c>
      <c r="K258" s="58" t="str">
        <f>_xlfn.IFNA(
INDEX(CA!E$2:E$78,MATCH($E258,CA!$A$2:$A$78,0)),
"")</f>
        <v>CENTRAL</v>
      </c>
      <c r="L258" s="15" t="e">
        <v>#VALUE!</v>
      </c>
      <c r="M258" s="15" t="e">
        <v>#VALUE!</v>
      </c>
      <c r="N258" s="15" t="e">
        <v>#VALUE!</v>
      </c>
      <c r="O258" s="15" t="e">
        <v>#VALUE!</v>
      </c>
      <c r="P258" s="15" t="e">
        <v>#VALUE!</v>
      </c>
      <c r="Q258" s="15" t="e">
        <v>#VALUE!</v>
      </c>
      <c r="R258" s="15" t="e">
        <v>#VALUE!</v>
      </c>
      <c r="S258" s="15" t="e">
        <v>#VALUE!</v>
      </c>
      <c r="T258" s="129">
        <v>0.1266662002318634</v>
      </c>
      <c r="U258" s="130" t="e">
        <f t="shared" si="15"/>
        <v>#VALUE!</v>
      </c>
      <c r="V258" s="129">
        <v>0.1266662002318634</v>
      </c>
      <c r="W258" s="130" t="e">
        <f t="shared" si="12"/>
        <v>#VALUE!</v>
      </c>
      <c r="X258" s="129">
        <v>0.1266662002318634</v>
      </c>
      <c r="Y258" s="130" t="e">
        <f t="shared" si="13"/>
        <v>#VALUE!</v>
      </c>
      <c r="Z258" s="129">
        <v>0.1266662002318634</v>
      </c>
      <c r="AA258" s="130" t="e">
        <f t="shared" si="14"/>
        <v>#VALUE!</v>
      </c>
    </row>
    <row r="259" spans="1:27" x14ac:dyDescent="0.3">
      <c r="A259">
        <v>240800</v>
      </c>
      <c r="B259">
        <v>17031240800</v>
      </c>
      <c r="C259">
        <v>17031</v>
      </c>
      <c r="D259">
        <v>2010</v>
      </c>
      <c r="E259">
        <v>24</v>
      </c>
      <c r="F259">
        <v>1817219.56038126</v>
      </c>
      <c r="G259" s="43">
        <v>6.518378244021393E-2</v>
      </c>
      <c r="H259" s="58" t="str">
        <f>_xlfn.IFNA(
INDEX(CA!B$2:B$78,MATCH($E259,CA!$A$2:$A$78,0)),
"")</f>
        <v>WEST TOWN</v>
      </c>
      <c r="I259" s="60" t="str">
        <f>_xlfn.IFNA(
INDEX(CA!C$2:C$78,MATCH($E259,CA!$A$2:$A$78,0)),
"")</f>
        <v>3-B</v>
      </c>
      <c r="J259" s="60">
        <f>_xlfn.IFNA(
INDEX(CA!D$2:D$78,MATCH($E259,CA!$A$2:$A$78,0)),
"")</f>
        <v>7</v>
      </c>
      <c r="K259" s="58" t="str">
        <f>_xlfn.IFNA(
INDEX(CA!E$2:E$78,MATCH($E259,CA!$A$2:$A$78,0)),
"")</f>
        <v>CENTRAL</v>
      </c>
      <c r="L259" s="15" t="e">
        <v>#VALUE!</v>
      </c>
      <c r="M259" s="15" t="e">
        <v>#VALUE!</v>
      </c>
      <c r="N259" s="15" t="e">
        <v>#VALUE!</v>
      </c>
      <c r="O259" s="15" t="e">
        <v>#VALUE!</v>
      </c>
      <c r="P259" s="15" t="e">
        <v>#VALUE!</v>
      </c>
      <c r="Q259" s="15" t="e">
        <v>#VALUE!</v>
      </c>
      <c r="R259" s="15" t="e">
        <v>#VALUE!</v>
      </c>
      <c r="S259" s="15" t="e">
        <v>#VALUE!</v>
      </c>
      <c r="T259" s="129">
        <v>6.5183785281431872E-2</v>
      </c>
      <c r="U259" s="130" t="e">
        <f t="shared" si="15"/>
        <v>#VALUE!</v>
      </c>
      <c r="V259" s="129">
        <v>6.5183785281431872E-2</v>
      </c>
      <c r="W259" s="130" t="e">
        <f t="shared" si="12"/>
        <v>#VALUE!</v>
      </c>
      <c r="X259" s="129">
        <v>6.5183785281431872E-2</v>
      </c>
      <c r="Y259" s="130" t="e">
        <f t="shared" si="13"/>
        <v>#VALUE!</v>
      </c>
      <c r="Z259" s="129">
        <v>6.5183785281431872E-2</v>
      </c>
      <c r="AA259" s="130" t="e">
        <f t="shared" si="14"/>
        <v>#VALUE!</v>
      </c>
    </row>
    <row r="260" spans="1:27" x14ac:dyDescent="0.3">
      <c r="A260">
        <v>242500</v>
      </c>
      <c r="B260">
        <v>17031242500</v>
      </c>
      <c r="C260">
        <v>17031</v>
      </c>
      <c r="D260">
        <v>2010</v>
      </c>
      <c r="E260">
        <v>24</v>
      </c>
      <c r="F260">
        <v>3335255.1941927699</v>
      </c>
      <c r="G260" s="43">
        <v>0.11963581820308088</v>
      </c>
      <c r="H260" s="58" t="str">
        <f>_xlfn.IFNA(
INDEX(CA!B$2:B$78,MATCH($E260,CA!$A$2:$A$78,0)),
"")</f>
        <v>WEST TOWN</v>
      </c>
      <c r="I260" s="60" t="str">
        <f>_xlfn.IFNA(
INDEX(CA!C$2:C$78,MATCH($E260,CA!$A$2:$A$78,0)),
"")</f>
        <v>3-B</v>
      </c>
      <c r="J260" s="60">
        <f>_xlfn.IFNA(
INDEX(CA!D$2:D$78,MATCH($E260,CA!$A$2:$A$78,0)),
"")</f>
        <v>7</v>
      </c>
      <c r="K260" s="58" t="str">
        <f>_xlfn.IFNA(
INDEX(CA!E$2:E$78,MATCH($E260,CA!$A$2:$A$78,0)),
"")</f>
        <v>CENTRAL</v>
      </c>
      <c r="L260" s="15" t="e">
        <v>#VALUE!</v>
      </c>
      <c r="M260" s="15" t="e">
        <v>#VALUE!</v>
      </c>
      <c r="N260" s="15" t="e">
        <v>#VALUE!</v>
      </c>
      <c r="O260" s="15" t="e">
        <v>#VALUE!</v>
      </c>
      <c r="P260" s="15" t="e">
        <v>#VALUE!</v>
      </c>
      <c r="Q260" s="15" t="e">
        <v>#VALUE!</v>
      </c>
      <c r="R260" s="15" t="e">
        <v>#VALUE!</v>
      </c>
      <c r="S260" s="15" t="e">
        <v>#VALUE!</v>
      </c>
      <c r="T260" s="129">
        <v>0.11963581849158847</v>
      </c>
      <c r="U260" s="130" t="e">
        <f t="shared" si="15"/>
        <v>#VALUE!</v>
      </c>
      <c r="V260" s="129">
        <v>0.11963581849158847</v>
      </c>
      <c r="W260" s="130" t="e">
        <f t="shared" si="12"/>
        <v>#VALUE!</v>
      </c>
      <c r="X260" s="129">
        <v>0.11963581849158847</v>
      </c>
      <c r="Y260" s="130" t="e">
        <f t="shared" si="13"/>
        <v>#VALUE!</v>
      </c>
      <c r="Z260" s="129">
        <v>0.11963581849158847</v>
      </c>
      <c r="AA260" s="130" t="e">
        <f t="shared" si="14"/>
        <v>#VALUE!</v>
      </c>
    </row>
    <row r="261" spans="1:27" x14ac:dyDescent="0.3">
      <c r="A261">
        <v>241400</v>
      </c>
      <c r="B261">
        <v>17031241400</v>
      </c>
      <c r="C261">
        <v>17031</v>
      </c>
      <c r="D261">
        <v>2010</v>
      </c>
      <c r="E261">
        <v>24</v>
      </c>
      <c r="F261">
        <v>5574876.2391532296</v>
      </c>
      <c r="G261" s="43">
        <v>0.19997116904676127</v>
      </c>
      <c r="H261" s="58" t="str">
        <f>_xlfn.IFNA(
INDEX(CA!B$2:B$78,MATCH($E261,CA!$A$2:$A$78,0)),
"")</f>
        <v>WEST TOWN</v>
      </c>
      <c r="I261" s="60" t="str">
        <f>_xlfn.IFNA(
INDEX(CA!C$2:C$78,MATCH($E261,CA!$A$2:$A$78,0)),
"")</f>
        <v>3-B</v>
      </c>
      <c r="J261" s="60">
        <f>_xlfn.IFNA(
INDEX(CA!D$2:D$78,MATCH($E261,CA!$A$2:$A$78,0)),
"")</f>
        <v>7</v>
      </c>
      <c r="K261" s="58" t="str">
        <f>_xlfn.IFNA(
INDEX(CA!E$2:E$78,MATCH($E261,CA!$A$2:$A$78,0)),
"")</f>
        <v>CENTRAL</v>
      </c>
      <c r="L261" s="15" t="e">
        <v>#VALUE!</v>
      </c>
      <c r="M261" s="15" t="e">
        <v>#VALUE!</v>
      </c>
      <c r="N261" s="15" t="e">
        <v>#VALUE!</v>
      </c>
      <c r="O261" s="15" t="e">
        <v>#VALUE!</v>
      </c>
      <c r="P261" s="15" t="e">
        <v>#VALUE!</v>
      </c>
      <c r="Q261" s="15" t="e">
        <v>#VALUE!</v>
      </c>
      <c r="R261" s="15" t="e">
        <v>#VALUE!</v>
      </c>
      <c r="S261" s="15" t="e">
        <v>#VALUE!</v>
      </c>
      <c r="T261" s="129">
        <v>0.19997117274180334</v>
      </c>
      <c r="U261" s="130" t="e">
        <f t="shared" si="15"/>
        <v>#VALUE!</v>
      </c>
      <c r="V261" s="129">
        <v>0.19997117274180334</v>
      </c>
      <c r="W261" s="130" t="e">
        <f t="shared" si="12"/>
        <v>#VALUE!</v>
      </c>
      <c r="X261" s="129">
        <v>0.19997117274180334</v>
      </c>
      <c r="Y261" s="130" t="e">
        <f t="shared" si="13"/>
        <v>#VALUE!</v>
      </c>
      <c r="Z261" s="129">
        <v>0.19997117274180334</v>
      </c>
      <c r="AA261" s="130" t="e">
        <f t="shared" si="14"/>
        <v>#VALUE!</v>
      </c>
    </row>
    <row r="262" spans="1:27" x14ac:dyDescent="0.3">
      <c r="A262">
        <v>243200</v>
      </c>
      <c r="B262">
        <v>17031243200</v>
      </c>
      <c r="C262">
        <v>17031</v>
      </c>
      <c r="D262">
        <v>2010</v>
      </c>
      <c r="E262">
        <v>24</v>
      </c>
      <c r="F262">
        <v>3486068.89835825</v>
      </c>
      <c r="G262" s="43">
        <v>0.12504551546567413</v>
      </c>
      <c r="H262" s="58" t="str">
        <f>_xlfn.IFNA(
INDEX(CA!B$2:B$78,MATCH($E262,CA!$A$2:$A$78,0)),
"")</f>
        <v>WEST TOWN</v>
      </c>
      <c r="I262" s="60" t="str">
        <f>_xlfn.IFNA(
INDEX(CA!C$2:C$78,MATCH($E262,CA!$A$2:$A$78,0)),
"")</f>
        <v>3-B</v>
      </c>
      <c r="J262" s="60">
        <f>_xlfn.IFNA(
INDEX(CA!D$2:D$78,MATCH($E262,CA!$A$2:$A$78,0)),
"")</f>
        <v>7</v>
      </c>
      <c r="K262" s="58" t="str">
        <f>_xlfn.IFNA(
INDEX(CA!E$2:E$78,MATCH($E262,CA!$A$2:$A$78,0)),
"")</f>
        <v>CENTRAL</v>
      </c>
      <c r="L262" s="15" t="e">
        <v>#VALUE!</v>
      </c>
      <c r="M262" s="15" t="e">
        <v>#VALUE!</v>
      </c>
      <c r="N262" s="15" t="e">
        <v>#VALUE!</v>
      </c>
      <c r="O262" s="15" t="e">
        <v>#VALUE!</v>
      </c>
      <c r="P262" s="15" t="e">
        <v>#VALUE!</v>
      </c>
      <c r="Q262" s="15" t="e">
        <v>#VALUE!</v>
      </c>
      <c r="R262" s="15" t="e">
        <v>#VALUE!</v>
      </c>
      <c r="S262" s="15" t="e">
        <v>#VALUE!</v>
      </c>
      <c r="T262" s="129">
        <v>0.12504551191515259</v>
      </c>
      <c r="U262" s="130" t="e">
        <f t="shared" si="15"/>
        <v>#VALUE!</v>
      </c>
      <c r="V262" s="129">
        <v>0.12504551191515259</v>
      </c>
      <c r="W262" s="130" t="e">
        <f t="shared" ref="W262:W325" si="16">(V262/$G262)*$L262</f>
        <v>#VALUE!</v>
      </c>
      <c r="X262" s="129">
        <v>0.12504551191515259</v>
      </c>
      <c r="Y262" s="130" t="e">
        <f t="shared" ref="Y262:Y325" si="17">(X262/$G262)*$L262</f>
        <v>#VALUE!</v>
      </c>
      <c r="Z262" s="129">
        <v>0.12504551191515259</v>
      </c>
      <c r="AA262" s="130" t="e">
        <f t="shared" ref="AA262:AA325" si="18">(Z262/$G262)*$L262</f>
        <v>#VALUE!</v>
      </c>
    </row>
    <row r="263" spans="1:27" x14ac:dyDescent="0.3">
      <c r="A263">
        <v>241200</v>
      </c>
      <c r="B263">
        <v>17031241200</v>
      </c>
      <c r="C263">
        <v>17031</v>
      </c>
      <c r="D263">
        <v>2010</v>
      </c>
      <c r="E263">
        <v>24</v>
      </c>
      <c r="F263">
        <v>3532061.78632238</v>
      </c>
      <c r="G263" s="43">
        <v>0.12669528331333146</v>
      </c>
      <c r="H263" s="58" t="str">
        <f>_xlfn.IFNA(
INDEX(CA!B$2:B$78,MATCH($E263,CA!$A$2:$A$78,0)),
"")</f>
        <v>WEST TOWN</v>
      </c>
      <c r="I263" s="60" t="str">
        <f>_xlfn.IFNA(
INDEX(CA!C$2:C$78,MATCH($E263,CA!$A$2:$A$78,0)),
"")</f>
        <v>3-B</v>
      </c>
      <c r="J263" s="60">
        <f>_xlfn.IFNA(
INDEX(CA!D$2:D$78,MATCH($E263,CA!$A$2:$A$78,0)),
"")</f>
        <v>7</v>
      </c>
      <c r="K263" s="58" t="str">
        <f>_xlfn.IFNA(
INDEX(CA!E$2:E$78,MATCH($E263,CA!$A$2:$A$78,0)),
"")</f>
        <v>CENTRAL</v>
      </c>
      <c r="L263" s="15" t="e">
        <v>#VALUE!</v>
      </c>
      <c r="M263" s="15" t="e">
        <v>#VALUE!</v>
      </c>
      <c r="N263" s="15" t="e">
        <v>#VALUE!</v>
      </c>
      <c r="O263" s="15" t="e">
        <v>#VALUE!</v>
      </c>
      <c r="P263" s="15" t="e">
        <v>#VALUE!</v>
      </c>
      <c r="Q263" s="15" t="e">
        <v>#VALUE!</v>
      </c>
      <c r="R263" s="15" t="e">
        <v>#VALUE!</v>
      </c>
      <c r="S263" s="15" t="e">
        <v>#VALUE!</v>
      </c>
      <c r="T263" s="129">
        <v>0.1266952841676911</v>
      </c>
      <c r="U263" s="130" t="e">
        <f t="shared" ref="U263:U326" si="19">(T263/$G263)*$L263</f>
        <v>#VALUE!</v>
      </c>
      <c r="V263" s="129">
        <v>0.1266952841676911</v>
      </c>
      <c r="W263" s="130" t="e">
        <f t="shared" si="16"/>
        <v>#VALUE!</v>
      </c>
      <c r="X263" s="129">
        <v>0.1266952841676911</v>
      </c>
      <c r="Y263" s="130" t="e">
        <f t="shared" si="17"/>
        <v>#VALUE!</v>
      </c>
      <c r="Z263" s="129">
        <v>0.1266952841676911</v>
      </c>
      <c r="AA263" s="130" t="e">
        <f t="shared" si="18"/>
        <v>#VALUE!</v>
      </c>
    </row>
    <row r="264" spans="1:27" x14ac:dyDescent="0.3">
      <c r="A264">
        <v>242000</v>
      </c>
      <c r="B264">
        <v>17031242000</v>
      </c>
      <c r="C264">
        <v>17031</v>
      </c>
      <c r="D264">
        <v>2010</v>
      </c>
      <c r="E264">
        <v>24</v>
      </c>
      <c r="F264">
        <v>3517302.16710921</v>
      </c>
      <c r="G264" s="43">
        <v>0.12616585482341922</v>
      </c>
      <c r="H264" s="58" t="str">
        <f>_xlfn.IFNA(
INDEX(CA!B$2:B$78,MATCH($E264,CA!$A$2:$A$78,0)),
"")</f>
        <v>WEST TOWN</v>
      </c>
      <c r="I264" s="60" t="str">
        <f>_xlfn.IFNA(
INDEX(CA!C$2:C$78,MATCH($E264,CA!$A$2:$A$78,0)),
"")</f>
        <v>3-B</v>
      </c>
      <c r="J264" s="60">
        <f>_xlfn.IFNA(
INDEX(CA!D$2:D$78,MATCH($E264,CA!$A$2:$A$78,0)),
"")</f>
        <v>7</v>
      </c>
      <c r="K264" s="58" t="str">
        <f>_xlfn.IFNA(
INDEX(CA!E$2:E$78,MATCH($E264,CA!$A$2:$A$78,0)),
"")</f>
        <v>CENTRAL</v>
      </c>
      <c r="L264" s="15" t="e">
        <v>#VALUE!</v>
      </c>
      <c r="M264" s="15" t="e">
        <v>#VALUE!</v>
      </c>
      <c r="N264" s="15" t="e">
        <v>#VALUE!</v>
      </c>
      <c r="O264" s="15" t="e">
        <v>#VALUE!</v>
      </c>
      <c r="P264" s="15" t="e">
        <v>#VALUE!</v>
      </c>
      <c r="Q264" s="15" t="e">
        <v>#VALUE!</v>
      </c>
      <c r="R264" s="15" t="e">
        <v>#VALUE!</v>
      </c>
      <c r="S264" s="15" t="e">
        <v>#VALUE!</v>
      </c>
      <c r="T264" s="129">
        <v>0.12616585622503909</v>
      </c>
      <c r="U264" s="130" t="e">
        <f t="shared" si="19"/>
        <v>#VALUE!</v>
      </c>
      <c r="V264" s="129">
        <v>0.12616585622503909</v>
      </c>
      <c r="W264" s="130" t="e">
        <f t="shared" si="16"/>
        <v>#VALUE!</v>
      </c>
      <c r="X264" s="129">
        <v>0.12616585622503909</v>
      </c>
      <c r="Y264" s="130" t="e">
        <f t="shared" si="17"/>
        <v>#VALUE!</v>
      </c>
      <c r="Z264" s="129">
        <v>0.12616585622503909</v>
      </c>
      <c r="AA264" s="130" t="e">
        <f t="shared" si="18"/>
        <v>#VALUE!</v>
      </c>
    </row>
    <row r="265" spans="1:27" x14ac:dyDescent="0.3">
      <c r="A265">
        <v>242700</v>
      </c>
      <c r="B265">
        <v>17031242700</v>
      </c>
      <c r="C265">
        <v>17031</v>
      </c>
      <c r="D265">
        <v>2010</v>
      </c>
      <c r="E265">
        <v>24</v>
      </c>
      <c r="F265">
        <v>1889770.5890329101</v>
      </c>
      <c r="G265" s="43">
        <v>6.7786192501467446E-2</v>
      </c>
      <c r="H265" s="58" t="str">
        <f>_xlfn.IFNA(
INDEX(CA!B$2:B$78,MATCH($E265,CA!$A$2:$A$78,0)),
"")</f>
        <v>WEST TOWN</v>
      </c>
      <c r="I265" s="60" t="str">
        <f>_xlfn.IFNA(
INDEX(CA!C$2:C$78,MATCH($E265,CA!$A$2:$A$78,0)),
"")</f>
        <v>3-B</v>
      </c>
      <c r="J265" s="60">
        <f>_xlfn.IFNA(
INDEX(CA!D$2:D$78,MATCH($E265,CA!$A$2:$A$78,0)),
"")</f>
        <v>7</v>
      </c>
      <c r="K265" s="58" t="str">
        <f>_xlfn.IFNA(
INDEX(CA!E$2:E$78,MATCH($E265,CA!$A$2:$A$78,0)),
"")</f>
        <v>CENTRAL</v>
      </c>
      <c r="L265" s="15" t="e">
        <v>#VALUE!</v>
      </c>
      <c r="M265" s="15" t="e">
        <v>#VALUE!</v>
      </c>
      <c r="N265" s="15" t="e">
        <v>#VALUE!</v>
      </c>
      <c r="O265" s="15" t="e">
        <v>#VALUE!</v>
      </c>
      <c r="P265" s="15" t="e">
        <v>#VALUE!</v>
      </c>
      <c r="Q265" s="15" t="e">
        <v>#VALUE!</v>
      </c>
      <c r="R265" s="15" t="e">
        <v>#VALUE!</v>
      </c>
      <c r="S265" s="15" t="e">
        <v>#VALUE!</v>
      </c>
      <c r="T265" s="129">
        <v>6.7786190665975812E-2</v>
      </c>
      <c r="U265" s="130" t="e">
        <f t="shared" si="19"/>
        <v>#VALUE!</v>
      </c>
      <c r="V265" s="129">
        <v>6.7786190665975812E-2</v>
      </c>
      <c r="W265" s="130" t="e">
        <f t="shared" si="16"/>
        <v>#VALUE!</v>
      </c>
      <c r="X265" s="129">
        <v>6.7786190665975812E-2</v>
      </c>
      <c r="Y265" s="130" t="e">
        <f t="shared" si="17"/>
        <v>#VALUE!</v>
      </c>
      <c r="Z265" s="129">
        <v>6.7786190665975812E-2</v>
      </c>
      <c r="AA265" s="130" t="e">
        <f t="shared" si="18"/>
        <v>#VALUE!</v>
      </c>
    </row>
    <row r="266" spans="1:27" x14ac:dyDescent="0.3">
      <c r="A266">
        <v>243000</v>
      </c>
      <c r="B266">
        <v>17031243000</v>
      </c>
      <c r="C266">
        <v>17031</v>
      </c>
      <c r="D266">
        <v>2010</v>
      </c>
      <c r="E266">
        <v>24</v>
      </c>
      <c r="F266">
        <v>3492481.4235025798</v>
      </c>
      <c r="G266" s="43">
        <v>0.12527553315479295</v>
      </c>
      <c r="H266" s="58" t="str">
        <f>_xlfn.IFNA(
INDEX(CA!B$2:B$78,MATCH($E266,CA!$A$2:$A$78,0)),
"")</f>
        <v>WEST TOWN</v>
      </c>
      <c r="I266" s="60" t="str">
        <f>_xlfn.IFNA(
INDEX(CA!C$2:C$78,MATCH($E266,CA!$A$2:$A$78,0)),
"")</f>
        <v>3-B</v>
      </c>
      <c r="J266" s="60">
        <f>_xlfn.IFNA(
INDEX(CA!D$2:D$78,MATCH($E266,CA!$A$2:$A$78,0)),
"")</f>
        <v>7</v>
      </c>
      <c r="K266" s="58" t="str">
        <f>_xlfn.IFNA(
INDEX(CA!E$2:E$78,MATCH($E266,CA!$A$2:$A$78,0)),
"")</f>
        <v>CENTRAL</v>
      </c>
      <c r="L266" s="15" t="e">
        <v>#VALUE!</v>
      </c>
      <c r="M266" s="15" t="e">
        <v>#VALUE!</v>
      </c>
      <c r="N266" s="15" t="e">
        <v>#VALUE!</v>
      </c>
      <c r="O266" s="15" t="e">
        <v>#VALUE!</v>
      </c>
      <c r="P266" s="15" t="e">
        <v>#VALUE!</v>
      </c>
      <c r="Q266" s="15" t="e">
        <v>#VALUE!</v>
      </c>
      <c r="R266" s="15" t="e">
        <v>#VALUE!</v>
      </c>
      <c r="S266" s="15" t="e">
        <v>#VALUE!</v>
      </c>
      <c r="T266" s="129">
        <v>0.12527553059775381</v>
      </c>
      <c r="U266" s="130" t="e">
        <f t="shared" si="19"/>
        <v>#VALUE!</v>
      </c>
      <c r="V266" s="129">
        <v>0.12527553059775381</v>
      </c>
      <c r="W266" s="130" t="e">
        <f t="shared" si="16"/>
        <v>#VALUE!</v>
      </c>
      <c r="X266" s="129">
        <v>0.12527553059775381</v>
      </c>
      <c r="Y266" s="130" t="e">
        <f t="shared" si="17"/>
        <v>#VALUE!</v>
      </c>
      <c r="Z266" s="129">
        <v>0.12527553059775381</v>
      </c>
      <c r="AA266" s="130" t="e">
        <f t="shared" si="18"/>
        <v>#VALUE!</v>
      </c>
    </row>
    <row r="267" spans="1:27" x14ac:dyDescent="0.3">
      <c r="A267">
        <v>243400</v>
      </c>
      <c r="B267">
        <v>17031243400</v>
      </c>
      <c r="C267">
        <v>17031</v>
      </c>
      <c r="D267">
        <v>2010</v>
      </c>
      <c r="E267">
        <v>24</v>
      </c>
      <c r="F267">
        <v>3529015.0451984201</v>
      </c>
      <c r="G267" s="43">
        <v>0.12658599651337307</v>
      </c>
      <c r="H267" s="58" t="str">
        <f>_xlfn.IFNA(
INDEX(CA!B$2:B$78,MATCH($E267,CA!$A$2:$A$78,0)),
"")</f>
        <v>WEST TOWN</v>
      </c>
      <c r="I267" s="60" t="str">
        <f>_xlfn.IFNA(
INDEX(CA!C$2:C$78,MATCH($E267,CA!$A$2:$A$78,0)),
"")</f>
        <v>3-B</v>
      </c>
      <c r="J267" s="60">
        <f>_xlfn.IFNA(
INDEX(CA!D$2:D$78,MATCH($E267,CA!$A$2:$A$78,0)),
"")</f>
        <v>7</v>
      </c>
      <c r="K267" s="58" t="str">
        <f>_xlfn.IFNA(
INDEX(CA!E$2:E$78,MATCH($E267,CA!$A$2:$A$78,0)),
"")</f>
        <v>CENTRAL</v>
      </c>
      <c r="L267" s="15" t="e">
        <v>#VALUE!</v>
      </c>
      <c r="M267" s="15" t="e">
        <v>#VALUE!</v>
      </c>
      <c r="N267" s="15" t="e">
        <v>#VALUE!</v>
      </c>
      <c r="O267" s="15" t="e">
        <v>#VALUE!</v>
      </c>
      <c r="P267" s="15" t="e">
        <v>#VALUE!</v>
      </c>
      <c r="Q267" s="15" t="e">
        <v>#VALUE!</v>
      </c>
      <c r="R267" s="15" t="e">
        <v>#VALUE!</v>
      </c>
      <c r="S267" s="15" t="e">
        <v>#VALUE!</v>
      </c>
      <c r="T267" s="129">
        <v>0.12658599813357402</v>
      </c>
      <c r="U267" s="130" t="e">
        <f t="shared" si="19"/>
        <v>#VALUE!</v>
      </c>
      <c r="V267" s="129">
        <v>0.12658599813357402</v>
      </c>
      <c r="W267" s="130" t="e">
        <f t="shared" si="16"/>
        <v>#VALUE!</v>
      </c>
      <c r="X267" s="129">
        <v>0.12658599813357402</v>
      </c>
      <c r="Y267" s="130" t="e">
        <f t="shared" si="17"/>
        <v>#VALUE!</v>
      </c>
      <c r="Z267" s="129">
        <v>0.12658599813357402</v>
      </c>
      <c r="AA267" s="130" t="e">
        <f t="shared" si="18"/>
        <v>#VALUE!</v>
      </c>
    </row>
    <row r="268" spans="1:27" x14ac:dyDescent="0.3">
      <c r="A268">
        <v>243300</v>
      </c>
      <c r="B268">
        <v>17031243300</v>
      </c>
      <c r="C268">
        <v>17031</v>
      </c>
      <c r="D268">
        <v>2010</v>
      </c>
      <c r="E268">
        <v>24</v>
      </c>
      <c r="F268">
        <v>3506912.0917782499</v>
      </c>
      <c r="G268" s="43">
        <v>0.12579316215343239</v>
      </c>
      <c r="H268" s="58" t="str">
        <f>_xlfn.IFNA(
INDEX(CA!B$2:B$78,MATCH($E268,CA!$A$2:$A$78,0)),
"")</f>
        <v>WEST TOWN</v>
      </c>
      <c r="I268" s="60" t="str">
        <f>_xlfn.IFNA(
INDEX(CA!C$2:C$78,MATCH($E268,CA!$A$2:$A$78,0)),
"")</f>
        <v>3-B</v>
      </c>
      <c r="J268" s="60">
        <f>_xlfn.IFNA(
INDEX(CA!D$2:D$78,MATCH($E268,CA!$A$2:$A$78,0)),
"")</f>
        <v>7</v>
      </c>
      <c r="K268" s="58" t="str">
        <f>_xlfn.IFNA(
INDEX(CA!E$2:E$78,MATCH($E268,CA!$A$2:$A$78,0)),
"")</f>
        <v>CENTRAL</v>
      </c>
      <c r="L268" s="15" t="e">
        <v>#VALUE!</v>
      </c>
      <c r="M268" s="15" t="e">
        <v>#VALUE!</v>
      </c>
      <c r="N268" s="15" t="e">
        <v>#VALUE!</v>
      </c>
      <c r="O268" s="15" t="e">
        <v>#VALUE!</v>
      </c>
      <c r="P268" s="15" t="e">
        <v>#VALUE!</v>
      </c>
      <c r="Q268" s="15" t="e">
        <v>#VALUE!</v>
      </c>
      <c r="R268" s="15" t="e">
        <v>#VALUE!</v>
      </c>
      <c r="S268" s="15" t="e">
        <v>#VALUE!</v>
      </c>
      <c r="T268" s="129">
        <v>0.12579316368543855</v>
      </c>
      <c r="U268" s="130" t="e">
        <f t="shared" si="19"/>
        <v>#VALUE!</v>
      </c>
      <c r="V268" s="129">
        <v>0.12579316368543855</v>
      </c>
      <c r="W268" s="130" t="e">
        <f t="shared" si="16"/>
        <v>#VALUE!</v>
      </c>
      <c r="X268" s="129">
        <v>0.12579316368543855</v>
      </c>
      <c r="Y268" s="130" t="e">
        <f t="shared" si="17"/>
        <v>#VALUE!</v>
      </c>
      <c r="Z268" s="129">
        <v>0.12579316368543855</v>
      </c>
      <c r="AA268" s="130" t="e">
        <f t="shared" si="18"/>
        <v>#VALUE!</v>
      </c>
    </row>
    <row r="269" spans="1:27" x14ac:dyDescent="0.3">
      <c r="A269">
        <v>240300</v>
      </c>
      <c r="B269">
        <v>17031240300</v>
      </c>
      <c r="C269">
        <v>17031</v>
      </c>
      <c r="D269">
        <v>2010</v>
      </c>
      <c r="E269">
        <v>24</v>
      </c>
      <c r="F269">
        <v>1785911.8080408101</v>
      </c>
      <c r="G269" s="43">
        <v>6.4060771351326123E-2</v>
      </c>
      <c r="H269" s="58" t="str">
        <f>_xlfn.IFNA(
INDEX(CA!B$2:B$78,MATCH($E269,CA!$A$2:$A$78,0)),
"")</f>
        <v>WEST TOWN</v>
      </c>
      <c r="I269" s="60" t="str">
        <f>_xlfn.IFNA(
INDEX(CA!C$2:C$78,MATCH($E269,CA!$A$2:$A$78,0)),
"")</f>
        <v>3-B</v>
      </c>
      <c r="J269" s="60">
        <f>_xlfn.IFNA(
INDEX(CA!D$2:D$78,MATCH($E269,CA!$A$2:$A$78,0)),
"")</f>
        <v>7</v>
      </c>
      <c r="K269" s="58" t="str">
        <f>_xlfn.IFNA(
INDEX(CA!E$2:E$78,MATCH($E269,CA!$A$2:$A$78,0)),
"")</f>
        <v>CENTRAL</v>
      </c>
      <c r="L269" s="15" t="e">
        <v>#VALUE!</v>
      </c>
      <c r="M269" s="15" t="e">
        <v>#VALUE!</v>
      </c>
      <c r="N269" s="15" t="e">
        <v>#VALUE!</v>
      </c>
      <c r="O269" s="15" t="e">
        <v>#VALUE!</v>
      </c>
      <c r="P269" s="15" t="e">
        <v>#VALUE!</v>
      </c>
      <c r="Q269" s="15" t="e">
        <v>#VALUE!</v>
      </c>
      <c r="R269" s="15" t="e">
        <v>#VALUE!</v>
      </c>
      <c r="S269" s="15" t="e">
        <v>#VALUE!</v>
      </c>
      <c r="T269" s="129">
        <v>6.4060767888892839E-2</v>
      </c>
      <c r="U269" s="130" t="e">
        <f t="shared" si="19"/>
        <v>#VALUE!</v>
      </c>
      <c r="V269" s="129">
        <v>6.4060767888892839E-2</v>
      </c>
      <c r="W269" s="130" t="e">
        <f t="shared" si="16"/>
        <v>#VALUE!</v>
      </c>
      <c r="X269" s="129">
        <v>6.4060767888892839E-2</v>
      </c>
      <c r="Y269" s="130" t="e">
        <f t="shared" si="17"/>
        <v>#VALUE!</v>
      </c>
      <c r="Z269" s="129">
        <v>6.4060767888892839E-2</v>
      </c>
      <c r="AA269" s="130" t="e">
        <f t="shared" si="18"/>
        <v>#VALUE!</v>
      </c>
    </row>
    <row r="270" spans="1:27" x14ac:dyDescent="0.3">
      <c r="A270">
        <v>240600</v>
      </c>
      <c r="B270">
        <v>17031240600</v>
      </c>
      <c r="C270">
        <v>17031</v>
      </c>
      <c r="D270">
        <v>2010</v>
      </c>
      <c r="E270">
        <v>24</v>
      </c>
      <c r="F270">
        <v>1781524.0314935199</v>
      </c>
      <c r="G270" s="43">
        <v>6.3903381524532246E-2</v>
      </c>
      <c r="H270" s="58" t="str">
        <f>_xlfn.IFNA(
INDEX(CA!B$2:B$78,MATCH($E270,CA!$A$2:$A$78,0)),
"")</f>
        <v>WEST TOWN</v>
      </c>
      <c r="I270" s="60" t="str">
        <f>_xlfn.IFNA(
INDEX(CA!C$2:C$78,MATCH($E270,CA!$A$2:$A$78,0)),
"")</f>
        <v>3-B</v>
      </c>
      <c r="J270" s="60">
        <f>_xlfn.IFNA(
INDEX(CA!D$2:D$78,MATCH($E270,CA!$A$2:$A$78,0)),
"")</f>
        <v>7</v>
      </c>
      <c r="K270" s="58" t="str">
        <f>_xlfn.IFNA(
INDEX(CA!E$2:E$78,MATCH($E270,CA!$A$2:$A$78,0)),
"")</f>
        <v>CENTRAL</v>
      </c>
      <c r="L270" s="15" t="e">
        <v>#VALUE!</v>
      </c>
      <c r="M270" s="15" t="e">
        <v>#VALUE!</v>
      </c>
      <c r="N270" s="15" t="e">
        <v>#VALUE!</v>
      </c>
      <c r="O270" s="15" t="e">
        <v>#VALUE!</v>
      </c>
      <c r="P270" s="15" t="e">
        <v>#VALUE!</v>
      </c>
      <c r="Q270" s="15" t="e">
        <v>#VALUE!</v>
      </c>
      <c r="R270" s="15" t="e">
        <v>#VALUE!</v>
      </c>
      <c r="S270" s="15" t="e">
        <v>#VALUE!</v>
      </c>
      <c r="T270" s="129">
        <v>6.3903382150080706E-2</v>
      </c>
      <c r="U270" s="130" t="e">
        <f t="shared" si="19"/>
        <v>#VALUE!</v>
      </c>
      <c r="V270" s="129">
        <v>6.3903382150080706E-2</v>
      </c>
      <c r="W270" s="130" t="e">
        <f t="shared" si="16"/>
        <v>#VALUE!</v>
      </c>
      <c r="X270" s="129">
        <v>6.3903382150080706E-2</v>
      </c>
      <c r="Y270" s="130" t="e">
        <f t="shared" si="17"/>
        <v>#VALUE!</v>
      </c>
      <c r="Z270" s="129">
        <v>6.3903382150080706E-2</v>
      </c>
      <c r="AA270" s="130" t="e">
        <f t="shared" si="18"/>
        <v>#VALUE!</v>
      </c>
    </row>
    <row r="271" spans="1:27" x14ac:dyDescent="0.3">
      <c r="A271">
        <v>240900</v>
      </c>
      <c r="B271">
        <v>17031240900</v>
      </c>
      <c r="C271">
        <v>17031</v>
      </c>
      <c r="D271">
        <v>2010</v>
      </c>
      <c r="E271">
        <v>24</v>
      </c>
      <c r="F271">
        <v>10759601.989946799</v>
      </c>
      <c r="G271" s="43">
        <v>0.38594761499751778</v>
      </c>
      <c r="H271" s="58" t="str">
        <f>_xlfn.IFNA(
INDEX(CA!B$2:B$78,MATCH($E271,CA!$A$2:$A$78,0)),
"")</f>
        <v>WEST TOWN</v>
      </c>
      <c r="I271" s="60" t="str">
        <f>_xlfn.IFNA(
INDEX(CA!C$2:C$78,MATCH($E271,CA!$A$2:$A$78,0)),
"")</f>
        <v>3-B</v>
      </c>
      <c r="J271" s="60">
        <f>_xlfn.IFNA(
INDEX(CA!D$2:D$78,MATCH($E271,CA!$A$2:$A$78,0)),
"")</f>
        <v>7</v>
      </c>
      <c r="K271" s="58" t="str">
        <f>_xlfn.IFNA(
INDEX(CA!E$2:E$78,MATCH($E271,CA!$A$2:$A$78,0)),
"")</f>
        <v>CENTRAL</v>
      </c>
      <c r="L271" s="15" t="e">
        <v>#VALUE!</v>
      </c>
      <c r="M271" s="15" t="e">
        <v>#VALUE!</v>
      </c>
      <c r="N271" s="15" t="e">
        <v>#VALUE!</v>
      </c>
      <c r="O271" s="15" t="e">
        <v>#VALUE!</v>
      </c>
      <c r="P271" s="15" t="e">
        <v>#VALUE!</v>
      </c>
      <c r="Q271" s="15" t="e">
        <v>#VALUE!</v>
      </c>
      <c r="R271" s="15" t="e">
        <v>#VALUE!</v>
      </c>
      <c r="S271" s="15" t="e">
        <v>#VALUE!</v>
      </c>
      <c r="T271" s="129">
        <v>0.38594761979497388</v>
      </c>
      <c r="U271" s="130" t="e">
        <f t="shared" si="19"/>
        <v>#VALUE!</v>
      </c>
      <c r="V271" s="129">
        <v>0.38594761979497388</v>
      </c>
      <c r="W271" s="130" t="e">
        <f t="shared" si="16"/>
        <v>#VALUE!</v>
      </c>
      <c r="X271" s="129">
        <v>0.38594761979497388</v>
      </c>
      <c r="Y271" s="130" t="e">
        <f t="shared" si="17"/>
        <v>#VALUE!</v>
      </c>
      <c r="Z271" s="129">
        <v>0.38594761979497388</v>
      </c>
      <c r="AA271" s="130" t="e">
        <f t="shared" si="18"/>
        <v>#VALUE!</v>
      </c>
    </row>
    <row r="272" spans="1:27" x14ac:dyDescent="0.3">
      <c r="A272">
        <v>241100</v>
      </c>
      <c r="B272">
        <v>17031241100</v>
      </c>
      <c r="C272">
        <v>17031</v>
      </c>
      <c r="D272">
        <v>2010</v>
      </c>
      <c r="E272">
        <v>24</v>
      </c>
      <c r="F272">
        <v>3558983.2232306302</v>
      </c>
      <c r="G272" s="43">
        <v>0.12766095698571761</v>
      </c>
      <c r="H272" s="58" t="str">
        <f>_xlfn.IFNA(
INDEX(CA!B$2:B$78,MATCH($E272,CA!$A$2:$A$78,0)),
"")</f>
        <v>WEST TOWN</v>
      </c>
      <c r="I272" s="60" t="str">
        <f>_xlfn.IFNA(
INDEX(CA!C$2:C$78,MATCH($E272,CA!$A$2:$A$78,0)),
"")</f>
        <v>3-B</v>
      </c>
      <c r="J272" s="60">
        <f>_xlfn.IFNA(
INDEX(CA!D$2:D$78,MATCH($E272,CA!$A$2:$A$78,0)),
"")</f>
        <v>7</v>
      </c>
      <c r="K272" s="58" t="str">
        <f>_xlfn.IFNA(
INDEX(CA!E$2:E$78,MATCH($E272,CA!$A$2:$A$78,0)),
"")</f>
        <v>CENTRAL</v>
      </c>
      <c r="L272" s="15" t="e">
        <v>#VALUE!</v>
      </c>
      <c r="M272" s="15" t="e">
        <v>#VALUE!</v>
      </c>
      <c r="N272" s="15" t="e">
        <v>#VALUE!</v>
      </c>
      <c r="O272" s="15" t="e">
        <v>#VALUE!</v>
      </c>
      <c r="P272" s="15" t="e">
        <v>#VALUE!</v>
      </c>
      <c r="Q272" s="15" t="e">
        <v>#VALUE!</v>
      </c>
      <c r="R272" s="15" t="e">
        <v>#VALUE!</v>
      </c>
      <c r="S272" s="15" t="e">
        <v>#VALUE!</v>
      </c>
      <c r="T272" s="129">
        <v>0.12766095961426158</v>
      </c>
      <c r="U272" s="130" t="e">
        <f t="shared" si="19"/>
        <v>#VALUE!</v>
      </c>
      <c r="V272" s="129">
        <v>0.12766095961426158</v>
      </c>
      <c r="W272" s="130" t="e">
        <f t="shared" si="16"/>
        <v>#VALUE!</v>
      </c>
      <c r="X272" s="129">
        <v>0.12766095961426158</v>
      </c>
      <c r="Y272" s="130" t="e">
        <f t="shared" si="17"/>
        <v>#VALUE!</v>
      </c>
      <c r="Z272" s="129">
        <v>0.12766095961426158</v>
      </c>
      <c r="AA272" s="130" t="e">
        <f t="shared" si="18"/>
        <v>#VALUE!</v>
      </c>
    </row>
    <row r="273" spans="1:27" x14ac:dyDescent="0.3">
      <c r="A273">
        <v>242300</v>
      </c>
      <c r="B273">
        <v>17031242300</v>
      </c>
      <c r="C273">
        <v>17031</v>
      </c>
      <c r="D273">
        <v>2010</v>
      </c>
      <c r="E273">
        <v>24</v>
      </c>
      <c r="F273">
        <v>3533651.5438801101</v>
      </c>
      <c r="G273" s="43">
        <v>0.12675230801911552</v>
      </c>
      <c r="H273" s="58" t="str">
        <f>_xlfn.IFNA(
INDEX(CA!B$2:B$78,MATCH($E273,CA!$A$2:$A$78,0)),
"")</f>
        <v>WEST TOWN</v>
      </c>
      <c r="I273" s="60" t="str">
        <f>_xlfn.IFNA(
INDEX(CA!C$2:C$78,MATCH($E273,CA!$A$2:$A$78,0)),
"")</f>
        <v>3-B</v>
      </c>
      <c r="J273" s="60">
        <f>_xlfn.IFNA(
INDEX(CA!D$2:D$78,MATCH($E273,CA!$A$2:$A$78,0)),
"")</f>
        <v>7</v>
      </c>
      <c r="K273" s="58" t="str">
        <f>_xlfn.IFNA(
INDEX(CA!E$2:E$78,MATCH($E273,CA!$A$2:$A$78,0)),
"")</f>
        <v>CENTRAL</v>
      </c>
      <c r="L273" s="15" t="e">
        <v>#VALUE!</v>
      </c>
      <c r="M273" s="15" t="e">
        <v>#VALUE!</v>
      </c>
      <c r="N273" s="15" t="e">
        <v>#VALUE!</v>
      </c>
      <c r="O273" s="15" t="e">
        <v>#VALUE!</v>
      </c>
      <c r="P273" s="15" t="e">
        <v>#VALUE!</v>
      </c>
      <c r="Q273" s="15" t="e">
        <v>#VALUE!</v>
      </c>
      <c r="R273" s="15" t="e">
        <v>#VALUE!</v>
      </c>
      <c r="S273" s="15" t="e">
        <v>#VALUE!</v>
      </c>
      <c r="T273" s="129">
        <v>0.12675230550511329</v>
      </c>
      <c r="U273" s="130" t="e">
        <f t="shared" si="19"/>
        <v>#VALUE!</v>
      </c>
      <c r="V273" s="129">
        <v>0.12675230550511329</v>
      </c>
      <c r="W273" s="130" t="e">
        <f t="shared" si="16"/>
        <v>#VALUE!</v>
      </c>
      <c r="X273" s="129">
        <v>0.12675230550511329</v>
      </c>
      <c r="Y273" s="130" t="e">
        <f t="shared" si="17"/>
        <v>#VALUE!</v>
      </c>
      <c r="Z273" s="129">
        <v>0.12675230550511329</v>
      </c>
      <c r="AA273" s="130" t="e">
        <f t="shared" si="18"/>
        <v>#VALUE!</v>
      </c>
    </row>
    <row r="274" spans="1:27" x14ac:dyDescent="0.3">
      <c r="A274">
        <v>242900</v>
      </c>
      <c r="B274">
        <v>17031242900</v>
      </c>
      <c r="C274">
        <v>17031</v>
      </c>
      <c r="D274">
        <v>2010</v>
      </c>
      <c r="E274">
        <v>24</v>
      </c>
      <c r="F274">
        <v>3485130.0848417799</v>
      </c>
      <c r="G274" s="43">
        <v>0.12501184016449221</v>
      </c>
      <c r="H274" s="58" t="str">
        <f>_xlfn.IFNA(
INDEX(CA!B$2:B$78,MATCH($E274,CA!$A$2:$A$78,0)),
"")</f>
        <v>WEST TOWN</v>
      </c>
      <c r="I274" s="60" t="str">
        <f>_xlfn.IFNA(
INDEX(CA!C$2:C$78,MATCH($E274,CA!$A$2:$A$78,0)),
"")</f>
        <v>3-B</v>
      </c>
      <c r="J274" s="60">
        <f>_xlfn.IFNA(
INDEX(CA!D$2:D$78,MATCH($E274,CA!$A$2:$A$78,0)),
"")</f>
        <v>7</v>
      </c>
      <c r="K274" s="58" t="str">
        <f>_xlfn.IFNA(
INDEX(CA!E$2:E$78,MATCH($E274,CA!$A$2:$A$78,0)),
"")</f>
        <v>CENTRAL</v>
      </c>
      <c r="L274" s="15" t="e">
        <v>#VALUE!</v>
      </c>
      <c r="M274" s="15" t="e">
        <v>#VALUE!</v>
      </c>
      <c r="N274" s="15" t="e">
        <v>#VALUE!</v>
      </c>
      <c r="O274" s="15" t="e">
        <v>#VALUE!</v>
      </c>
      <c r="P274" s="15" t="e">
        <v>#VALUE!</v>
      </c>
      <c r="Q274" s="15" t="e">
        <v>#VALUE!</v>
      </c>
      <c r="R274" s="15" t="e">
        <v>#VALUE!</v>
      </c>
      <c r="S274" s="15" t="e">
        <v>#VALUE!</v>
      </c>
      <c r="T274" s="129">
        <v>0.12492322072249412</v>
      </c>
      <c r="U274" s="130" t="e">
        <f t="shared" si="19"/>
        <v>#VALUE!</v>
      </c>
      <c r="V274" s="129">
        <v>0.12492322072249412</v>
      </c>
      <c r="W274" s="130" t="e">
        <f t="shared" si="16"/>
        <v>#VALUE!</v>
      </c>
      <c r="X274" s="129">
        <v>0.12492322072249412</v>
      </c>
      <c r="Y274" s="130" t="e">
        <f t="shared" si="17"/>
        <v>#VALUE!</v>
      </c>
      <c r="Z274" s="129">
        <v>0.12492322072249412</v>
      </c>
      <c r="AA274" s="130" t="e">
        <f t="shared" si="18"/>
        <v>#VALUE!</v>
      </c>
    </row>
    <row r="275" spans="1:27" x14ac:dyDescent="0.3">
      <c r="A275">
        <v>240700</v>
      </c>
      <c r="B275">
        <v>17031240700</v>
      </c>
      <c r="C275">
        <v>17031</v>
      </c>
      <c r="D275">
        <v>2010</v>
      </c>
      <c r="E275">
        <v>24</v>
      </c>
      <c r="F275">
        <v>1789139.80589822</v>
      </c>
      <c r="G275" s="43">
        <v>6.4176559841964395E-2</v>
      </c>
      <c r="H275" s="58" t="str">
        <f>_xlfn.IFNA(
INDEX(CA!B$2:B$78,MATCH($E275,CA!$A$2:$A$78,0)),
"")</f>
        <v>WEST TOWN</v>
      </c>
      <c r="I275" s="60" t="str">
        <f>_xlfn.IFNA(
INDEX(CA!C$2:C$78,MATCH($E275,CA!$A$2:$A$78,0)),
"")</f>
        <v>3-B</v>
      </c>
      <c r="J275" s="60">
        <f>_xlfn.IFNA(
INDEX(CA!D$2:D$78,MATCH($E275,CA!$A$2:$A$78,0)),
"")</f>
        <v>7</v>
      </c>
      <c r="K275" s="58" t="str">
        <f>_xlfn.IFNA(
INDEX(CA!E$2:E$78,MATCH($E275,CA!$A$2:$A$78,0)),
"")</f>
        <v>CENTRAL</v>
      </c>
      <c r="L275" s="15" t="e">
        <v>#VALUE!</v>
      </c>
      <c r="M275" s="15" t="e">
        <v>#VALUE!</v>
      </c>
      <c r="N275" s="15" t="e">
        <v>#VALUE!</v>
      </c>
      <c r="O275" s="15" t="e">
        <v>#VALUE!</v>
      </c>
      <c r="P275" s="15" t="e">
        <v>#VALUE!</v>
      </c>
      <c r="Q275" s="15" t="e">
        <v>#VALUE!</v>
      </c>
      <c r="R275" s="15" t="e">
        <v>#VALUE!</v>
      </c>
      <c r="S275" s="15" t="e">
        <v>#VALUE!</v>
      </c>
      <c r="T275" s="129">
        <v>6.4176556686143388E-2</v>
      </c>
      <c r="U275" s="130" t="e">
        <f t="shared" si="19"/>
        <v>#VALUE!</v>
      </c>
      <c r="V275" s="129">
        <v>6.4176556686143388E-2</v>
      </c>
      <c r="W275" s="130" t="e">
        <f t="shared" si="16"/>
        <v>#VALUE!</v>
      </c>
      <c r="X275" s="129">
        <v>6.4176556686143388E-2</v>
      </c>
      <c r="Y275" s="130" t="e">
        <f t="shared" si="17"/>
        <v>#VALUE!</v>
      </c>
      <c r="Z275" s="129">
        <v>6.4176556686143388E-2</v>
      </c>
      <c r="AA275" s="130" t="e">
        <f t="shared" si="18"/>
        <v>#VALUE!</v>
      </c>
    </row>
    <row r="276" spans="1:27" x14ac:dyDescent="0.3">
      <c r="A276">
        <v>241300</v>
      </c>
      <c r="B276">
        <v>17031241300</v>
      </c>
      <c r="C276">
        <v>17031</v>
      </c>
      <c r="D276">
        <v>2010</v>
      </c>
      <c r="E276">
        <v>24</v>
      </c>
      <c r="F276">
        <v>1766362.4039169201</v>
      </c>
      <c r="G276" s="43">
        <v>6.3359532968783008E-2</v>
      </c>
      <c r="H276" s="58" t="str">
        <f>_xlfn.IFNA(
INDEX(CA!B$2:B$78,MATCH($E276,CA!$A$2:$A$78,0)),
"")</f>
        <v>WEST TOWN</v>
      </c>
      <c r="I276" s="60" t="str">
        <f>_xlfn.IFNA(
INDEX(CA!C$2:C$78,MATCH($E276,CA!$A$2:$A$78,0)),
"")</f>
        <v>3-B</v>
      </c>
      <c r="J276" s="60">
        <f>_xlfn.IFNA(
INDEX(CA!D$2:D$78,MATCH($E276,CA!$A$2:$A$78,0)),
"")</f>
        <v>7</v>
      </c>
      <c r="K276" s="58" t="str">
        <f>_xlfn.IFNA(
INDEX(CA!E$2:E$78,MATCH($E276,CA!$A$2:$A$78,0)),
"")</f>
        <v>CENTRAL</v>
      </c>
      <c r="L276" s="15" t="e">
        <v>#VALUE!</v>
      </c>
      <c r="M276" s="15" t="e">
        <v>#VALUE!</v>
      </c>
      <c r="N276" s="15" t="e">
        <v>#VALUE!</v>
      </c>
      <c r="O276" s="15" t="e">
        <v>#VALUE!</v>
      </c>
      <c r="P276" s="15" t="e">
        <v>#VALUE!</v>
      </c>
      <c r="Q276" s="15" t="e">
        <v>#VALUE!</v>
      </c>
      <c r="R276" s="15" t="e">
        <v>#VALUE!</v>
      </c>
      <c r="S276" s="15" t="e">
        <v>#VALUE!</v>
      </c>
      <c r="T276" s="129">
        <v>6.3359530064200961E-2</v>
      </c>
      <c r="U276" s="130" t="e">
        <f t="shared" si="19"/>
        <v>#VALUE!</v>
      </c>
      <c r="V276" s="129">
        <v>6.3359530064200961E-2</v>
      </c>
      <c r="W276" s="130" t="e">
        <f t="shared" si="16"/>
        <v>#VALUE!</v>
      </c>
      <c r="X276" s="129">
        <v>6.3359530064200961E-2</v>
      </c>
      <c r="Y276" s="130" t="e">
        <f t="shared" si="17"/>
        <v>#VALUE!</v>
      </c>
      <c r="Z276" s="129">
        <v>6.3359530064200961E-2</v>
      </c>
      <c r="AA276" s="130" t="e">
        <f t="shared" si="18"/>
        <v>#VALUE!</v>
      </c>
    </row>
    <row r="277" spans="1:27" x14ac:dyDescent="0.3">
      <c r="A277">
        <v>242200</v>
      </c>
      <c r="B277">
        <v>17031242200</v>
      </c>
      <c r="C277">
        <v>17031</v>
      </c>
      <c r="D277">
        <v>2010</v>
      </c>
      <c r="E277">
        <v>24</v>
      </c>
      <c r="F277">
        <v>3519784.2010192098</v>
      </c>
      <c r="G277" s="43">
        <v>0.12625488553931394</v>
      </c>
      <c r="H277" s="58" t="str">
        <f>_xlfn.IFNA(
INDEX(CA!B$2:B$78,MATCH($E277,CA!$A$2:$A$78,0)),
"")</f>
        <v>WEST TOWN</v>
      </c>
      <c r="I277" s="60" t="str">
        <f>_xlfn.IFNA(
INDEX(CA!C$2:C$78,MATCH($E277,CA!$A$2:$A$78,0)),
"")</f>
        <v>3-B</v>
      </c>
      <c r="J277" s="60">
        <f>_xlfn.IFNA(
INDEX(CA!D$2:D$78,MATCH($E277,CA!$A$2:$A$78,0)),
"")</f>
        <v>7</v>
      </c>
      <c r="K277" s="58" t="str">
        <f>_xlfn.IFNA(
INDEX(CA!E$2:E$78,MATCH($E277,CA!$A$2:$A$78,0)),
"")</f>
        <v>CENTRAL</v>
      </c>
      <c r="L277" s="15" t="e">
        <v>#VALUE!</v>
      </c>
      <c r="M277" s="15" t="e">
        <v>#VALUE!</v>
      </c>
      <c r="N277" s="15" t="e">
        <v>#VALUE!</v>
      </c>
      <c r="O277" s="15" t="e">
        <v>#VALUE!</v>
      </c>
      <c r="P277" s="15" t="e">
        <v>#VALUE!</v>
      </c>
      <c r="Q277" s="15" t="e">
        <v>#VALUE!</v>
      </c>
      <c r="R277" s="15" t="e">
        <v>#VALUE!</v>
      </c>
      <c r="S277" s="15" t="e">
        <v>#VALUE!</v>
      </c>
      <c r="T277" s="129">
        <v>0.12625488449019276</v>
      </c>
      <c r="U277" s="130" t="e">
        <f t="shared" si="19"/>
        <v>#VALUE!</v>
      </c>
      <c r="V277" s="129">
        <v>0.12625488449019276</v>
      </c>
      <c r="W277" s="130" t="e">
        <f t="shared" si="16"/>
        <v>#VALUE!</v>
      </c>
      <c r="X277" s="129">
        <v>0.12625488449019276</v>
      </c>
      <c r="Y277" s="130" t="e">
        <f t="shared" si="17"/>
        <v>#VALUE!</v>
      </c>
      <c r="Z277" s="129">
        <v>0.12625488449019276</v>
      </c>
      <c r="AA277" s="130" t="e">
        <f t="shared" si="18"/>
        <v>#VALUE!</v>
      </c>
    </row>
    <row r="278" spans="1:27" x14ac:dyDescent="0.3">
      <c r="A278">
        <v>241000</v>
      </c>
      <c r="B278">
        <v>17031241000</v>
      </c>
      <c r="C278">
        <v>17031</v>
      </c>
      <c r="D278">
        <v>2010</v>
      </c>
      <c r="E278">
        <v>24</v>
      </c>
      <c r="F278">
        <v>2230091.6014361298</v>
      </c>
      <c r="G278" s="43">
        <v>7.9993529091918106E-2</v>
      </c>
      <c r="H278" s="58" t="str">
        <f>_xlfn.IFNA(
INDEX(CA!B$2:B$78,MATCH($E278,CA!$A$2:$A$78,0)),
"")</f>
        <v>WEST TOWN</v>
      </c>
      <c r="I278" s="60" t="str">
        <f>_xlfn.IFNA(
INDEX(CA!C$2:C$78,MATCH($E278,CA!$A$2:$A$78,0)),
"")</f>
        <v>3-B</v>
      </c>
      <c r="J278" s="60">
        <f>_xlfn.IFNA(
INDEX(CA!D$2:D$78,MATCH($E278,CA!$A$2:$A$78,0)),
"")</f>
        <v>7</v>
      </c>
      <c r="K278" s="58" t="str">
        <f>_xlfn.IFNA(
INDEX(CA!E$2:E$78,MATCH($E278,CA!$A$2:$A$78,0)),
"")</f>
        <v>CENTRAL</v>
      </c>
      <c r="L278" s="15" t="e">
        <v>#VALUE!</v>
      </c>
      <c r="M278" s="15" t="e">
        <v>#VALUE!</v>
      </c>
      <c r="N278" s="15" t="e">
        <v>#VALUE!</v>
      </c>
      <c r="O278" s="15" t="e">
        <v>#VALUE!</v>
      </c>
      <c r="P278" s="15" t="e">
        <v>#VALUE!</v>
      </c>
      <c r="Q278" s="15" t="e">
        <v>#VALUE!</v>
      </c>
      <c r="R278" s="15" t="e">
        <v>#VALUE!</v>
      </c>
      <c r="S278" s="15" t="e">
        <v>#VALUE!</v>
      </c>
      <c r="T278" s="129">
        <v>7.9993530689670495E-2</v>
      </c>
      <c r="U278" s="130" t="e">
        <f t="shared" si="19"/>
        <v>#VALUE!</v>
      </c>
      <c r="V278" s="129">
        <v>7.9993530689670495E-2</v>
      </c>
      <c r="W278" s="130" t="e">
        <f t="shared" si="16"/>
        <v>#VALUE!</v>
      </c>
      <c r="X278" s="129">
        <v>7.9993530689670495E-2</v>
      </c>
      <c r="Y278" s="130" t="e">
        <f t="shared" si="17"/>
        <v>#VALUE!</v>
      </c>
      <c r="Z278" s="129">
        <v>7.9993530689670495E-2</v>
      </c>
      <c r="AA278" s="130" t="e">
        <f t="shared" si="18"/>
        <v>#VALUE!</v>
      </c>
    </row>
    <row r="279" spans="1:27" x14ac:dyDescent="0.3">
      <c r="A279">
        <v>251700</v>
      </c>
      <c r="B279">
        <v>17031251700</v>
      </c>
      <c r="C279">
        <v>17031</v>
      </c>
      <c r="D279">
        <v>2010</v>
      </c>
      <c r="E279">
        <v>25</v>
      </c>
      <c r="F279">
        <v>5309254.4911888996</v>
      </c>
      <c r="G279" s="43">
        <v>0.19044329987333919</v>
      </c>
      <c r="H279" s="58" t="str">
        <f>_xlfn.IFNA(
INDEX(CA!B$2:B$78,MATCH($E279,CA!$A$2:$A$78,0)),
"")</f>
        <v>AUSTIN</v>
      </c>
      <c r="I279" s="60" t="str">
        <f>_xlfn.IFNA(
INDEX(CA!C$2:C$78,MATCH($E279,CA!$A$2:$A$78,0)),
"")</f>
        <v>3-A</v>
      </c>
      <c r="J279" s="60">
        <f>_xlfn.IFNA(
INDEX(CA!D$2:D$78,MATCH($E279,CA!$A$2:$A$78,0)),
"")</f>
        <v>3</v>
      </c>
      <c r="K279" s="58" t="str">
        <f>_xlfn.IFNA(
INDEX(CA!E$2:E$78,MATCH($E279,CA!$A$2:$A$78,0)),
"")</f>
        <v>WEST</v>
      </c>
      <c r="L279" s="15" t="e">
        <v>#VALUE!</v>
      </c>
      <c r="M279" s="15" t="e">
        <v>#VALUE!</v>
      </c>
      <c r="N279" s="15" t="e">
        <v>#VALUE!</v>
      </c>
      <c r="O279" s="15" t="e">
        <v>#VALUE!</v>
      </c>
      <c r="P279" s="15" t="e">
        <v>#VALUE!</v>
      </c>
      <c r="Q279" s="15" t="e">
        <v>#VALUE!</v>
      </c>
      <c r="R279" s="15" t="e">
        <v>#VALUE!</v>
      </c>
      <c r="S279" s="15" t="e">
        <v>#VALUE!</v>
      </c>
      <c r="T279" s="129">
        <v>0.15932226807332808</v>
      </c>
      <c r="U279" s="130" t="e">
        <f t="shared" si="19"/>
        <v>#VALUE!</v>
      </c>
      <c r="V279" s="129">
        <v>0.15932226807332808</v>
      </c>
      <c r="W279" s="130" t="e">
        <f t="shared" si="16"/>
        <v>#VALUE!</v>
      </c>
      <c r="X279" s="129">
        <v>0.15932226807332808</v>
      </c>
      <c r="Y279" s="130" t="e">
        <f t="shared" si="17"/>
        <v>#VALUE!</v>
      </c>
      <c r="Z279" s="129">
        <v>0.15932226807332808</v>
      </c>
      <c r="AA279" s="130" t="e">
        <f t="shared" si="18"/>
        <v>#VALUE!</v>
      </c>
    </row>
    <row r="280" spans="1:27" x14ac:dyDescent="0.3">
      <c r="A280">
        <v>252201</v>
      </c>
      <c r="B280">
        <v>17031252201</v>
      </c>
      <c r="C280">
        <v>17031</v>
      </c>
      <c r="D280">
        <v>2010</v>
      </c>
      <c r="E280">
        <v>25</v>
      </c>
      <c r="F280">
        <v>4163711.7541445098</v>
      </c>
      <c r="G280" s="43">
        <v>0.14935260826103758</v>
      </c>
      <c r="H280" s="58" t="str">
        <f>_xlfn.IFNA(
INDEX(CA!B$2:B$78,MATCH($E280,CA!$A$2:$A$78,0)),
"")</f>
        <v>AUSTIN</v>
      </c>
      <c r="I280" s="60" t="str">
        <f>_xlfn.IFNA(
INDEX(CA!C$2:C$78,MATCH($E280,CA!$A$2:$A$78,0)),
"")</f>
        <v>3-A</v>
      </c>
      <c r="J280" s="60">
        <f>_xlfn.IFNA(
INDEX(CA!D$2:D$78,MATCH($E280,CA!$A$2:$A$78,0)),
"")</f>
        <v>3</v>
      </c>
      <c r="K280" s="58" t="str">
        <f>_xlfn.IFNA(
INDEX(CA!E$2:E$78,MATCH($E280,CA!$A$2:$A$78,0)),
"")</f>
        <v>WEST</v>
      </c>
      <c r="L280" s="15" t="e">
        <v>#VALUE!</v>
      </c>
      <c r="M280" s="15" t="e">
        <v>#VALUE!</v>
      </c>
      <c r="N280" s="15" t="e">
        <v>#VALUE!</v>
      </c>
      <c r="O280" s="15" t="e">
        <v>#VALUE!</v>
      </c>
      <c r="P280" s="15" t="e">
        <v>#VALUE!</v>
      </c>
      <c r="Q280" s="15" t="e">
        <v>#VALUE!</v>
      </c>
      <c r="R280" s="15" t="e">
        <v>#VALUE!</v>
      </c>
      <c r="S280" s="15" t="e">
        <v>#VALUE!</v>
      </c>
      <c r="T280" s="129">
        <v>0.14567265859178574</v>
      </c>
      <c r="U280" s="130" t="e">
        <f t="shared" si="19"/>
        <v>#VALUE!</v>
      </c>
      <c r="V280" s="129">
        <v>0.14567265859178574</v>
      </c>
      <c r="W280" s="130" t="e">
        <f t="shared" si="16"/>
        <v>#VALUE!</v>
      </c>
      <c r="X280" s="129">
        <v>0.14567265859178574</v>
      </c>
      <c r="Y280" s="130" t="e">
        <f t="shared" si="17"/>
        <v>#VALUE!</v>
      </c>
      <c r="Z280" s="129">
        <v>0.14567265859178574</v>
      </c>
      <c r="AA280" s="130" t="e">
        <f t="shared" si="18"/>
        <v>#VALUE!</v>
      </c>
    </row>
    <row r="281" spans="1:27" x14ac:dyDescent="0.3">
      <c r="A281">
        <v>831400</v>
      </c>
      <c r="B281">
        <v>17031831400</v>
      </c>
      <c r="C281">
        <v>17031</v>
      </c>
      <c r="D281">
        <v>2010</v>
      </c>
      <c r="E281">
        <v>25</v>
      </c>
      <c r="F281">
        <v>22730549.693387698</v>
      </c>
      <c r="G281" s="43">
        <v>0.81534627860234798</v>
      </c>
      <c r="H281" s="58" t="str">
        <f>_xlfn.IFNA(
INDEX(CA!B$2:B$78,MATCH($E281,CA!$A$2:$A$78,0)),
"")</f>
        <v>AUSTIN</v>
      </c>
      <c r="I281" s="60" t="str">
        <f>_xlfn.IFNA(
INDEX(CA!C$2:C$78,MATCH($E281,CA!$A$2:$A$78,0)),
"")</f>
        <v>3-A</v>
      </c>
      <c r="J281" s="60">
        <f>_xlfn.IFNA(
INDEX(CA!D$2:D$78,MATCH($E281,CA!$A$2:$A$78,0)),
"")</f>
        <v>3</v>
      </c>
      <c r="K281" s="58" t="str">
        <f>_xlfn.IFNA(
INDEX(CA!E$2:E$78,MATCH($E281,CA!$A$2:$A$78,0)),
"")</f>
        <v>WEST</v>
      </c>
      <c r="L281" s="15" t="e">
        <v>#VALUE!</v>
      </c>
      <c r="M281" s="15" t="e">
        <v>#VALUE!</v>
      </c>
      <c r="N281" s="15" t="e">
        <v>#VALUE!</v>
      </c>
      <c r="O281" s="15" t="e">
        <v>#VALUE!</v>
      </c>
      <c r="P281" s="15" t="e">
        <v>#VALUE!</v>
      </c>
      <c r="Q281" s="15" t="e">
        <v>#VALUE!</v>
      </c>
      <c r="R281" s="15" t="e">
        <v>#VALUE!</v>
      </c>
      <c r="S281" s="15" t="e">
        <v>#VALUE!</v>
      </c>
      <c r="T281" s="129">
        <v>0.38862331945671202</v>
      </c>
      <c r="U281" s="130" t="e">
        <f t="shared" si="19"/>
        <v>#VALUE!</v>
      </c>
      <c r="V281" s="129">
        <v>0.38862331945671202</v>
      </c>
      <c r="W281" s="130" t="e">
        <f t="shared" si="16"/>
        <v>#VALUE!</v>
      </c>
      <c r="X281" s="129">
        <v>0.38862331945671202</v>
      </c>
      <c r="Y281" s="130" t="e">
        <f t="shared" si="17"/>
        <v>#VALUE!</v>
      </c>
      <c r="Z281" s="129">
        <v>0.38862331945671202</v>
      </c>
      <c r="AA281" s="130" t="e">
        <f t="shared" si="18"/>
        <v>#VALUE!</v>
      </c>
    </row>
    <row r="282" spans="1:27" x14ac:dyDescent="0.3">
      <c r="A282">
        <v>250800</v>
      </c>
      <c r="B282">
        <v>17031250800</v>
      </c>
      <c r="C282">
        <v>17031</v>
      </c>
      <c r="D282">
        <v>2010</v>
      </c>
      <c r="E282">
        <v>25</v>
      </c>
      <c r="F282">
        <v>6186020.0335962595</v>
      </c>
      <c r="G282" s="43">
        <v>0.22189293623723957</v>
      </c>
      <c r="H282" s="58" t="str">
        <f>_xlfn.IFNA(
INDEX(CA!B$2:B$78,MATCH($E282,CA!$A$2:$A$78,0)),
"")</f>
        <v>AUSTIN</v>
      </c>
      <c r="I282" s="60" t="str">
        <f>_xlfn.IFNA(
INDEX(CA!C$2:C$78,MATCH($E282,CA!$A$2:$A$78,0)),
"")</f>
        <v>3-A</v>
      </c>
      <c r="J282" s="60">
        <f>_xlfn.IFNA(
INDEX(CA!D$2:D$78,MATCH($E282,CA!$A$2:$A$78,0)),
"")</f>
        <v>3</v>
      </c>
      <c r="K282" s="58" t="str">
        <f>_xlfn.IFNA(
INDEX(CA!E$2:E$78,MATCH($E282,CA!$A$2:$A$78,0)),
"")</f>
        <v>WEST</v>
      </c>
      <c r="L282" s="15" t="e">
        <v>#VALUE!</v>
      </c>
      <c r="M282" s="15" t="e">
        <v>#VALUE!</v>
      </c>
      <c r="N282" s="15" t="e">
        <v>#VALUE!</v>
      </c>
      <c r="O282" s="15" t="e">
        <v>#VALUE!</v>
      </c>
      <c r="P282" s="15" t="e">
        <v>#VALUE!</v>
      </c>
      <c r="Q282" s="15" t="e">
        <v>#VALUE!</v>
      </c>
      <c r="R282" s="15" t="e">
        <v>#VALUE!</v>
      </c>
      <c r="S282" s="15" t="e">
        <v>#VALUE!</v>
      </c>
      <c r="T282" s="129">
        <v>0</v>
      </c>
      <c r="U282" s="130" t="e">
        <f t="shared" si="19"/>
        <v>#VALUE!</v>
      </c>
      <c r="V282" s="129">
        <v>0</v>
      </c>
      <c r="W282" s="130" t="e">
        <f t="shared" si="16"/>
        <v>#VALUE!</v>
      </c>
      <c r="X282" s="129">
        <v>0</v>
      </c>
      <c r="Y282" s="130" t="e">
        <f t="shared" si="17"/>
        <v>#VALUE!</v>
      </c>
      <c r="Z282" s="129">
        <v>0</v>
      </c>
      <c r="AA282" s="130" t="e">
        <f t="shared" si="18"/>
        <v>#VALUE!</v>
      </c>
    </row>
    <row r="283" spans="1:27" x14ac:dyDescent="0.3">
      <c r="A283">
        <v>251100</v>
      </c>
      <c r="B283">
        <v>17031251100</v>
      </c>
      <c r="C283">
        <v>17031</v>
      </c>
      <c r="D283">
        <v>2010</v>
      </c>
      <c r="E283">
        <v>25</v>
      </c>
      <c r="F283">
        <v>5343993.9908154104</v>
      </c>
      <c r="G283" s="43">
        <v>0.19168940795796782</v>
      </c>
      <c r="H283" s="58" t="str">
        <f>_xlfn.IFNA(
INDEX(CA!B$2:B$78,MATCH($E283,CA!$A$2:$A$78,0)),
"")</f>
        <v>AUSTIN</v>
      </c>
      <c r="I283" s="60" t="str">
        <f>_xlfn.IFNA(
INDEX(CA!C$2:C$78,MATCH($E283,CA!$A$2:$A$78,0)),
"")</f>
        <v>3-A</v>
      </c>
      <c r="J283" s="60">
        <f>_xlfn.IFNA(
INDEX(CA!D$2:D$78,MATCH($E283,CA!$A$2:$A$78,0)),
"")</f>
        <v>3</v>
      </c>
      <c r="K283" s="58" t="str">
        <f>_xlfn.IFNA(
INDEX(CA!E$2:E$78,MATCH($E283,CA!$A$2:$A$78,0)),
"")</f>
        <v>WEST</v>
      </c>
      <c r="L283" s="15" t="e">
        <v>#VALUE!</v>
      </c>
      <c r="M283" s="15" t="e">
        <v>#VALUE!</v>
      </c>
      <c r="N283" s="15" t="e">
        <v>#VALUE!</v>
      </c>
      <c r="O283" s="15" t="e">
        <v>#VALUE!</v>
      </c>
      <c r="P283" s="15" t="e">
        <v>#VALUE!</v>
      </c>
      <c r="Q283" s="15" t="e">
        <v>#VALUE!</v>
      </c>
      <c r="R283" s="15" t="e">
        <v>#VALUE!</v>
      </c>
      <c r="S283" s="15" t="e">
        <v>#VALUE!</v>
      </c>
      <c r="T283" s="129">
        <v>0</v>
      </c>
      <c r="U283" s="130" t="e">
        <f t="shared" si="19"/>
        <v>#VALUE!</v>
      </c>
      <c r="V283" s="129">
        <v>0</v>
      </c>
      <c r="W283" s="130" t="e">
        <f t="shared" si="16"/>
        <v>#VALUE!</v>
      </c>
      <c r="X283" s="129">
        <v>0</v>
      </c>
      <c r="Y283" s="130" t="e">
        <f t="shared" si="17"/>
        <v>#VALUE!</v>
      </c>
      <c r="Z283" s="129">
        <v>0</v>
      </c>
      <c r="AA283" s="130" t="e">
        <f t="shared" si="18"/>
        <v>#VALUE!</v>
      </c>
    </row>
    <row r="284" spans="1:27" x14ac:dyDescent="0.3">
      <c r="A284">
        <v>251600</v>
      </c>
      <c r="B284">
        <v>17031251600</v>
      </c>
      <c r="C284">
        <v>17031</v>
      </c>
      <c r="D284">
        <v>2010</v>
      </c>
      <c r="E284">
        <v>25</v>
      </c>
      <c r="F284">
        <v>5175484.8422332499</v>
      </c>
      <c r="G284" s="43">
        <v>0.18564497396670002</v>
      </c>
      <c r="H284" s="58" t="str">
        <f>_xlfn.IFNA(
INDEX(CA!B$2:B$78,MATCH($E284,CA!$A$2:$A$78,0)),
"")</f>
        <v>AUSTIN</v>
      </c>
      <c r="I284" s="60" t="str">
        <f>_xlfn.IFNA(
INDEX(CA!C$2:C$78,MATCH($E284,CA!$A$2:$A$78,0)),
"")</f>
        <v>3-A</v>
      </c>
      <c r="J284" s="60">
        <f>_xlfn.IFNA(
INDEX(CA!D$2:D$78,MATCH($E284,CA!$A$2:$A$78,0)),
"")</f>
        <v>3</v>
      </c>
      <c r="K284" s="58" t="str">
        <f>_xlfn.IFNA(
INDEX(CA!E$2:E$78,MATCH($E284,CA!$A$2:$A$78,0)),
"")</f>
        <v>WEST</v>
      </c>
      <c r="L284" s="15" t="e">
        <v>#VALUE!</v>
      </c>
      <c r="M284" s="15" t="e">
        <v>#VALUE!</v>
      </c>
      <c r="N284" s="15" t="e">
        <v>#VALUE!</v>
      </c>
      <c r="O284" s="15" t="e">
        <v>#VALUE!</v>
      </c>
      <c r="P284" s="15" t="e">
        <v>#VALUE!</v>
      </c>
      <c r="Q284" s="15" t="e">
        <v>#VALUE!</v>
      </c>
      <c r="R284" s="15" t="e">
        <v>#VALUE!</v>
      </c>
      <c r="S284" s="15" t="e">
        <v>#VALUE!</v>
      </c>
      <c r="T284" s="129">
        <v>0.16743740176867972</v>
      </c>
      <c r="U284" s="130" t="e">
        <f t="shared" si="19"/>
        <v>#VALUE!</v>
      </c>
      <c r="V284" s="129">
        <v>0.16743740176867972</v>
      </c>
      <c r="W284" s="130" t="e">
        <f t="shared" si="16"/>
        <v>#VALUE!</v>
      </c>
      <c r="X284" s="129">
        <v>0.16743740176867972</v>
      </c>
      <c r="Y284" s="130" t="e">
        <f t="shared" si="17"/>
        <v>#VALUE!</v>
      </c>
      <c r="Z284" s="129">
        <v>0.16743740176867972</v>
      </c>
      <c r="AA284" s="130" t="e">
        <f t="shared" si="18"/>
        <v>#VALUE!</v>
      </c>
    </row>
    <row r="285" spans="1:27" x14ac:dyDescent="0.3">
      <c r="A285">
        <v>251000</v>
      </c>
      <c r="B285">
        <v>17031251000</v>
      </c>
      <c r="C285">
        <v>17031</v>
      </c>
      <c r="D285">
        <v>2010</v>
      </c>
      <c r="E285">
        <v>25</v>
      </c>
      <c r="F285">
        <v>5223417.1297934698</v>
      </c>
      <c r="G285" s="43">
        <v>0.18736430820253205</v>
      </c>
      <c r="H285" s="58" t="str">
        <f>_xlfn.IFNA(
INDEX(CA!B$2:B$78,MATCH($E285,CA!$A$2:$A$78,0)),
"")</f>
        <v>AUSTIN</v>
      </c>
      <c r="I285" s="60" t="str">
        <f>_xlfn.IFNA(
INDEX(CA!C$2:C$78,MATCH($E285,CA!$A$2:$A$78,0)),
"")</f>
        <v>3-A</v>
      </c>
      <c r="J285" s="60">
        <f>_xlfn.IFNA(
INDEX(CA!D$2:D$78,MATCH($E285,CA!$A$2:$A$78,0)),
"")</f>
        <v>3</v>
      </c>
      <c r="K285" s="58" t="str">
        <f>_xlfn.IFNA(
INDEX(CA!E$2:E$78,MATCH($E285,CA!$A$2:$A$78,0)),
"")</f>
        <v>WEST</v>
      </c>
      <c r="L285" s="15" t="e">
        <v>#VALUE!</v>
      </c>
      <c r="M285" s="15" t="e">
        <v>#VALUE!</v>
      </c>
      <c r="N285" s="15" t="e">
        <v>#VALUE!</v>
      </c>
      <c r="O285" s="15" t="e">
        <v>#VALUE!</v>
      </c>
      <c r="P285" s="15" t="e">
        <v>#VALUE!</v>
      </c>
      <c r="Q285" s="15" t="e">
        <v>#VALUE!</v>
      </c>
      <c r="R285" s="15" t="e">
        <v>#VALUE!</v>
      </c>
      <c r="S285" s="15" t="e">
        <v>#VALUE!</v>
      </c>
      <c r="T285" s="129">
        <v>0</v>
      </c>
      <c r="U285" s="130" t="e">
        <f t="shared" si="19"/>
        <v>#VALUE!</v>
      </c>
      <c r="V285" s="129">
        <v>0</v>
      </c>
      <c r="W285" s="130" t="e">
        <f t="shared" si="16"/>
        <v>#VALUE!</v>
      </c>
      <c r="X285" s="129">
        <v>0</v>
      </c>
      <c r="Y285" s="130" t="e">
        <f t="shared" si="17"/>
        <v>#VALUE!</v>
      </c>
      <c r="Z285" s="129">
        <v>0</v>
      </c>
      <c r="AA285" s="130" t="e">
        <f t="shared" si="18"/>
        <v>#VALUE!</v>
      </c>
    </row>
    <row r="286" spans="1:27" x14ac:dyDescent="0.3">
      <c r="A286">
        <v>250700</v>
      </c>
      <c r="B286">
        <v>17031250700</v>
      </c>
      <c r="C286">
        <v>17031</v>
      </c>
      <c r="D286">
        <v>2010</v>
      </c>
      <c r="E286">
        <v>25</v>
      </c>
      <c r="F286">
        <v>7129488.8640746204</v>
      </c>
      <c r="G286" s="43">
        <v>0.25573522383187774</v>
      </c>
      <c r="H286" s="58" t="str">
        <f>_xlfn.IFNA(
INDEX(CA!B$2:B$78,MATCH($E286,CA!$A$2:$A$78,0)),
"")</f>
        <v>AUSTIN</v>
      </c>
      <c r="I286" s="60" t="str">
        <f>_xlfn.IFNA(
INDEX(CA!C$2:C$78,MATCH($E286,CA!$A$2:$A$78,0)),
"")</f>
        <v>3-A</v>
      </c>
      <c r="J286" s="60">
        <f>_xlfn.IFNA(
INDEX(CA!D$2:D$78,MATCH($E286,CA!$A$2:$A$78,0)),
"")</f>
        <v>3</v>
      </c>
      <c r="K286" s="58" t="str">
        <f>_xlfn.IFNA(
INDEX(CA!E$2:E$78,MATCH($E286,CA!$A$2:$A$78,0)),
"")</f>
        <v>WEST</v>
      </c>
      <c r="L286" s="15" t="e">
        <v>#VALUE!</v>
      </c>
      <c r="M286" s="15" t="e">
        <v>#VALUE!</v>
      </c>
      <c r="N286" s="15" t="e">
        <v>#VALUE!</v>
      </c>
      <c r="O286" s="15" t="e">
        <v>#VALUE!</v>
      </c>
      <c r="P286" s="15" t="e">
        <v>#VALUE!</v>
      </c>
      <c r="Q286" s="15" t="e">
        <v>#VALUE!</v>
      </c>
      <c r="R286" s="15" t="e">
        <v>#VALUE!</v>
      </c>
      <c r="S286" s="15" t="e">
        <v>#VALUE!</v>
      </c>
      <c r="T286" s="129">
        <v>0</v>
      </c>
      <c r="U286" s="130" t="e">
        <f t="shared" si="19"/>
        <v>#VALUE!</v>
      </c>
      <c r="V286" s="129">
        <v>0</v>
      </c>
      <c r="W286" s="130" t="e">
        <f t="shared" si="16"/>
        <v>#VALUE!</v>
      </c>
      <c r="X286" s="129">
        <v>0</v>
      </c>
      <c r="Y286" s="130" t="e">
        <f t="shared" si="17"/>
        <v>#VALUE!</v>
      </c>
      <c r="Z286" s="129">
        <v>0</v>
      </c>
      <c r="AA286" s="130" t="e">
        <f t="shared" si="18"/>
        <v>#VALUE!</v>
      </c>
    </row>
    <row r="287" spans="1:27" x14ac:dyDescent="0.3">
      <c r="A287">
        <v>252102</v>
      </c>
      <c r="B287">
        <v>17031252102</v>
      </c>
      <c r="C287">
        <v>17031</v>
      </c>
      <c r="D287">
        <v>2010</v>
      </c>
      <c r="E287">
        <v>25</v>
      </c>
      <c r="F287">
        <v>7196924.1476283204</v>
      </c>
      <c r="G287" s="43">
        <v>0.25815413178763202</v>
      </c>
      <c r="H287" s="58" t="str">
        <f>_xlfn.IFNA(
INDEX(CA!B$2:B$78,MATCH($E287,CA!$A$2:$A$78,0)),
"")</f>
        <v>AUSTIN</v>
      </c>
      <c r="I287" s="60" t="str">
        <f>_xlfn.IFNA(
INDEX(CA!C$2:C$78,MATCH($E287,CA!$A$2:$A$78,0)),
"")</f>
        <v>3-A</v>
      </c>
      <c r="J287" s="60">
        <f>_xlfn.IFNA(
INDEX(CA!D$2:D$78,MATCH($E287,CA!$A$2:$A$78,0)),
"")</f>
        <v>3</v>
      </c>
      <c r="K287" s="58" t="str">
        <f>_xlfn.IFNA(
INDEX(CA!E$2:E$78,MATCH($E287,CA!$A$2:$A$78,0)),
"")</f>
        <v>WEST</v>
      </c>
      <c r="L287" s="15" t="e">
        <v>#VALUE!</v>
      </c>
      <c r="M287" s="15" t="e">
        <v>#VALUE!</v>
      </c>
      <c r="N287" s="15" t="e">
        <v>#VALUE!</v>
      </c>
      <c r="O287" s="15" t="e">
        <v>#VALUE!</v>
      </c>
      <c r="P287" s="15" t="e">
        <v>#VALUE!</v>
      </c>
      <c r="Q287" s="15" t="e">
        <v>#VALUE!</v>
      </c>
      <c r="R287" s="15" t="e">
        <v>#VALUE!</v>
      </c>
      <c r="S287" s="15" t="e">
        <v>#VALUE!</v>
      </c>
      <c r="T287" s="129">
        <v>0.25800991079190339</v>
      </c>
      <c r="U287" s="130" t="e">
        <f t="shared" si="19"/>
        <v>#VALUE!</v>
      </c>
      <c r="V287" s="129">
        <v>0.25800991079190339</v>
      </c>
      <c r="W287" s="130" t="e">
        <f t="shared" si="16"/>
        <v>#VALUE!</v>
      </c>
      <c r="X287" s="129">
        <v>0.25800991079190339</v>
      </c>
      <c r="Y287" s="130" t="e">
        <f t="shared" si="17"/>
        <v>#VALUE!</v>
      </c>
      <c r="Z287" s="129">
        <v>0.25800991079190339</v>
      </c>
      <c r="AA287" s="130" t="e">
        <f t="shared" si="18"/>
        <v>#VALUE!</v>
      </c>
    </row>
    <row r="288" spans="1:27" x14ac:dyDescent="0.3">
      <c r="A288">
        <v>831300</v>
      </c>
      <c r="B288">
        <v>17031831300</v>
      </c>
      <c r="C288">
        <v>17031</v>
      </c>
      <c r="D288">
        <v>2010</v>
      </c>
      <c r="E288">
        <v>25</v>
      </c>
      <c r="F288">
        <v>6389212.2726931795</v>
      </c>
      <c r="G288" s="43">
        <v>0.22918145491467157</v>
      </c>
      <c r="H288" s="58" t="str">
        <f>_xlfn.IFNA(
INDEX(CA!B$2:B$78,MATCH($E288,CA!$A$2:$A$78,0)),
"")</f>
        <v>AUSTIN</v>
      </c>
      <c r="I288" s="60" t="str">
        <f>_xlfn.IFNA(
INDEX(CA!C$2:C$78,MATCH($E288,CA!$A$2:$A$78,0)),
"")</f>
        <v>3-A</v>
      </c>
      <c r="J288" s="60">
        <f>_xlfn.IFNA(
INDEX(CA!D$2:D$78,MATCH($E288,CA!$A$2:$A$78,0)),
"")</f>
        <v>3</v>
      </c>
      <c r="K288" s="58" t="str">
        <f>_xlfn.IFNA(
INDEX(CA!E$2:E$78,MATCH($E288,CA!$A$2:$A$78,0)),
"")</f>
        <v>WEST</v>
      </c>
      <c r="L288" s="15" t="e">
        <v>#VALUE!</v>
      </c>
      <c r="M288" s="15" t="e">
        <v>#VALUE!</v>
      </c>
      <c r="N288" s="15" t="e">
        <v>#VALUE!</v>
      </c>
      <c r="O288" s="15" t="e">
        <v>#VALUE!</v>
      </c>
      <c r="P288" s="15" t="e">
        <v>#VALUE!</v>
      </c>
      <c r="Q288" s="15" t="e">
        <v>#VALUE!</v>
      </c>
      <c r="R288" s="15" t="e">
        <v>#VALUE!</v>
      </c>
      <c r="S288" s="15" t="e">
        <v>#VALUE!</v>
      </c>
      <c r="T288" s="129">
        <v>0</v>
      </c>
      <c r="U288" s="130" t="e">
        <f t="shared" si="19"/>
        <v>#VALUE!</v>
      </c>
      <c r="V288" s="129">
        <v>0</v>
      </c>
      <c r="W288" s="130" t="e">
        <f t="shared" si="16"/>
        <v>#VALUE!</v>
      </c>
      <c r="X288" s="129">
        <v>0</v>
      </c>
      <c r="Y288" s="130" t="e">
        <f t="shared" si="17"/>
        <v>#VALUE!</v>
      </c>
      <c r="Z288" s="129">
        <v>0</v>
      </c>
      <c r="AA288" s="130" t="e">
        <f t="shared" si="18"/>
        <v>#VALUE!</v>
      </c>
    </row>
    <row r="289" spans="1:27" x14ac:dyDescent="0.3">
      <c r="A289">
        <v>251200</v>
      </c>
      <c r="B289">
        <v>17031251200</v>
      </c>
      <c r="C289">
        <v>17031</v>
      </c>
      <c r="D289">
        <v>2010</v>
      </c>
      <c r="E289">
        <v>25</v>
      </c>
      <c r="F289">
        <v>7129083.5574053098</v>
      </c>
      <c r="G289" s="43">
        <v>0.25572068545559679</v>
      </c>
      <c r="H289" s="58" t="str">
        <f>_xlfn.IFNA(
INDEX(CA!B$2:B$78,MATCH($E289,CA!$A$2:$A$78,0)),
"")</f>
        <v>AUSTIN</v>
      </c>
      <c r="I289" s="60" t="str">
        <f>_xlfn.IFNA(
INDEX(CA!C$2:C$78,MATCH($E289,CA!$A$2:$A$78,0)),
"")</f>
        <v>3-A</v>
      </c>
      <c r="J289" s="60">
        <f>_xlfn.IFNA(
INDEX(CA!D$2:D$78,MATCH($E289,CA!$A$2:$A$78,0)),
"")</f>
        <v>3</v>
      </c>
      <c r="K289" s="58" t="str">
        <f>_xlfn.IFNA(
INDEX(CA!E$2:E$78,MATCH($E289,CA!$A$2:$A$78,0)),
"")</f>
        <v>WEST</v>
      </c>
      <c r="L289" s="15" t="e">
        <v>#VALUE!</v>
      </c>
      <c r="M289" s="15" t="e">
        <v>#VALUE!</v>
      </c>
      <c r="N289" s="15" t="e">
        <v>#VALUE!</v>
      </c>
      <c r="O289" s="15" t="e">
        <v>#VALUE!</v>
      </c>
      <c r="P289" s="15" t="e">
        <v>#VALUE!</v>
      </c>
      <c r="Q289" s="15" t="e">
        <v>#VALUE!</v>
      </c>
      <c r="R289" s="15" t="e">
        <v>#VALUE!</v>
      </c>
      <c r="S289" s="15" t="e">
        <v>#VALUE!</v>
      </c>
      <c r="T289" s="129">
        <v>1.2370597557244606E-3</v>
      </c>
      <c r="U289" s="130" t="e">
        <f t="shared" si="19"/>
        <v>#VALUE!</v>
      </c>
      <c r="V289" s="129">
        <v>2.123605855769983E-4</v>
      </c>
      <c r="W289" s="130" t="e">
        <f t="shared" si="16"/>
        <v>#VALUE!</v>
      </c>
      <c r="X289" s="129">
        <v>2.123605855769983E-4</v>
      </c>
      <c r="Y289" s="130" t="e">
        <f t="shared" si="17"/>
        <v>#VALUE!</v>
      </c>
      <c r="Z289" s="129">
        <v>2.123605855769983E-4</v>
      </c>
      <c r="AA289" s="130" t="e">
        <f t="shared" si="18"/>
        <v>#VALUE!</v>
      </c>
    </row>
    <row r="290" spans="1:27" x14ac:dyDescent="0.3">
      <c r="A290">
        <v>252202</v>
      </c>
      <c r="B290">
        <v>17031252202</v>
      </c>
      <c r="C290">
        <v>17031</v>
      </c>
      <c r="D290">
        <v>2010</v>
      </c>
      <c r="E290">
        <v>25</v>
      </c>
      <c r="F290">
        <v>6874295.8370410604</v>
      </c>
      <c r="G290" s="43">
        <v>0.24658143354859174</v>
      </c>
      <c r="H290" s="58" t="str">
        <f>_xlfn.IFNA(
INDEX(CA!B$2:B$78,MATCH($E290,CA!$A$2:$A$78,0)),
"")</f>
        <v>AUSTIN</v>
      </c>
      <c r="I290" s="60" t="str">
        <f>_xlfn.IFNA(
INDEX(CA!C$2:C$78,MATCH($E290,CA!$A$2:$A$78,0)),
"")</f>
        <v>3-A</v>
      </c>
      <c r="J290" s="60">
        <f>_xlfn.IFNA(
INDEX(CA!D$2:D$78,MATCH($E290,CA!$A$2:$A$78,0)),
"")</f>
        <v>3</v>
      </c>
      <c r="K290" s="58" t="str">
        <f>_xlfn.IFNA(
INDEX(CA!E$2:E$78,MATCH($E290,CA!$A$2:$A$78,0)),
"")</f>
        <v>WEST</v>
      </c>
      <c r="L290" s="15" t="e">
        <v>#VALUE!</v>
      </c>
      <c r="M290" s="15" t="e">
        <v>#VALUE!</v>
      </c>
      <c r="N290" s="15" t="e">
        <v>#VALUE!</v>
      </c>
      <c r="O290" s="15" t="e">
        <v>#VALUE!</v>
      </c>
      <c r="P290" s="15" t="e">
        <v>#VALUE!</v>
      </c>
      <c r="Q290" s="15" t="e">
        <v>#VALUE!</v>
      </c>
      <c r="R290" s="15" t="e">
        <v>#VALUE!</v>
      </c>
      <c r="S290" s="15" t="e">
        <v>#VALUE!</v>
      </c>
      <c r="T290" s="129">
        <v>0.24294742314654824</v>
      </c>
      <c r="U290" s="130" t="e">
        <f t="shared" si="19"/>
        <v>#VALUE!</v>
      </c>
      <c r="V290" s="129">
        <v>0.24294742314654824</v>
      </c>
      <c r="W290" s="130" t="e">
        <f t="shared" si="16"/>
        <v>#VALUE!</v>
      </c>
      <c r="X290" s="129">
        <v>0.24294742314654824</v>
      </c>
      <c r="Y290" s="130" t="e">
        <f t="shared" si="17"/>
        <v>#VALUE!</v>
      </c>
      <c r="Z290" s="129">
        <v>0.24294742314654824</v>
      </c>
      <c r="AA290" s="130" t="e">
        <f t="shared" si="18"/>
        <v>#VALUE!</v>
      </c>
    </row>
    <row r="291" spans="1:27" x14ac:dyDescent="0.3">
      <c r="A291">
        <v>251500</v>
      </c>
      <c r="B291">
        <v>17031251500</v>
      </c>
      <c r="C291">
        <v>17031</v>
      </c>
      <c r="D291">
        <v>2010</v>
      </c>
      <c r="E291">
        <v>25</v>
      </c>
      <c r="F291">
        <v>7397436.84931539</v>
      </c>
      <c r="G291" s="43">
        <v>0.26534653528593427</v>
      </c>
      <c r="H291" s="58" t="str">
        <f>_xlfn.IFNA(
INDEX(CA!B$2:B$78,MATCH($E291,CA!$A$2:$A$78,0)),
"")</f>
        <v>AUSTIN</v>
      </c>
      <c r="I291" s="60" t="str">
        <f>_xlfn.IFNA(
INDEX(CA!C$2:C$78,MATCH($E291,CA!$A$2:$A$78,0)),
"")</f>
        <v>3-A</v>
      </c>
      <c r="J291" s="60">
        <f>_xlfn.IFNA(
INDEX(CA!D$2:D$78,MATCH($E291,CA!$A$2:$A$78,0)),
"")</f>
        <v>3</v>
      </c>
      <c r="K291" s="58" t="str">
        <f>_xlfn.IFNA(
INDEX(CA!E$2:E$78,MATCH($E291,CA!$A$2:$A$78,0)),
"")</f>
        <v>WEST</v>
      </c>
      <c r="L291" s="15" t="e">
        <v>#VALUE!</v>
      </c>
      <c r="M291" s="15" t="e">
        <v>#VALUE!</v>
      </c>
      <c r="N291" s="15" t="e">
        <v>#VALUE!</v>
      </c>
      <c r="O291" s="15" t="e">
        <v>#VALUE!</v>
      </c>
      <c r="P291" s="15" t="e">
        <v>#VALUE!</v>
      </c>
      <c r="Q291" s="15" t="e">
        <v>#VALUE!</v>
      </c>
      <c r="R291" s="15" t="e">
        <v>#VALUE!</v>
      </c>
      <c r="S291" s="15" t="e">
        <v>#VALUE!</v>
      </c>
      <c r="T291" s="129">
        <v>0.25855853372609694</v>
      </c>
      <c r="U291" s="130" t="e">
        <f t="shared" si="19"/>
        <v>#VALUE!</v>
      </c>
      <c r="V291" s="129">
        <v>0.25511276253164245</v>
      </c>
      <c r="W291" s="130" t="e">
        <f t="shared" si="16"/>
        <v>#VALUE!</v>
      </c>
      <c r="X291" s="129">
        <v>0.25511276253164245</v>
      </c>
      <c r="Y291" s="130" t="e">
        <f t="shared" si="17"/>
        <v>#VALUE!</v>
      </c>
      <c r="Z291" s="129">
        <v>0.25511276253164245</v>
      </c>
      <c r="AA291" s="130" t="e">
        <f t="shared" si="18"/>
        <v>#VALUE!</v>
      </c>
    </row>
    <row r="292" spans="1:27" x14ac:dyDescent="0.3">
      <c r="A292">
        <v>251900</v>
      </c>
      <c r="B292">
        <v>17031251900</v>
      </c>
      <c r="C292">
        <v>17031</v>
      </c>
      <c r="D292">
        <v>2010</v>
      </c>
      <c r="E292">
        <v>25</v>
      </c>
      <c r="F292">
        <v>6771460.1526989499</v>
      </c>
      <c r="G292" s="43">
        <v>0.24289271094104933</v>
      </c>
      <c r="H292" s="58" t="str">
        <f>_xlfn.IFNA(
INDEX(CA!B$2:B$78,MATCH($E292,CA!$A$2:$A$78,0)),
"")</f>
        <v>AUSTIN</v>
      </c>
      <c r="I292" s="60" t="str">
        <f>_xlfn.IFNA(
INDEX(CA!C$2:C$78,MATCH($E292,CA!$A$2:$A$78,0)),
"")</f>
        <v>3-A</v>
      </c>
      <c r="J292" s="60">
        <f>_xlfn.IFNA(
INDEX(CA!D$2:D$78,MATCH($E292,CA!$A$2:$A$78,0)),
"")</f>
        <v>3</v>
      </c>
      <c r="K292" s="58" t="str">
        <f>_xlfn.IFNA(
INDEX(CA!E$2:E$78,MATCH($E292,CA!$A$2:$A$78,0)),
"")</f>
        <v>WEST</v>
      </c>
      <c r="L292" s="15" t="e">
        <v>#VALUE!</v>
      </c>
      <c r="M292" s="15" t="e">
        <v>#VALUE!</v>
      </c>
      <c r="N292" s="15" t="e">
        <v>#VALUE!</v>
      </c>
      <c r="O292" s="15" t="e">
        <v>#VALUE!</v>
      </c>
      <c r="P292" s="15" t="e">
        <v>#VALUE!</v>
      </c>
      <c r="Q292" s="15" t="e">
        <v>#VALUE!</v>
      </c>
      <c r="R292" s="15" t="e">
        <v>#VALUE!</v>
      </c>
      <c r="S292" s="15" t="e">
        <v>#VALUE!</v>
      </c>
      <c r="T292" s="129">
        <v>0.24289270955352532</v>
      </c>
      <c r="U292" s="130" t="e">
        <f t="shared" si="19"/>
        <v>#VALUE!</v>
      </c>
      <c r="V292" s="129">
        <v>0.24289270955352532</v>
      </c>
      <c r="W292" s="130" t="e">
        <f t="shared" si="16"/>
        <v>#VALUE!</v>
      </c>
      <c r="X292" s="129">
        <v>0.24289270955352532</v>
      </c>
      <c r="Y292" s="130" t="e">
        <f t="shared" si="17"/>
        <v>#VALUE!</v>
      </c>
      <c r="Z292" s="129">
        <v>0.24289270955352532</v>
      </c>
      <c r="AA292" s="130" t="e">
        <f t="shared" si="18"/>
        <v>#VALUE!</v>
      </c>
    </row>
    <row r="293" spans="1:27" x14ac:dyDescent="0.3">
      <c r="A293">
        <v>252101</v>
      </c>
      <c r="B293">
        <v>17031252101</v>
      </c>
      <c r="C293">
        <v>17031</v>
      </c>
      <c r="D293">
        <v>2010</v>
      </c>
      <c r="E293">
        <v>25</v>
      </c>
      <c r="F293">
        <v>9122901.4580144808</v>
      </c>
      <c r="G293" s="43">
        <v>0.32723906171137801</v>
      </c>
      <c r="H293" s="58" t="str">
        <f>_xlfn.IFNA(
INDEX(CA!B$2:B$78,MATCH($E293,CA!$A$2:$A$78,0)),
"")</f>
        <v>AUSTIN</v>
      </c>
      <c r="I293" s="60" t="str">
        <f>_xlfn.IFNA(
INDEX(CA!C$2:C$78,MATCH($E293,CA!$A$2:$A$78,0)),
"")</f>
        <v>3-A</v>
      </c>
      <c r="J293" s="60">
        <f>_xlfn.IFNA(
INDEX(CA!D$2:D$78,MATCH($E293,CA!$A$2:$A$78,0)),
"")</f>
        <v>3</v>
      </c>
      <c r="K293" s="58" t="str">
        <f>_xlfn.IFNA(
INDEX(CA!E$2:E$78,MATCH($E293,CA!$A$2:$A$78,0)),
"")</f>
        <v>WEST</v>
      </c>
      <c r="L293" s="15" t="e">
        <v>#VALUE!</v>
      </c>
      <c r="M293" s="15" t="e">
        <v>#VALUE!</v>
      </c>
      <c r="N293" s="15" t="e">
        <v>#VALUE!</v>
      </c>
      <c r="O293" s="15" t="e">
        <v>#VALUE!</v>
      </c>
      <c r="P293" s="15" t="e">
        <v>#VALUE!</v>
      </c>
      <c r="Q293" s="15" t="e">
        <v>#VALUE!</v>
      </c>
      <c r="R293" s="15" t="e">
        <v>#VALUE!</v>
      </c>
      <c r="S293" s="15" t="e">
        <v>#VALUE!</v>
      </c>
      <c r="T293" s="129">
        <v>0.32723906211777759</v>
      </c>
      <c r="U293" s="130" t="e">
        <f t="shared" si="19"/>
        <v>#VALUE!</v>
      </c>
      <c r="V293" s="129">
        <v>0.32723906211777759</v>
      </c>
      <c r="W293" s="130" t="e">
        <f t="shared" si="16"/>
        <v>#VALUE!</v>
      </c>
      <c r="X293" s="129">
        <v>0.32723906211777759</v>
      </c>
      <c r="Y293" s="130" t="e">
        <f t="shared" si="17"/>
        <v>#VALUE!</v>
      </c>
      <c r="Z293" s="129">
        <v>0.32723906211777759</v>
      </c>
      <c r="AA293" s="130" t="e">
        <f t="shared" si="18"/>
        <v>#VALUE!</v>
      </c>
    </row>
    <row r="294" spans="1:27" x14ac:dyDescent="0.3">
      <c r="A294">
        <v>250200</v>
      </c>
      <c r="B294">
        <v>17031250200</v>
      </c>
      <c r="C294">
        <v>17031</v>
      </c>
      <c r="D294">
        <v>2010</v>
      </c>
      <c r="E294">
        <v>25</v>
      </c>
      <c r="F294">
        <v>5244786.0938348202</v>
      </c>
      <c r="G294" s="43">
        <v>0.18813081431627426</v>
      </c>
      <c r="H294" s="58" t="str">
        <f>_xlfn.IFNA(
INDEX(CA!B$2:B$78,MATCH($E294,CA!$A$2:$A$78,0)),
"")</f>
        <v>AUSTIN</v>
      </c>
      <c r="I294" s="60" t="str">
        <f>_xlfn.IFNA(
INDEX(CA!C$2:C$78,MATCH($E294,CA!$A$2:$A$78,0)),
"")</f>
        <v>3-A</v>
      </c>
      <c r="J294" s="60">
        <f>_xlfn.IFNA(
INDEX(CA!D$2:D$78,MATCH($E294,CA!$A$2:$A$78,0)),
"")</f>
        <v>3</v>
      </c>
      <c r="K294" s="58" t="str">
        <f>_xlfn.IFNA(
INDEX(CA!E$2:E$78,MATCH($E294,CA!$A$2:$A$78,0)),
"")</f>
        <v>WEST</v>
      </c>
      <c r="L294" s="15" t="e">
        <v>#VALUE!</v>
      </c>
      <c r="M294" s="15" t="e">
        <v>#VALUE!</v>
      </c>
      <c r="N294" s="15" t="e">
        <v>#VALUE!</v>
      </c>
      <c r="O294" s="15" t="e">
        <v>#VALUE!</v>
      </c>
      <c r="P294" s="15" t="e">
        <v>#VALUE!</v>
      </c>
      <c r="Q294" s="15" t="e">
        <v>#VALUE!</v>
      </c>
      <c r="R294" s="15" t="e">
        <v>#VALUE!</v>
      </c>
      <c r="S294" s="15" t="e">
        <v>#VALUE!</v>
      </c>
      <c r="T294" s="129">
        <v>0</v>
      </c>
      <c r="U294" s="130" t="e">
        <f t="shared" si="19"/>
        <v>#VALUE!</v>
      </c>
      <c r="V294" s="129">
        <v>0</v>
      </c>
      <c r="W294" s="130" t="e">
        <f t="shared" si="16"/>
        <v>#VALUE!</v>
      </c>
      <c r="X294" s="129">
        <v>0</v>
      </c>
      <c r="Y294" s="130" t="e">
        <f t="shared" si="17"/>
        <v>#VALUE!</v>
      </c>
      <c r="Z294" s="129">
        <v>0</v>
      </c>
      <c r="AA294" s="130" t="e">
        <f t="shared" si="18"/>
        <v>#VALUE!</v>
      </c>
    </row>
    <row r="295" spans="1:27" x14ac:dyDescent="0.3">
      <c r="A295">
        <v>250400</v>
      </c>
      <c r="B295">
        <v>17031250400</v>
      </c>
      <c r="C295">
        <v>17031</v>
      </c>
      <c r="D295">
        <v>2010</v>
      </c>
      <c r="E295">
        <v>25</v>
      </c>
      <c r="F295">
        <v>14165842.122917701</v>
      </c>
      <c r="G295" s="43">
        <v>0.50812966751742206</v>
      </c>
      <c r="H295" s="58" t="str">
        <f>_xlfn.IFNA(
INDEX(CA!B$2:B$78,MATCH($E295,CA!$A$2:$A$78,0)),
"")</f>
        <v>AUSTIN</v>
      </c>
      <c r="I295" s="60" t="str">
        <f>_xlfn.IFNA(
INDEX(CA!C$2:C$78,MATCH($E295,CA!$A$2:$A$78,0)),
"")</f>
        <v>3-A</v>
      </c>
      <c r="J295" s="60">
        <f>_xlfn.IFNA(
INDEX(CA!D$2:D$78,MATCH($E295,CA!$A$2:$A$78,0)),
"")</f>
        <v>3</v>
      </c>
      <c r="K295" s="58" t="str">
        <f>_xlfn.IFNA(
INDEX(CA!E$2:E$78,MATCH($E295,CA!$A$2:$A$78,0)),
"")</f>
        <v>WEST</v>
      </c>
      <c r="L295" s="15" t="e">
        <v>#VALUE!</v>
      </c>
      <c r="M295" s="15" t="e">
        <v>#VALUE!</v>
      </c>
      <c r="N295" s="15" t="e">
        <v>#VALUE!</v>
      </c>
      <c r="O295" s="15" t="e">
        <v>#VALUE!</v>
      </c>
      <c r="P295" s="15" t="e">
        <v>#VALUE!</v>
      </c>
      <c r="Q295" s="15" t="e">
        <v>#VALUE!</v>
      </c>
      <c r="R295" s="15" t="e">
        <v>#VALUE!</v>
      </c>
      <c r="S295" s="15" t="e">
        <v>#VALUE!</v>
      </c>
      <c r="T295" s="129">
        <v>0.25251430444834677</v>
      </c>
      <c r="U295" s="130" t="e">
        <f t="shared" si="19"/>
        <v>#VALUE!</v>
      </c>
      <c r="V295" s="129">
        <v>9.664564369026809E-6</v>
      </c>
      <c r="W295" s="130" t="e">
        <f t="shared" si="16"/>
        <v>#VALUE!</v>
      </c>
      <c r="X295" s="129">
        <v>9.664564369026809E-6</v>
      </c>
      <c r="Y295" s="130" t="e">
        <f t="shared" si="17"/>
        <v>#VALUE!</v>
      </c>
      <c r="Z295" s="129">
        <v>9.664564369026809E-6</v>
      </c>
      <c r="AA295" s="130" t="e">
        <f t="shared" si="18"/>
        <v>#VALUE!</v>
      </c>
    </row>
    <row r="296" spans="1:27" x14ac:dyDescent="0.3">
      <c r="A296">
        <v>251400</v>
      </c>
      <c r="B296">
        <v>17031251400</v>
      </c>
      <c r="C296">
        <v>17031</v>
      </c>
      <c r="D296">
        <v>2010</v>
      </c>
      <c r="E296">
        <v>25</v>
      </c>
      <c r="F296">
        <v>7382570.3100916203</v>
      </c>
      <c r="G296" s="43">
        <v>0.26481327156836909</v>
      </c>
      <c r="H296" s="58" t="str">
        <f>_xlfn.IFNA(
INDEX(CA!B$2:B$78,MATCH($E296,CA!$A$2:$A$78,0)),
"")</f>
        <v>AUSTIN</v>
      </c>
      <c r="I296" s="60" t="str">
        <f>_xlfn.IFNA(
INDEX(CA!C$2:C$78,MATCH($E296,CA!$A$2:$A$78,0)),
"")</f>
        <v>3-A</v>
      </c>
      <c r="J296" s="60">
        <f>_xlfn.IFNA(
INDEX(CA!D$2:D$78,MATCH($E296,CA!$A$2:$A$78,0)),
"")</f>
        <v>3</v>
      </c>
      <c r="K296" s="58" t="str">
        <f>_xlfn.IFNA(
INDEX(CA!E$2:E$78,MATCH($E296,CA!$A$2:$A$78,0)),
"")</f>
        <v>WEST</v>
      </c>
      <c r="L296" s="15" t="e">
        <v>#VALUE!</v>
      </c>
      <c r="M296" s="15" t="e">
        <v>#VALUE!</v>
      </c>
      <c r="N296" s="15" t="e">
        <v>#VALUE!</v>
      </c>
      <c r="O296" s="15" t="e">
        <v>#VALUE!</v>
      </c>
      <c r="P296" s="15" t="e">
        <v>#VALUE!</v>
      </c>
      <c r="Q296" s="15" t="e">
        <v>#VALUE!</v>
      </c>
      <c r="R296" s="15" t="e">
        <v>#VALUE!</v>
      </c>
      <c r="S296" s="15" t="e">
        <v>#VALUE!</v>
      </c>
      <c r="T296" s="129">
        <v>0.26481326881425188</v>
      </c>
      <c r="U296" s="130" t="e">
        <f t="shared" si="19"/>
        <v>#VALUE!</v>
      </c>
      <c r="V296" s="129">
        <v>0.26481326881425188</v>
      </c>
      <c r="W296" s="130" t="e">
        <f t="shared" si="16"/>
        <v>#VALUE!</v>
      </c>
      <c r="X296" s="129">
        <v>0.26481326881425188</v>
      </c>
      <c r="Y296" s="130" t="e">
        <f t="shared" si="17"/>
        <v>#VALUE!</v>
      </c>
      <c r="Z296" s="129">
        <v>0.26481326881425188</v>
      </c>
      <c r="AA296" s="130" t="e">
        <f t="shared" si="18"/>
        <v>#VALUE!</v>
      </c>
    </row>
    <row r="297" spans="1:27" x14ac:dyDescent="0.3">
      <c r="A297">
        <v>250600</v>
      </c>
      <c r="B297">
        <v>17031250600</v>
      </c>
      <c r="C297">
        <v>17031</v>
      </c>
      <c r="D297">
        <v>2010</v>
      </c>
      <c r="E297">
        <v>25</v>
      </c>
      <c r="F297">
        <v>6975815.5140527701</v>
      </c>
      <c r="G297" s="43">
        <v>0.25022295088860086</v>
      </c>
      <c r="H297" s="58" t="str">
        <f>_xlfn.IFNA(
INDEX(CA!B$2:B$78,MATCH($E297,CA!$A$2:$A$78,0)),
"")</f>
        <v>AUSTIN</v>
      </c>
      <c r="I297" s="60" t="str">
        <f>_xlfn.IFNA(
INDEX(CA!C$2:C$78,MATCH($E297,CA!$A$2:$A$78,0)),
"")</f>
        <v>3-A</v>
      </c>
      <c r="J297" s="60">
        <f>_xlfn.IFNA(
INDEX(CA!D$2:D$78,MATCH($E297,CA!$A$2:$A$78,0)),
"")</f>
        <v>3</v>
      </c>
      <c r="K297" s="58" t="str">
        <f>_xlfn.IFNA(
INDEX(CA!E$2:E$78,MATCH($E297,CA!$A$2:$A$78,0)),
"")</f>
        <v>WEST</v>
      </c>
      <c r="L297" s="15" t="e">
        <v>#VALUE!</v>
      </c>
      <c r="M297" s="15" t="e">
        <v>#VALUE!</v>
      </c>
      <c r="N297" s="15" t="e">
        <v>#VALUE!</v>
      </c>
      <c r="O297" s="15" t="e">
        <v>#VALUE!</v>
      </c>
      <c r="P297" s="15" t="e">
        <v>#VALUE!</v>
      </c>
      <c r="Q297" s="15" t="e">
        <v>#VALUE!</v>
      </c>
      <c r="R297" s="15" t="e">
        <v>#VALUE!</v>
      </c>
      <c r="S297" s="15" t="e">
        <v>#VALUE!</v>
      </c>
      <c r="T297" s="129">
        <v>1.1751223765800261E-3</v>
      </c>
      <c r="U297" s="130" t="e">
        <f t="shared" si="19"/>
        <v>#VALUE!</v>
      </c>
      <c r="V297" s="129">
        <v>0</v>
      </c>
      <c r="W297" s="130" t="e">
        <f t="shared" si="16"/>
        <v>#VALUE!</v>
      </c>
      <c r="X297" s="129">
        <v>0</v>
      </c>
      <c r="Y297" s="130" t="e">
        <f t="shared" si="17"/>
        <v>#VALUE!</v>
      </c>
      <c r="Z297" s="129">
        <v>0</v>
      </c>
      <c r="AA297" s="130" t="e">
        <f t="shared" si="18"/>
        <v>#VALUE!</v>
      </c>
    </row>
    <row r="298" spans="1:27" x14ac:dyDescent="0.3">
      <c r="A298">
        <v>251800</v>
      </c>
      <c r="B298">
        <v>17031251800</v>
      </c>
      <c r="C298">
        <v>17031</v>
      </c>
      <c r="D298">
        <v>2010</v>
      </c>
      <c r="E298">
        <v>25</v>
      </c>
      <c r="F298">
        <v>10760998.0353544</v>
      </c>
      <c r="G298" s="43">
        <v>0.38599769123602501</v>
      </c>
      <c r="H298" s="58" t="str">
        <f>_xlfn.IFNA(
INDEX(CA!B$2:B$78,MATCH($E298,CA!$A$2:$A$78,0)),
"")</f>
        <v>AUSTIN</v>
      </c>
      <c r="I298" s="60" t="str">
        <f>_xlfn.IFNA(
INDEX(CA!C$2:C$78,MATCH($E298,CA!$A$2:$A$78,0)),
"")</f>
        <v>3-A</v>
      </c>
      <c r="J298" s="60">
        <f>_xlfn.IFNA(
INDEX(CA!D$2:D$78,MATCH($E298,CA!$A$2:$A$78,0)),
"")</f>
        <v>3</v>
      </c>
      <c r="K298" s="58" t="str">
        <f>_xlfn.IFNA(
INDEX(CA!E$2:E$78,MATCH($E298,CA!$A$2:$A$78,0)),
"")</f>
        <v>WEST</v>
      </c>
      <c r="L298" s="15" t="e">
        <v>#VALUE!</v>
      </c>
      <c r="M298" s="15" t="e">
        <v>#VALUE!</v>
      </c>
      <c r="N298" s="15" t="e">
        <v>#VALUE!</v>
      </c>
      <c r="O298" s="15" t="e">
        <v>#VALUE!</v>
      </c>
      <c r="P298" s="15" t="e">
        <v>#VALUE!</v>
      </c>
      <c r="Q298" s="15" t="e">
        <v>#VALUE!</v>
      </c>
      <c r="R298" s="15" t="e">
        <v>#VALUE!</v>
      </c>
      <c r="S298" s="15" t="e">
        <v>#VALUE!</v>
      </c>
      <c r="T298" s="129">
        <v>0.38599769518972032</v>
      </c>
      <c r="U298" s="130" t="e">
        <f t="shared" si="19"/>
        <v>#VALUE!</v>
      </c>
      <c r="V298" s="129">
        <v>0.38599769518972032</v>
      </c>
      <c r="W298" s="130" t="e">
        <f t="shared" si="16"/>
        <v>#VALUE!</v>
      </c>
      <c r="X298" s="129">
        <v>0.38599769518972032</v>
      </c>
      <c r="Y298" s="130" t="e">
        <f t="shared" si="17"/>
        <v>#VALUE!</v>
      </c>
      <c r="Z298" s="129">
        <v>0.38599769518972032</v>
      </c>
      <c r="AA298" s="130" t="e">
        <f t="shared" si="18"/>
        <v>#VALUE!</v>
      </c>
    </row>
    <row r="299" spans="1:27" x14ac:dyDescent="0.3">
      <c r="A299">
        <v>250300</v>
      </c>
      <c r="B299">
        <v>17031250300</v>
      </c>
      <c r="C299">
        <v>17031</v>
      </c>
      <c r="D299">
        <v>2010</v>
      </c>
      <c r="E299">
        <v>25</v>
      </c>
      <c r="F299">
        <v>6621328.4529586099</v>
      </c>
      <c r="G299" s="43">
        <v>0.23750747722102453</v>
      </c>
      <c r="H299" s="58" t="str">
        <f>_xlfn.IFNA(
INDEX(CA!B$2:B$78,MATCH($E299,CA!$A$2:$A$78,0)),
"")</f>
        <v>AUSTIN</v>
      </c>
      <c r="I299" s="60" t="str">
        <f>_xlfn.IFNA(
INDEX(CA!C$2:C$78,MATCH($E299,CA!$A$2:$A$78,0)),
"")</f>
        <v>3-A</v>
      </c>
      <c r="J299" s="60">
        <f>_xlfn.IFNA(
INDEX(CA!D$2:D$78,MATCH($E299,CA!$A$2:$A$78,0)),
"")</f>
        <v>3</v>
      </c>
      <c r="K299" s="58" t="str">
        <f>_xlfn.IFNA(
INDEX(CA!E$2:E$78,MATCH($E299,CA!$A$2:$A$78,0)),
"")</f>
        <v>WEST</v>
      </c>
      <c r="L299" s="15" t="e">
        <v>#VALUE!</v>
      </c>
      <c r="M299" s="15" t="e">
        <v>#VALUE!</v>
      </c>
      <c r="N299" s="15" t="e">
        <v>#VALUE!</v>
      </c>
      <c r="O299" s="15" t="e">
        <v>#VALUE!</v>
      </c>
      <c r="P299" s="15" t="e">
        <v>#VALUE!</v>
      </c>
      <c r="Q299" s="15" t="e">
        <v>#VALUE!</v>
      </c>
      <c r="R299" s="15" t="e">
        <v>#VALUE!</v>
      </c>
      <c r="S299" s="15" t="e">
        <v>#VALUE!</v>
      </c>
      <c r="T299" s="129">
        <v>0</v>
      </c>
      <c r="U299" s="130" t="e">
        <f t="shared" si="19"/>
        <v>#VALUE!</v>
      </c>
      <c r="V299" s="129">
        <v>0</v>
      </c>
      <c r="W299" s="130" t="e">
        <f t="shared" si="16"/>
        <v>#VALUE!</v>
      </c>
      <c r="X299" s="129">
        <v>0</v>
      </c>
      <c r="Y299" s="130" t="e">
        <f t="shared" si="17"/>
        <v>#VALUE!</v>
      </c>
      <c r="Z299" s="129">
        <v>0</v>
      </c>
      <c r="AA299" s="130" t="e">
        <f t="shared" si="18"/>
        <v>#VALUE!</v>
      </c>
    </row>
    <row r="300" spans="1:27" x14ac:dyDescent="0.3">
      <c r="A300">
        <v>250500</v>
      </c>
      <c r="B300">
        <v>17031250500</v>
      </c>
      <c r="C300">
        <v>17031</v>
      </c>
      <c r="D300">
        <v>2010</v>
      </c>
      <c r="E300">
        <v>25</v>
      </c>
      <c r="F300">
        <v>22130478.303844601</v>
      </c>
      <c r="G300" s="43">
        <v>0.79382167928735514</v>
      </c>
      <c r="H300" s="58" t="str">
        <f>_xlfn.IFNA(
INDEX(CA!B$2:B$78,MATCH($E300,CA!$A$2:$A$78,0)),
"")</f>
        <v>AUSTIN</v>
      </c>
      <c r="I300" s="60" t="str">
        <f>_xlfn.IFNA(
INDEX(CA!C$2:C$78,MATCH($E300,CA!$A$2:$A$78,0)),
"")</f>
        <v>3-A</v>
      </c>
      <c r="J300" s="60">
        <f>_xlfn.IFNA(
INDEX(CA!D$2:D$78,MATCH($E300,CA!$A$2:$A$78,0)),
"")</f>
        <v>3</v>
      </c>
      <c r="K300" s="58" t="str">
        <f>_xlfn.IFNA(
INDEX(CA!E$2:E$78,MATCH($E300,CA!$A$2:$A$78,0)),
"")</f>
        <v>WEST</v>
      </c>
      <c r="L300" s="15" t="e">
        <v>#VALUE!</v>
      </c>
      <c r="M300" s="15" t="e">
        <v>#VALUE!</v>
      </c>
      <c r="N300" s="15" t="e">
        <v>#VALUE!</v>
      </c>
      <c r="O300" s="15" t="e">
        <v>#VALUE!</v>
      </c>
      <c r="P300" s="15" t="e">
        <v>#VALUE!</v>
      </c>
      <c r="Q300" s="15" t="e">
        <v>#VALUE!</v>
      </c>
      <c r="R300" s="15" t="e">
        <v>#VALUE!</v>
      </c>
      <c r="S300" s="15" t="e">
        <v>#VALUE!</v>
      </c>
      <c r="T300" s="129">
        <v>0.29827918176829193</v>
      </c>
      <c r="U300" s="130" t="e">
        <f t="shared" si="19"/>
        <v>#VALUE!</v>
      </c>
      <c r="V300" s="129">
        <v>5.2935022491933182E-3</v>
      </c>
      <c r="W300" s="130" t="e">
        <f t="shared" si="16"/>
        <v>#VALUE!</v>
      </c>
      <c r="X300" s="129">
        <v>5.2935022491933182E-3</v>
      </c>
      <c r="Y300" s="130" t="e">
        <f t="shared" si="17"/>
        <v>#VALUE!</v>
      </c>
      <c r="Z300" s="129">
        <v>5.2935022491933182E-3</v>
      </c>
      <c r="AA300" s="130" t="e">
        <f t="shared" si="18"/>
        <v>#VALUE!</v>
      </c>
    </row>
    <row r="301" spans="1:27" x14ac:dyDescent="0.3">
      <c r="A301">
        <v>251300</v>
      </c>
      <c r="B301">
        <v>17031251300</v>
      </c>
      <c r="C301">
        <v>17031</v>
      </c>
      <c r="D301">
        <v>2010</v>
      </c>
      <c r="E301">
        <v>25</v>
      </c>
      <c r="F301">
        <v>7033366.0790466899</v>
      </c>
      <c r="G301" s="43">
        <v>0.25228729335423444</v>
      </c>
      <c r="H301" s="58" t="str">
        <f>_xlfn.IFNA(
INDEX(CA!B$2:B$78,MATCH($E301,CA!$A$2:$A$78,0)),
"")</f>
        <v>AUSTIN</v>
      </c>
      <c r="I301" s="60" t="str">
        <f>_xlfn.IFNA(
INDEX(CA!C$2:C$78,MATCH($E301,CA!$A$2:$A$78,0)),
"")</f>
        <v>3-A</v>
      </c>
      <c r="J301" s="60">
        <f>_xlfn.IFNA(
INDEX(CA!D$2:D$78,MATCH($E301,CA!$A$2:$A$78,0)),
"")</f>
        <v>3</v>
      </c>
      <c r="K301" s="58" t="str">
        <f>_xlfn.IFNA(
INDEX(CA!E$2:E$78,MATCH($E301,CA!$A$2:$A$78,0)),
"")</f>
        <v>WEST</v>
      </c>
      <c r="L301" s="15" t="e">
        <v>#VALUE!</v>
      </c>
      <c r="M301" s="15" t="e">
        <v>#VALUE!</v>
      </c>
      <c r="N301" s="15" t="e">
        <v>#VALUE!</v>
      </c>
      <c r="O301" s="15" t="e">
        <v>#VALUE!</v>
      </c>
      <c r="P301" s="15" t="e">
        <v>#VALUE!</v>
      </c>
      <c r="Q301" s="15" t="e">
        <v>#VALUE!</v>
      </c>
      <c r="R301" s="15" t="e">
        <v>#VALUE!</v>
      </c>
      <c r="S301" s="15" t="e">
        <v>#VALUE!</v>
      </c>
      <c r="T301" s="129">
        <v>1.2083062676849747E-2</v>
      </c>
      <c r="U301" s="130" t="e">
        <f t="shared" si="19"/>
        <v>#VALUE!</v>
      </c>
      <c r="V301" s="129">
        <v>1.2078721149939953E-2</v>
      </c>
      <c r="W301" s="130" t="e">
        <f t="shared" si="16"/>
        <v>#VALUE!</v>
      </c>
      <c r="X301" s="129">
        <v>1.2078721149939953E-2</v>
      </c>
      <c r="Y301" s="130" t="e">
        <f t="shared" si="17"/>
        <v>#VALUE!</v>
      </c>
      <c r="Z301" s="129">
        <v>1.2078721149939953E-2</v>
      </c>
      <c r="AA301" s="130" t="e">
        <f t="shared" si="18"/>
        <v>#VALUE!</v>
      </c>
    </row>
    <row r="302" spans="1:27" x14ac:dyDescent="0.3">
      <c r="A302">
        <v>252000</v>
      </c>
      <c r="B302">
        <v>17031252000</v>
      </c>
      <c r="C302">
        <v>17031</v>
      </c>
      <c r="D302">
        <v>2010</v>
      </c>
      <c r="E302">
        <v>25</v>
      </c>
      <c r="F302">
        <v>6795783.3750255397</v>
      </c>
      <c r="G302" s="43">
        <v>0.24376518648938031</v>
      </c>
      <c r="H302" s="58" t="str">
        <f>_xlfn.IFNA(
INDEX(CA!B$2:B$78,MATCH($E302,CA!$A$2:$A$78,0)),
"")</f>
        <v>AUSTIN</v>
      </c>
      <c r="I302" s="60" t="str">
        <f>_xlfn.IFNA(
INDEX(CA!C$2:C$78,MATCH($E302,CA!$A$2:$A$78,0)),
"")</f>
        <v>3-A</v>
      </c>
      <c r="J302" s="60">
        <f>_xlfn.IFNA(
INDEX(CA!D$2:D$78,MATCH($E302,CA!$A$2:$A$78,0)),
"")</f>
        <v>3</v>
      </c>
      <c r="K302" s="58" t="str">
        <f>_xlfn.IFNA(
INDEX(CA!E$2:E$78,MATCH($E302,CA!$A$2:$A$78,0)),
"")</f>
        <v>WEST</v>
      </c>
      <c r="L302" s="15" t="e">
        <v>#VALUE!</v>
      </c>
      <c r="M302" s="15" t="e">
        <v>#VALUE!</v>
      </c>
      <c r="N302" s="15" t="e">
        <v>#VALUE!</v>
      </c>
      <c r="O302" s="15" t="e">
        <v>#VALUE!</v>
      </c>
      <c r="P302" s="15" t="e">
        <v>#VALUE!</v>
      </c>
      <c r="Q302" s="15" t="e">
        <v>#VALUE!</v>
      </c>
      <c r="R302" s="15" t="e">
        <v>#VALUE!</v>
      </c>
      <c r="S302" s="15" t="e">
        <v>#VALUE!</v>
      </c>
      <c r="T302" s="129">
        <v>0.24350342759047791</v>
      </c>
      <c r="U302" s="130" t="e">
        <f t="shared" si="19"/>
        <v>#VALUE!</v>
      </c>
      <c r="V302" s="129">
        <v>0.24350342759047791</v>
      </c>
      <c r="W302" s="130" t="e">
        <f t="shared" si="16"/>
        <v>#VALUE!</v>
      </c>
      <c r="X302" s="129">
        <v>0.24350342759047791</v>
      </c>
      <c r="Y302" s="130" t="e">
        <f t="shared" si="17"/>
        <v>#VALUE!</v>
      </c>
      <c r="Z302" s="129">
        <v>0.24350342759047791</v>
      </c>
      <c r="AA302" s="130" t="e">
        <f t="shared" si="18"/>
        <v>#VALUE!</v>
      </c>
    </row>
    <row r="303" spans="1:27" x14ac:dyDescent="0.3">
      <c r="A303">
        <v>260900</v>
      </c>
      <c r="B303">
        <v>17031260900</v>
      </c>
      <c r="C303">
        <v>17031</v>
      </c>
      <c r="D303">
        <v>2010</v>
      </c>
      <c r="E303">
        <v>26</v>
      </c>
      <c r="F303">
        <v>2473594.50040022</v>
      </c>
      <c r="G303" s="43">
        <v>8.8727993729920657E-2</v>
      </c>
      <c r="H303" s="58" t="str">
        <f>_xlfn.IFNA(
INDEX(CA!B$2:B$78,MATCH($E303,CA!$A$2:$A$78,0)),
"")</f>
        <v>WEST GARFIELD PARK</v>
      </c>
      <c r="I303" s="60" t="str">
        <f>_xlfn.IFNA(
INDEX(CA!C$2:C$78,MATCH($E303,CA!$A$2:$A$78,0)),
"")</f>
        <v>3-A</v>
      </c>
      <c r="J303" s="60">
        <f>_xlfn.IFNA(
INDEX(CA!D$2:D$78,MATCH($E303,CA!$A$2:$A$78,0)),
"")</f>
        <v>3</v>
      </c>
      <c r="K303" s="58" t="str">
        <f>_xlfn.IFNA(
INDEX(CA!E$2:E$78,MATCH($E303,CA!$A$2:$A$78,0)),
"")</f>
        <v>WEST</v>
      </c>
      <c r="L303" s="15" t="e">
        <v>#VALUE!</v>
      </c>
      <c r="M303" s="15" t="e">
        <v>#VALUE!</v>
      </c>
      <c r="N303" s="15" t="e">
        <v>#VALUE!</v>
      </c>
      <c r="O303" s="15" t="e">
        <v>#VALUE!</v>
      </c>
      <c r="P303" s="15" t="e">
        <v>#VALUE!</v>
      </c>
      <c r="Q303" s="15" t="e">
        <v>#VALUE!</v>
      </c>
      <c r="R303" s="15" t="e">
        <v>#VALUE!</v>
      </c>
      <c r="S303" s="15" t="e">
        <v>#VALUE!</v>
      </c>
      <c r="T303" s="129">
        <v>8.8727992289263008E-2</v>
      </c>
      <c r="U303" s="130" t="e">
        <f t="shared" si="19"/>
        <v>#VALUE!</v>
      </c>
      <c r="V303" s="129">
        <v>8.8727992289263008E-2</v>
      </c>
      <c r="W303" s="130" t="e">
        <f t="shared" si="16"/>
        <v>#VALUE!</v>
      </c>
      <c r="X303" s="129">
        <v>8.8727992289263008E-2</v>
      </c>
      <c r="Y303" s="130" t="e">
        <f t="shared" si="17"/>
        <v>#VALUE!</v>
      </c>
      <c r="Z303" s="129">
        <v>8.8727992289263008E-2</v>
      </c>
      <c r="AA303" s="130" t="e">
        <f t="shared" si="18"/>
        <v>#VALUE!</v>
      </c>
    </row>
    <row r="304" spans="1:27" x14ac:dyDescent="0.3">
      <c r="A304">
        <v>260700</v>
      </c>
      <c r="B304">
        <v>17031260700</v>
      </c>
      <c r="C304">
        <v>17031</v>
      </c>
      <c r="D304">
        <v>2010</v>
      </c>
      <c r="E304">
        <v>26</v>
      </c>
      <c r="F304">
        <v>3543453.1173976199</v>
      </c>
      <c r="G304" s="43">
        <v>0.12710389109122547</v>
      </c>
      <c r="H304" s="58" t="str">
        <f>_xlfn.IFNA(
INDEX(CA!B$2:B$78,MATCH($E304,CA!$A$2:$A$78,0)),
"")</f>
        <v>WEST GARFIELD PARK</v>
      </c>
      <c r="I304" s="60" t="str">
        <f>_xlfn.IFNA(
INDEX(CA!C$2:C$78,MATCH($E304,CA!$A$2:$A$78,0)),
"")</f>
        <v>3-A</v>
      </c>
      <c r="J304" s="60">
        <f>_xlfn.IFNA(
INDEX(CA!D$2:D$78,MATCH($E304,CA!$A$2:$A$78,0)),
"")</f>
        <v>3</v>
      </c>
      <c r="K304" s="58" t="str">
        <f>_xlfn.IFNA(
INDEX(CA!E$2:E$78,MATCH($E304,CA!$A$2:$A$78,0)),
"")</f>
        <v>WEST</v>
      </c>
      <c r="L304" s="15" t="e">
        <v>#VALUE!</v>
      </c>
      <c r="M304" s="15" t="e">
        <v>#VALUE!</v>
      </c>
      <c r="N304" s="15" t="e">
        <v>#VALUE!</v>
      </c>
      <c r="O304" s="15" t="e">
        <v>#VALUE!</v>
      </c>
      <c r="P304" s="15" t="e">
        <v>#VALUE!</v>
      </c>
      <c r="Q304" s="15" t="e">
        <v>#VALUE!</v>
      </c>
      <c r="R304" s="15" t="e">
        <v>#VALUE!</v>
      </c>
      <c r="S304" s="15" t="e">
        <v>#VALUE!</v>
      </c>
      <c r="T304" s="129">
        <v>0.12706920480771136</v>
      </c>
      <c r="U304" s="130" t="e">
        <f t="shared" si="19"/>
        <v>#VALUE!</v>
      </c>
      <c r="V304" s="129">
        <v>0.12706920480771136</v>
      </c>
      <c r="W304" s="130" t="e">
        <f t="shared" si="16"/>
        <v>#VALUE!</v>
      </c>
      <c r="X304" s="129">
        <v>0.12706920480771136</v>
      </c>
      <c r="Y304" s="130" t="e">
        <f t="shared" si="17"/>
        <v>#VALUE!</v>
      </c>
      <c r="Z304" s="129">
        <v>0.12706920480771136</v>
      </c>
      <c r="AA304" s="130" t="e">
        <f t="shared" si="18"/>
        <v>#VALUE!</v>
      </c>
    </row>
    <row r="305" spans="1:27" x14ac:dyDescent="0.3">
      <c r="A305">
        <v>260600</v>
      </c>
      <c r="B305">
        <v>17031260600</v>
      </c>
      <c r="C305">
        <v>17031</v>
      </c>
      <c r="D305">
        <v>2010</v>
      </c>
      <c r="E305">
        <v>26</v>
      </c>
      <c r="F305">
        <v>3497008.6426777001</v>
      </c>
      <c r="G305" s="43">
        <v>0.12543792479761035</v>
      </c>
      <c r="H305" s="58" t="str">
        <f>_xlfn.IFNA(
INDEX(CA!B$2:B$78,MATCH($E305,CA!$A$2:$A$78,0)),
"")</f>
        <v>WEST GARFIELD PARK</v>
      </c>
      <c r="I305" s="60" t="str">
        <f>_xlfn.IFNA(
INDEX(CA!C$2:C$78,MATCH($E305,CA!$A$2:$A$78,0)),
"")</f>
        <v>3-A</v>
      </c>
      <c r="J305" s="60">
        <f>_xlfn.IFNA(
INDEX(CA!D$2:D$78,MATCH($E305,CA!$A$2:$A$78,0)),
"")</f>
        <v>3</v>
      </c>
      <c r="K305" s="58" t="str">
        <f>_xlfn.IFNA(
INDEX(CA!E$2:E$78,MATCH($E305,CA!$A$2:$A$78,0)),
"")</f>
        <v>WEST</v>
      </c>
      <c r="L305" s="15" t="e">
        <v>#VALUE!</v>
      </c>
      <c r="M305" s="15" t="e">
        <v>#VALUE!</v>
      </c>
      <c r="N305" s="15" t="e">
        <v>#VALUE!</v>
      </c>
      <c r="O305" s="15" t="e">
        <v>#VALUE!</v>
      </c>
      <c r="P305" s="15" t="e">
        <v>#VALUE!</v>
      </c>
      <c r="Q305" s="15" t="e">
        <v>#VALUE!</v>
      </c>
      <c r="R305" s="15" t="e">
        <v>#VALUE!</v>
      </c>
      <c r="S305" s="15" t="e">
        <v>#VALUE!</v>
      </c>
      <c r="T305" s="129">
        <v>0.12497430742363802</v>
      </c>
      <c r="U305" s="130" t="e">
        <f t="shared" si="19"/>
        <v>#VALUE!</v>
      </c>
      <c r="V305" s="129">
        <v>0.12497430742363802</v>
      </c>
      <c r="W305" s="130" t="e">
        <f t="shared" si="16"/>
        <v>#VALUE!</v>
      </c>
      <c r="X305" s="129">
        <v>0.12497430742363802</v>
      </c>
      <c r="Y305" s="130" t="e">
        <f t="shared" si="17"/>
        <v>#VALUE!</v>
      </c>
      <c r="Z305" s="129">
        <v>0.12497430742363802</v>
      </c>
      <c r="AA305" s="130" t="e">
        <f t="shared" si="18"/>
        <v>#VALUE!</v>
      </c>
    </row>
    <row r="306" spans="1:27" x14ac:dyDescent="0.3">
      <c r="A306">
        <v>260400</v>
      </c>
      <c r="B306">
        <v>17031260400</v>
      </c>
      <c r="C306">
        <v>17031</v>
      </c>
      <c r="D306">
        <v>2010</v>
      </c>
      <c r="E306">
        <v>26</v>
      </c>
      <c r="F306">
        <v>3515572.31618607</v>
      </c>
      <c r="G306" s="43">
        <v>0.12610380495961282</v>
      </c>
      <c r="H306" s="58" t="str">
        <f>_xlfn.IFNA(
INDEX(CA!B$2:B$78,MATCH($E306,CA!$A$2:$A$78,0)),
"")</f>
        <v>WEST GARFIELD PARK</v>
      </c>
      <c r="I306" s="60" t="str">
        <f>_xlfn.IFNA(
INDEX(CA!C$2:C$78,MATCH($E306,CA!$A$2:$A$78,0)),
"")</f>
        <v>3-A</v>
      </c>
      <c r="J306" s="60">
        <f>_xlfn.IFNA(
INDEX(CA!D$2:D$78,MATCH($E306,CA!$A$2:$A$78,0)),
"")</f>
        <v>3</v>
      </c>
      <c r="K306" s="58" t="str">
        <f>_xlfn.IFNA(
INDEX(CA!E$2:E$78,MATCH($E306,CA!$A$2:$A$78,0)),
"")</f>
        <v>WEST</v>
      </c>
      <c r="L306" s="15" t="e">
        <v>#VALUE!</v>
      </c>
      <c r="M306" s="15" t="e">
        <v>#VALUE!</v>
      </c>
      <c r="N306" s="15" t="e">
        <v>#VALUE!</v>
      </c>
      <c r="O306" s="15" t="e">
        <v>#VALUE!</v>
      </c>
      <c r="P306" s="15" t="e">
        <v>#VALUE!</v>
      </c>
      <c r="Q306" s="15" t="e">
        <v>#VALUE!</v>
      </c>
      <c r="R306" s="15" t="e">
        <v>#VALUE!</v>
      </c>
      <c r="S306" s="15" t="e">
        <v>#VALUE!</v>
      </c>
      <c r="T306" s="129">
        <v>0.12610380048952702</v>
      </c>
      <c r="U306" s="130" t="e">
        <f t="shared" si="19"/>
        <v>#VALUE!</v>
      </c>
      <c r="V306" s="129">
        <v>0.12610380048952702</v>
      </c>
      <c r="W306" s="130" t="e">
        <f t="shared" si="16"/>
        <v>#VALUE!</v>
      </c>
      <c r="X306" s="129">
        <v>0.12610380048952702</v>
      </c>
      <c r="Y306" s="130" t="e">
        <f t="shared" si="17"/>
        <v>#VALUE!</v>
      </c>
      <c r="Z306" s="129">
        <v>0.12610380048952702</v>
      </c>
      <c r="AA306" s="130" t="e">
        <f t="shared" si="18"/>
        <v>#VALUE!</v>
      </c>
    </row>
    <row r="307" spans="1:27" x14ac:dyDescent="0.3">
      <c r="A307">
        <v>261000</v>
      </c>
      <c r="B307">
        <v>17031261000</v>
      </c>
      <c r="C307">
        <v>17031</v>
      </c>
      <c r="D307">
        <v>2010</v>
      </c>
      <c r="E307">
        <v>26</v>
      </c>
      <c r="F307">
        <v>5164163.96673855</v>
      </c>
      <c r="G307" s="43">
        <v>0.18523889343500882</v>
      </c>
      <c r="H307" s="58" t="str">
        <f>_xlfn.IFNA(
INDEX(CA!B$2:B$78,MATCH($E307,CA!$A$2:$A$78,0)),
"")</f>
        <v>WEST GARFIELD PARK</v>
      </c>
      <c r="I307" s="60" t="str">
        <f>_xlfn.IFNA(
INDEX(CA!C$2:C$78,MATCH($E307,CA!$A$2:$A$78,0)),
"")</f>
        <v>3-A</v>
      </c>
      <c r="J307" s="60">
        <f>_xlfn.IFNA(
INDEX(CA!D$2:D$78,MATCH($E307,CA!$A$2:$A$78,0)),
"")</f>
        <v>3</v>
      </c>
      <c r="K307" s="58" t="str">
        <f>_xlfn.IFNA(
INDEX(CA!E$2:E$78,MATCH($E307,CA!$A$2:$A$78,0)),
"")</f>
        <v>WEST</v>
      </c>
      <c r="L307" s="15" t="e">
        <v>#VALUE!</v>
      </c>
      <c r="M307" s="15" t="e">
        <v>#VALUE!</v>
      </c>
      <c r="N307" s="15" t="e">
        <v>#VALUE!</v>
      </c>
      <c r="O307" s="15" t="e">
        <v>#VALUE!</v>
      </c>
      <c r="P307" s="15" t="e">
        <v>#VALUE!</v>
      </c>
      <c r="Q307" s="15" t="e">
        <v>#VALUE!</v>
      </c>
      <c r="R307" s="15" t="e">
        <v>#VALUE!</v>
      </c>
      <c r="S307" s="15" t="e">
        <v>#VALUE!</v>
      </c>
      <c r="T307" s="129">
        <v>7.3139170661834244E-2</v>
      </c>
      <c r="U307" s="130" t="e">
        <f t="shared" si="19"/>
        <v>#VALUE!</v>
      </c>
      <c r="V307" s="129">
        <v>7.3139170661834244E-2</v>
      </c>
      <c r="W307" s="130" t="e">
        <f t="shared" si="16"/>
        <v>#VALUE!</v>
      </c>
      <c r="X307" s="129">
        <v>7.3139170661834244E-2</v>
      </c>
      <c r="Y307" s="130" t="e">
        <f t="shared" si="17"/>
        <v>#VALUE!</v>
      </c>
      <c r="Z307" s="129">
        <v>7.3139170661834244E-2</v>
      </c>
      <c r="AA307" s="130" t="e">
        <f t="shared" si="18"/>
        <v>#VALUE!</v>
      </c>
    </row>
    <row r="308" spans="1:27" x14ac:dyDescent="0.3">
      <c r="A308">
        <v>260200</v>
      </c>
      <c r="B308">
        <v>17031260200</v>
      </c>
      <c r="C308">
        <v>17031</v>
      </c>
      <c r="D308">
        <v>2010</v>
      </c>
      <c r="E308">
        <v>26</v>
      </c>
      <c r="F308">
        <v>3544841.8984181602</v>
      </c>
      <c r="G308" s="43">
        <v>0.12715370675570192</v>
      </c>
      <c r="H308" s="58" t="str">
        <f>_xlfn.IFNA(
INDEX(CA!B$2:B$78,MATCH($E308,CA!$A$2:$A$78,0)),
"")</f>
        <v>WEST GARFIELD PARK</v>
      </c>
      <c r="I308" s="60" t="str">
        <f>_xlfn.IFNA(
INDEX(CA!C$2:C$78,MATCH($E308,CA!$A$2:$A$78,0)),
"")</f>
        <v>3-A</v>
      </c>
      <c r="J308" s="60">
        <f>_xlfn.IFNA(
INDEX(CA!D$2:D$78,MATCH($E308,CA!$A$2:$A$78,0)),
"")</f>
        <v>3</v>
      </c>
      <c r="K308" s="58" t="str">
        <f>_xlfn.IFNA(
INDEX(CA!E$2:E$78,MATCH($E308,CA!$A$2:$A$78,0)),
"")</f>
        <v>WEST</v>
      </c>
      <c r="L308" s="15" t="e">
        <v>#VALUE!</v>
      </c>
      <c r="M308" s="15" t="e">
        <v>#VALUE!</v>
      </c>
      <c r="N308" s="15" t="e">
        <v>#VALUE!</v>
      </c>
      <c r="O308" s="15" t="e">
        <v>#VALUE!</v>
      </c>
      <c r="P308" s="15" t="e">
        <v>#VALUE!</v>
      </c>
      <c r="Q308" s="15" t="e">
        <v>#VALUE!</v>
      </c>
      <c r="R308" s="15" t="e">
        <v>#VALUE!</v>
      </c>
      <c r="S308" s="15" t="e">
        <v>#VALUE!</v>
      </c>
      <c r="T308" s="129">
        <v>0.1271537017340848</v>
      </c>
      <c r="U308" s="130" t="e">
        <f t="shared" si="19"/>
        <v>#VALUE!</v>
      </c>
      <c r="V308" s="129">
        <v>0.1271537017340848</v>
      </c>
      <c r="W308" s="130" t="e">
        <f t="shared" si="16"/>
        <v>#VALUE!</v>
      </c>
      <c r="X308" s="129">
        <v>0.1271537017340848</v>
      </c>
      <c r="Y308" s="130" t="e">
        <f t="shared" si="17"/>
        <v>#VALUE!</v>
      </c>
      <c r="Z308" s="129">
        <v>0.1271537017340848</v>
      </c>
      <c r="AA308" s="130" t="e">
        <f t="shared" si="18"/>
        <v>#VALUE!</v>
      </c>
    </row>
    <row r="309" spans="1:27" x14ac:dyDescent="0.3">
      <c r="A309">
        <v>260100</v>
      </c>
      <c r="B309">
        <v>17031260100</v>
      </c>
      <c r="C309">
        <v>17031</v>
      </c>
      <c r="D309">
        <v>2010</v>
      </c>
      <c r="E309">
        <v>26</v>
      </c>
      <c r="F309">
        <v>3504066.9771083598</v>
      </c>
      <c r="G309" s="43">
        <v>0.12569110770734188</v>
      </c>
      <c r="H309" s="58" t="str">
        <f>_xlfn.IFNA(
INDEX(CA!B$2:B$78,MATCH($E309,CA!$A$2:$A$78,0)),
"")</f>
        <v>WEST GARFIELD PARK</v>
      </c>
      <c r="I309" s="60" t="str">
        <f>_xlfn.IFNA(
INDEX(CA!C$2:C$78,MATCH($E309,CA!$A$2:$A$78,0)),
"")</f>
        <v>3-A</v>
      </c>
      <c r="J309" s="60">
        <f>_xlfn.IFNA(
INDEX(CA!D$2:D$78,MATCH($E309,CA!$A$2:$A$78,0)),
"")</f>
        <v>3</v>
      </c>
      <c r="K309" s="58" t="str">
        <f>_xlfn.IFNA(
INDEX(CA!E$2:E$78,MATCH($E309,CA!$A$2:$A$78,0)),
"")</f>
        <v>WEST</v>
      </c>
      <c r="L309" s="15" t="e">
        <v>#VALUE!</v>
      </c>
      <c r="M309" s="15" t="e">
        <v>#VALUE!</v>
      </c>
      <c r="N309" s="15" t="e">
        <v>#VALUE!</v>
      </c>
      <c r="O309" s="15" t="e">
        <v>#VALUE!</v>
      </c>
      <c r="P309" s="15" t="e">
        <v>#VALUE!</v>
      </c>
      <c r="Q309" s="15" t="e">
        <v>#VALUE!</v>
      </c>
      <c r="R309" s="15" t="e">
        <v>#VALUE!</v>
      </c>
      <c r="S309" s="15" t="e">
        <v>#VALUE!</v>
      </c>
      <c r="T309" s="129">
        <v>0.12569111461638008</v>
      </c>
      <c r="U309" s="130" t="e">
        <f t="shared" si="19"/>
        <v>#VALUE!</v>
      </c>
      <c r="V309" s="129">
        <v>0.12569111461638008</v>
      </c>
      <c r="W309" s="130" t="e">
        <f t="shared" si="16"/>
        <v>#VALUE!</v>
      </c>
      <c r="X309" s="129">
        <v>0.12569111461638008</v>
      </c>
      <c r="Y309" s="130" t="e">
        <f t="shared" si="17"/>
        <v>#VALUE!</v>
      </c>
      <c r="Z309" s="129">
        <v>0.12569111461638008</v>
      </c>
      <c r="AA309" s="130" t="e">
        <f t="shared" si="18"/>
        <v>#VALUE!</v>
      </c>
    </row>
    <row r="310" spans="1:27" x14ac:dyDescent="0.3">
      <c r="A310">
        <v>260500</v>
      </c>
      <c r="B310">
        <v>17031260500</v>
      </c>
      <c r="C310">
        <v>17031</v>
      </c>
      <c r="D310">
        <v>2010</v>
      </c>
      <c r="E310">
        <v>26</v>
      </c>
      <c r="F310">
        <v>3740485.6718685902</v>
      </c>
      <c r="G310" s="43">
        <v>0.1341714614851853</v>
      </c>
      <c r="H310" s="58" t="str">
        <f>_xlfn.IFNA(
INDEX(CA!B$2:B$78,MATCH($E310,CA!$A$2:$A$78,0)),
"")</f>
        <v>WEST GARFIELD PARK</v>
      </c>
      <c r="I310" s="60" t="str">
        <f>_xlfn.IFNA(
INDEX(CA!C$2:C$78,MATCH($E310,CA!$A$2:$A$78,0)),
"")</f>
        <v>3-A</v>
      </c>
      <c r="J310" s="60">
        <f>_xlfn.IFNA(
INDEX(CA!D$2:D$78,MATCH($E310,CA!$A$2:$A$78,0)),
"")</f>
        <v>3</v>
      </c>
      <c r="K310" s="58" t="str">
        <f>_xlfn.IFNA(
INDEX(CA!E$2:E$78,MATCH($E310,CA!$A$2:$A$78,0)),
"")</f>
        <v>WEST</v>
      </c>
      <c r="L310" s="15" t="e">
        <v>#VALUE!</v>
      </c>
      <c r="M310" s="15" t="e">
        <v>#VALUE!</v>
      </c>
      <c r="N310" s="15" t="e">
        <v>#VALUE!</v>
      </c>
      <c r="O310" s="15" t="e">
        <v>#VALUE!</v>
      </c>
      <c r="P310" s="15" t="e">
        <v>#VALUE!</v>
      </c>
      <c r="Q310" s="15" t="e">
        <v>#VALUE!</v>
      </c>
      <c r="R310" s="15" t="e">
        <v>#VALUE!</v>
      </c>
      <c r="S310" s="15" t="e">
        <v>#VALUE!</v>
      </c>
      <c r="T310" s="129">
        <v>0.11653323002373593</v>
      </c>
      <c r="U310" s="130" t="e">
        <f t="shared" si="19"/>
        <v>#VALUE!</v>
      </c>
      <c r="V310" s="129">
        <v>0.11653323002373593</v>
      </c>
      <c r="W310" s="130" t="e">
        <f t="shared" si="16"/>
        <v>#VALUE!</v>
      </c>
      <c r="X310" s="129">
        <v>0.11653323002373593</v>
      </c>
      <c r="Y310" s="130" t="e">
        <f t="shared" si="17"/>
        <v>#VALUE!</v>
      </c>
      <c r="Z310" s="129">
        <v>0.11653323002373593</v>
      </c>
      <c r="AA310" s="130" t="e">
        <f t="shared" si="18"/>
        <v>#VALUE!</v>
      </c>
    </row>
    <row r="311" spans="1:27" x14ac:dyDescent="0.3">
      <c r="A311">
        <v>260800</v>
      </c>
      <c r="B311">
        <v>17031260800</v>
      </c>
      <c r="C311">
        <v>17031</v>
      </c>
      <c r="D311">
        <v>2010</v>
      </c>
      <c r="E311">
        <v>26</v>
      </c>
      <c r="F311">
        <v>3571247.3743696599</v>
      </c>
      <c r="G311" s="43">
        <v>0.12810087287540389</v>
      </c>
      <c r="H311" s="58" t="str">
        <f>_xlfn.IFNA(
INDEX(CA!B$2:B$78,MATCH($E311,CA!$A$2:$A$78,0)),
"")</f>
        <v>WEST GARFIELD PARK</v>
      </c>
      <c r="I311" s="60" t="str">
        <f>_xlfn.IFNA(
INDEX(CA!C$2:C$78,MATCH($E311,CA!$A$2:$A$78,0)),
"")</f>
        <v>3-A</v>
      </c>
      <c r="J311" s="60">
        <f>_xlfn.IFNA(
INDEX(CA!D$2:D$78,MATCH($E311,CA!$A$2:$A$78,0)),
"")</f>
        <v>3</v>
      </c>
      <c r="K311" s="58" t="str">
        <f>_xlfn.IFNA(
INDEX(CA!E$2:E$78,MATCH($E311,CA!$A$2:$A$78,0)),
"")</f>
        <v>WEST</v>
      </c>
      <c r="L311" s="15" t="e">
        <v>#VALUE!</v>
      </c>
      <c r="M311" s="15" t="e">
        <v>#VALUE!</v>
      </c>
      <c r="N311" s="15" t="e">
        <v>#VALUE!</v>
      </c>
      <c r="O311" s="15" t="e">
        <v>#VALUE!</v>
      </c>
      <c r="P311" s="15" t="e">
        <v>#VALUE!</v>
      </c>
      <c r="Q311" s="15" t="e">
        <v>#VALUE!</v>
      </c>
      <c r="R311" s="15" t="e">
        <v>#VALUE!</v>
      </c>
      <c r="S311" s="15" t="e">
        <v>#VALUE!</v>
      </c>
      <c r="T311" s="129">
        <v>0.12810087412928253</v>
      </c>
      <c r="U311" s="130" t="e">
        <f t="shared" si="19"/>
        <v>#VALUE!</v>
      </c>
      <c r="V311" s="129">
        <v>0.12810087412928253</v>
      </c>
      <c r="W311" s="130" t="e">
        <f t="shared" si="16"/>
        <v>#VALUE!</v>
      </c>
      <c r="X311" s="129">
        <v>0.12810087412928253</v>
      </c>
      <c r="Y311" s="130" t="e">
        <f t="shared" si="17"/>
        <v>#VALUE!</v>
      </c>
      <c r="Z311" s="129">
        <v>0.12810087412928253</v>
      </c>
      <c r="AA311" s="130" t="e">
        <f t="shared" si="18"/>
        <v>#VALUE!</v>
      </c>
    </row>
    <row r="312" spans="1:27" x14ac:dyDescent="0.3">
      <c r="A312">
        <v>260300</v>
      </c>
      <c r="B312">
        <v>17031260300</v>
      </c>
      <c r="C312">
        <v>17031</v>
      </c>
      <c r="D312">
        <v>2010</v>
      </c>
      <c r="E312">
        <v>26</v>
      </c>
      <c r="F312">
        <v>3538414.3498074198</v>
      </c>
      <c r="G312" s="43">
        <v>0.12692315017387726</v>
      </c>
      <c r="H312" s="58" t="str">
        <f>_xlfn.IFNA(
INDEX(CA!B$2:B$78,MATCH($E312,CA!$A$2:$A$78,0)),
"")</f>
        <v>WEST GARFIELD PARK</v>
      </c>
      <c r="I312" s="60" t="str">
        <f>_xlfn.IFNA(
INDEX(CA!C$2:C$78,MATCH($E312,CA!$A$2:$A$78,0)),
"")</f>
        <v>3-A</v>
      </c>
      <c r="J312" s="60">
        <f>_xlfn.IFNA(
INDEX(CA!D$2:D$78,MATCH($E312,CA!$A$2:$A$78,0)),
"")</f>
        <v>3</v>
      </c>
      <c r="K312" s="58" t="str">
        <f>_xlfn.IFNA(
INDEX(CA!E$2:E$78,MATCH($E312,CA!$A$2:$A$78,0)),
"")</f>
        <v>WEST</v>
      </c>
      <c r="L312" s="15" t="e">
        <v>#VALUE!</v>
      </c>
      <c r="M312" s="15" t="e">
        <v>#VALUE!</v>
      </c>
      <c r="N312" s="15" t="e">
        <v>#VALUE!</v>
      </c>
      <c r="O312" s="15" t="e">
        <v>#VALUE!</v>
      </c>
      <c r="P312" s="15" t="e">
        <v>#VALUE!</v>
      </c>
      <c r="Q312" s="15" t="e">
        <v>#VALUE!</v>
      </c>
      <c r="R312" s="15" t="e">
        <v>#VALUE!</v>
      </c>
      <c r="S312" s="15" t="e">
        <v>#VALUE!</v>
      </c>
      <c r="T312" s="129">
        <v>0.12692315218805239</v>
      </c>
      <c r="U312" s="130" t="e">
        <f t="shared" si="19"/>
        <v>#VALUE!</v>
      </c>
      <c r="V312" s="129">
        <v>0.12692315218805239</v>
      </c>
      <c r="W312" s="130" t="e">
        <f t="shared" si="16"/>
        <v>#VALUE!</v>
      </c>
      <c r="X312" s="129">
        <v>0.12692315218805239</v>
      </c>
      <c r="Y312" s="130" t="e">
        <f t="shared" si="17"/>
        <v>#VALUE!</v>
      </c>
      <c r="Z312" s="129">
        <v>0.12692315218805239</v>
      </c>
      <c r="AA312" s="130" t="e">
        <f t="shared" si="18"/>
        <v>#VALUE!</v>
      </c>
    </row>
    <row r="313" spans="1:27" x14ac:dyDescent="0.3">
      <c r="A313">
        <v>836800</v>
      </c>
      <c r="B313">
        <v>17031836800</v>
      </c>
      <c r="C313">
        <v>17031</v>
      </c>
      <c r="D313">
        <v>2010</v>
      </c>
      <c r="E313">
        <v>27</v>
      </c>
      <c r="F313">
        <v>8871040.9511475805</v>
      </c>
      <c r="G313" s="43">
        <v>0.31820480914068167</v>
      </c>
      <c r="H313" s="58" t="str">
        <f>_xlfn.IFNA(
INDEX(CA!B$2:B$78,MATCH($E313,CA!$A$2:$A$78,0)),
"")</f>
        <v>EAST GARFIELD PARK</v>
      </c>
      <c r="I313" s="60" t="str">
        <f>_xlfn.IFNA(
INDEX(CA!C$2:C$78,MATCH($E313,CA!$A$2:$A$78,0)),
"")</f>
        <v>3-A</v>
      </c>
      <c r="J313" s="60">
        <f>_xlfn.IFNA(
INDEX(CA!D$2:D$78,MATCH($E313,CA!$A$2:$A$78,0)),
"")</f>
        <v>3</v>
      </c>
      <c r="K313" s="58" t="str">
        <f>_xlfn.IFNA(
INDEX(CA!E$2:E$78,MATCH($E313,CA!$A$2:$A$78,0)),
"")</f>
        <v>WEST</v>
      </c>
      <c r="L313" s="15" t="e">
        <v>#VALUE!</v>
      </c>
      <c r="M313" s="15" t="e">
        <v>#VALUE!</v>
      </c>
      <c r="N313" s="15" t="e">
        <v>#VALUE!</v>
      </c>
      <c r="O313" s="15" t="e">
        <v>#VALUE!</v>
      </c>
      <c r="P313" s="15" t="e">
        <v>#VALUE!</v>
      </c>
      <c r="Q313" s="15" t="e">
        <v>#VALUE!</v>
      </c>
      <c r="R313" s="15" t="e">
        <v>#VALUE!</v>
      </c>
      <c r="S313" s="15" t="e">
        <v>#VALUE!</v>
      </c>
      <c r="T313" s="129">
        <v>0.31820480649220323</v>
      </c>
      <c r="U313" s="130" t="e">
        <f t="shared" si="19"/>
        <v>#VALUE!</v>
      </c>
      <c r="V313" s="129">
        <v>0.31820480649220323</v>
      </c>
      <c r="W313" s="130" t="e">
        <f t="shared" si="16"/>
        <v>#VALUE!</v>
      </c>
      <c r="X313" s="129">
        <v>0.31820480649220323</v>
      </c>
      <c r="Y313" s="130" t="e">
        <f t="shared" si="17"/>
        <v>#VALUE!</v>
      </c>
      <c r="Z313" s="129">
        <v>0.31820480649220323</v>
      </c>
      <c r="AA313" s="130" t="e">
        <f t="shared" si="18"/>
        <v>#VALUE!</v>
      </c>
    </row>
    <row r="314" spans="1:27" x14ac:dyDescent="0.3">
      <c r="A314">
        <v>837000</v>
      </c>
      <c r="B314">
        <v>17031837000</v>
      </c>
      <c r="C314">
        <v>17031</v>
      </c>
      <c r="D314">
        <v>2010</v>
      </c>
      <c r="E314">
        <v>27</v>
      </c>
      <c r="F314">
        <v>4440590.5856814301</v>
      </c>
      <c r="G314" s="43">
        <v>0.15928426974580429</v>
      </c>
      <c r="H314" s="58" t="str">
        <f>_xlfn.IFNA(
INDEX(CA!B$2:B$78,MATCH($E314,CA!$A$2:$A$78,0)),
"")</f>
        <v>EAST GARFIELD PARK</v>
      </c>
      <c r="I314" s="60" t="str">
        <f>_xlfn.IFNA(
INDEX(CA!C$2:C$78,MATCH($E314,CA!$A$2:$A$78,0)),
"")</f>
        <v>3-A</v>
      </c>
      <c r="J314" s="60">
        <f>_xlfn.IFNA(
INDEX(CA!D$2:D$78,MATCH($E314,CA!$A$2:$A$78,0)),
"")</f>
        <v>3</v>
      </c>
      <c r="K314" s="58" t="str">
        <f>_xlfn.IFNA(
INDEX(CA!E$2:E$78,MATCH($E314,CA!$A$2:$A$78,0)),
"")</f>
        <v>WEST</v>
      </c>
      <c r="L314" s="15" t="e">
        <v>#VALUE!</v>
      </c>
      <c r="M314" s="15" t="e">
        <v>#VALUE!</v>
      </c>
      <c r="N314" s="15" t="e">
        <v>#VALUE!</v>
      </c>
      <c r="O314" s="15" t="e">
        <v>#VALUE!</v>
      </c>
      <c r="P314" s="15" t="e">
        <v>#VALUE!</v>
      </c>
      <c r="Q314" s="15" t="e">
        <v>#VALUE!</v>
      </c>
      <c r="R314" s="15" t="e">
        <v>#VALUE!</v>
      </c>
      <c r="S314" s="15" t="e">
        <v>#VALUE!</v>
      </c>
      <c r="T314" s="129">
        <v>0.15928426230099074</v>
      </c>
      <c r="U314" s="130" t="e">
        <f t="shared" si="19"/>
        <v>#VALUE!</v>
      </c>
      <c r="V314" s="129">
        <v>0.15928426230099074</v>
      </c>
      <c r="W314" s="130" t="e">
        <f t="shared" si="16"/>
        <v>#VALUE!</v>
      </c>
      <c r="X314" s="129">
        <v>0.15928426230099074</v>
      </c>
      <c r="Y314" s="130" t="e">
        <f t="shared" si="17"/>
        <v>#VALUE!</v>
      </c>
      <c r="Z314" s="129">
        <v>0.15928426230099074</v>
      </c>
      <c r="AA314" s="130" t="e">
        <f t="shared" si="18"/>
        <v>#VALUE!</v>
      </c>
    </row>
    <row r="315" spans="1:27" x14ac:dyDescent="0.3">
      <c r="A315">
        <v>271300</v>
      </c>
      <c r="B315">
        <v>17031271300</v>
      </c>
      <c r="C315">
        <v>17031</v>
      </c>
      <c r="D315">
        <v>2010</v>
      </c>
      <c r="E315">
        <v>27</v>
      </c>
      <c r="F315">
        <v>3523972.3434248902</v>
      </c>
      <c r="G315" s="43">
        <v>0.12640511447661595</v>
      </c>
      <c r="H315" s="58" t="str">
        <f>_xlfn.IFNA(
INDEX(CA!B$2:B$78,MATCH($E315,CA!$A$2:$A$78,0)),
"")</f>
        <v>EAST GARFIELD PARK</v>
      </c>
      <c r="I315" s="60" t="str">
        <f>_xlfn.IFNA(
INDEX(CA!C$2:C$78,MATCH($E315,CA!$A$2:$A$78,0)),
"")</f>
        <v>3-A</v>
      </c>
      <c r="J315" s="60">
        <f>_xlfn.IFNA(
INDEX(CA!D$2:D$78,MATCH($E315,CA!$A$2:$A$78,0)),
"")</f>
        <v>3</v>
      </c>
      <c r="K315" s="58" t="str">
        <f>_xlfn.IFNA(
INDEX(CA!E$2:E$78,MATCH($E315,CA!$A$2:$A$78,0)),
"")</f>
        <v>WEST</v>
      </c>
      <c r="L315" s="15" t="e">
        <v>#VALUE!</v>
      </c>
      <c r="M315" s="15" t="e">
        <v>#VALUE!</v>
      </c>
      <c r="N315" s="15" t="e">
        <v>#VALUE!</v>
      </c>
      <c r="O315" s="15" t="e">
        <v>#VALUE!</v>
      </c>
      <c r="P315" s="15" t="e">
        <v>#VALUE!</v>
      </c>
      <c r="Q315" s="15" t="e">
        <v>#VALUE!</v>
      </c>
      <c r="R315" s="15" t="e">
        <v>#VALUE!</v>
      </c>
      <c r="S315" s="15" t="e">
        <v>#VALUE!</v>
      </c>
      <c r="T315" s="129">
        <v>0.12640511463321963</v>
      </c>
      <c r="U315" s="130" t="e">
        <f t="shared" si="19"/>
        <v>#VALUE!</v>
      </c>
      <c r="V315" s="129">
        <v>0.12640511463321963</v>
      </c>
      <c r="W315" s="130" t="e">
        <f t="shared" si="16"/>
        <v>#VALUE!</v>
      </c>
      <c r="X315" s="129">
        <v>0.12640511463321963</v>
      </c>
      <c r="Y315" s="130" t="e">
        <f t="shared" si="17"/>
        <v>#VALUE!</v>
      </c>
      <c r="Z315" s="129">
        <v>0.12640511463321963</v>
      </c>
      <c r="AA315" s="130" t="e">
        <f t="shared" si="18"/>
        <v>#VALUE!</v>
      </c>
    </row>
    <row r="316" spans="1:27" x14ac:dyDescent="0.3">
      <c r="A316">
        <v>271800</v>
      </c>
      <c r="B316">
        <v>17031271800</v>
      </c>
      <c r="C316">
        <v>17031</v>
      </c>
      <c r="D316">
        <v>2010</v>
      </c>
      <c r="E316">
        <v>27</v>
      </c>
      <c r="F316">
        <v>2217242.9865916702</v>
      </c>
      <c r="G316" s="43">
        <v>7.953264845154924E-2</v>
      </c>
      <c r="H316" s="58" t="str">
        <f>_xlfn.IFNA(
INDEX(CA!B$2:B$78,MATCH($E316,CA!$A$2:$A$78,0)),
"")</f>
        <v>EAST GARFIELD PARK</v>
      </c>
      <c r="I316" s="60" t="str">
        <f>_xlfn.IFNA(
INDEX(CA!C$2:C$78,MATCH($E316,CA!$A$2:$A$78,0)),
"")</f>
        <v>3-A</v>
      </c>
      <c r="J316" s="60">
        <f>_xlfn.IFNA(
INDEX(CA!D$2:D$78,MATCH($E316,CA!$A$2:$A$78,0)),
"")</f>
        <v>3</v>
      </c>
      <c r="K316" s="58" t="str">
        <f>_xlfn.IFNA(
INDEX(CA!E$2:E$78,MATCH($E316,CA!$A$2:$A$78,0)),
"")</f>
        <v>WEST</v>
      </c>
      <c r="L316" s="15" t="e">
        <v>#VALUE!</v>
      </c>
      <c r="M316" s="15" t="e">
        <v>#VALUE!</v>
      </c>
      <c r="N316" s="15" t="e">
        <v>#VALUE!</v>
      </c>
      <c r="O316" s="15" t="e">
        <v>#VALUE!</v>
      </c>
      <c r="P316" s="15" t="e">
        <v>#VALUE!</v>
      </c>
      <c r="Q316" s="15" t="e">
        <v>#VALUE!</v>
      </c>
      <c r="R316" s="15" t="e">
        <v>#VALUE!</v>
      </c>
      <c r="S316" s="15" t="e">
        <v>#VALUE!</v>
      </c>
      <c r="T316" s="129">
        <v>7.953264836212838E-2</v>
      </c>
      <c r="U316" s="130" t="e">
        <f t="shared" si="19"/>
        <v>#VALUE!</v>
      </c>
      <c r="V316" s="129">
        <v>7.953264836212838E-2</v>
      </c>
      <c r="W316" s="130" t="e">
        <f t="shared" si="16"/>
        <v>#VALUE!</v>
      </c>
      <c r="X316" s="129">
        <v>7.953264836212838E-2</v>
      </c>
      <c r="Y316" s="130" t="e">
        <f t="shared" si="17"/>
        <v>#VALUE!</v>
      </c>
      <c r="Z316" s="129">
        <v>7.953264836212838E-2</v>
      </c>
      <c r="AA316" s="130" t="e">
        <f t="shared" si="18"/>
        <v>#VALUE!</v>
      </c>
    </row>
    <row r="317" spans="1:27" x14ac:dyDescent="0.3">
      <c r="A317">
        <v>837100</v>
      </c>
      <c r="B317">
        <v>17031837100</v>
      </c>
      <c r="C317">
        <v>17031</v>
      </c>
      <c r="D317">
        <v>2010</v>
      </c>
      <c r="E317">
        <v>27</v>
      </c>
      <c r="F317">
        <v>7854433.5427268399</v>
      </c>
      <c r="G317" s="43">
        <v>0.28173903605396433</v>
      </c>
      <c r="H317" s="58" t="str">
        <f>_xlfn.IFNA(
INDEX(CA!B$2:B$78,MATCH($E317,CA!$A$2:$A$78,0)),
"")</f>
        <v>EAST GARFIELD PARK</v>
      </c>
      <c r="I317" s="60" t="str">
        <f>_xlfn.IFNA(
INDEX(CA!C$2:C$78,MATCH($E317,CA!$A$2:$A$78,0)),
"")</f>
        <v>3-A</v>
      </c>
      <c r="J317" s="60">
        <f>_xlfn.IFNA(
INDEX(CA!D$2:D$78,MATCH($E317,CA!$A$2:$A$78,0)),
"")</f>
        <v>3</v>
      </c>
      <c r="K317" s="58" t="str">
        <f>_xlfn.IFNA(
INDEX(CA!E$2:E$78,MATCH($E317,CA!$A$2:$A$78,0)),
"")</f>
        <v>WEST</v>
      </c>
      <c r="L317" s="15" t="e">
        <v>#VALUE!</v>
      </c>
      <c r="M317" s="15" t="e">
        <v>#VALUE!</v>
      </c>
      <c r="N317" s="15" t="e">
        <v>#VALUE!</v>
      </c>
      <c r="O317" s="15" t="e">
        <v>#VALUE!</v>
      </c>
      <c r="P317" s="15" t="e">
        <v>#VALUE!</v>
      </c>
      <c r="Q317" s="15" t="e">
        <v>#VALUE!</v>
      </c>
      <c r="R317" s="15" t="e">
        <v>#VALUE!</v>
      </c>
      <c r="S317" s="15" t="e">
        <v>#VALUE!</v>
      </c>
      <c r="T317" s="129">
        <v>0.28173902637316778</v>
      </c>
      <c r="U317" s="130" t="e">
        <f t="shared" si="19"/>
        <v>#VALUE!</v>
      </c>
      <c r="V317" s="129">
        <v>0.28173902637316778</v>
      </c>
      <c r="W317" s="130" t="e">
        <f t="shared" si="16"/>
        <v>#VALUE!</v>
      </c>
      <c r="X317" s="129">
        <v>0.28173902637316778</v>
      </c>
      <c r="Y317" s="130" t="e">
        <f t="shared" si="17"/>
        <v>#VALUE!</v>
      </c>
      <c r="Z317" s="129">
        <v>0.28173902637316778</v>
      </c>
      <c r="AA317" s="130" t="e">
        <f t="shared" si="18"/>
        <v>#VALUE!</v>
      </c>
    </row>
    <row r="318" spans="1:27" x14ac:dyDescent="0.3">
      <c r="A318">
        <v>837300</v>
      </c>
      <c r="B318">
        <v>17031837300</v>
      </c>
      <c r="C318">
        <v>17031</v>
      </c>
      <c r="D318">
        <v>2010</v>
      </c>
      <c r="E318">
        <v>27</v>
      </c>
      <c r="F318">
        <v>3966788.93444758</v>
      </c>
      <c r="G318" s="43">
        <v>0.14228897406047622</v>
      </c>
      <c r="H318" s="58" t="str">
        <f>_xlfn.IFNA(
INDEX(CA!B$2:B$78,MATCH($E318,CA!$A$2:$A$78,0)),
"")</f>
        <v>EAST GARFIELD PARK</v>
      </c>
      <c r="I318" s="60" t="str">
        <f>_xlfn.IFNA(
INDEX(CA!C$2:C$78,MATCH($E318,CA!$A$2:$A$78,0)),
"")</f>
        <v>3-A</v>
      </c>
      <c r="J318" s="60">
        <f>_xlfn.IFNA(
INDEX(CA!D$2:D$78,MATCH($E318,CA!$A$2:$A$78,0)),
"")</f>
        <v>3</v>
      </c>
      <c r="K318" s="58" t="str">
        <f>_xlfn.IFNA(
INDEX(CA!E$2:E$78,MATCH($E318,CA!$A$2:$A$78,0)),
"")</f>
        <v>WEST</v>
      </c>
      <c r="L318" s="15" t="e">
        <v>#VALUE!</v>
      </c>
      <c r="M318" s="15" t="e">
        <v>#VALUE!</v>
      </c>
      <c r="N318" s="15" t="e">
        <v>#VALUE!</v>
      </c>
      <c r="O318" s="15" t="e">
        <v>#VALUE!</v>
      </c>
      <c r="P318" s="15" t="e">
        <v>#VALUE!</v>
      </c>
      <c r="Q318" s="15" t="e">
        <v>#VALUE!</v>
      </c>
      <c r="R318" s="15" t="e">
        <v>#VALUE!</v>
      </c>
      <c r="S318" s="15" t="e">
        <v>#VALUE!</v>
      </c>
      <c r="T318" s="129">
        <v>0.14228897568772525</v>
      </c>
      <c r="U318" s="130" t="e">
        <f t="shared" si="19"/>
        <v>#VALUE!</v>
      </c>
      <c r="V318" s="129">
        <v>0.14228897568772525</v>
      </c>
      <c r="W318" s="130" t="e">
        <f t="shared" si="16"/>
        <v>#VALUE!</v>
      </c>
      <c r="X318" s="129">
        <v>0.14228897568772525</v>
      </c>
      <c r="Y318" s="130" t="e">
        <f t="shared" si="17"/>
        <v>#VALUE!</v>
      </c>
      <c r="Z318" s="129">
        <v>0.14228897568772525</v>
      </c>
      <c r="AA318" s="130" t="e">
        <f t="shared" si="18"/>
        <v>#VALUE!</v>
      </c>
    </row>
    <row r="319" spans="1:27" x14ac:dyDescent="0.3">
      <c r="A319">
        <v>836900</v>
      </c>
      <c r="B319">
        <v>17031836900</v>
      </c>
      <c r="C319">
        <v>17031</v>
      </c>
      <c r="D319">
        <v>2010</v>
      </c>
      <c r="E319">
        <v>27</v>
      </c>
      <c r="F319">
        <v>1773167.6360345699</v>
      </c>
      <c r="G319" s="43">
        <v>6.3603637082277675E-2</v>
      </c>
      <c r="H319" s="58" t="str">
        <f>_xlfn.IFNA(
INDEX(CA!B$2:B$78,MATCH($E319,CA!$A$2:$A$78,0)),
"")</f>
        <v>EAST GARFIELD PARK</v>
      </c>
      <c r="I319" s="60" t="str">
        <f>_xlfn.IFNA(
INDEX(CA!C$2:C$78,MATCH($E319,CA!$A$2:$A$78,0)),
"")</f>
        <v>3-A</v>
      </c>
      <c r="J319" s="60">
        <f>_xlfn.IFNA(
INDEX(CA!D$2:D$78,MATCH($E319,CA!$A$2:$A$78,0)),
"")</f>
        <v>3</v>
      </c>
      <c r="K319" s="58" t="str">
        <f>_xlfn.IFNA(
INDEX(CA!E$2:E$78,MATCH($E319,CA!$A$2:$A$78,0)),
"")</f>
        <v>WEST</v>
      </c>
      <c r="L319" s="15" t="e">
        <v>#VALUE!</v>
      </c>
      <c r="M319" s="15" t="e">
        <v>#VALUE!</v>
      </c>
      <c r="N319" s="15" t="e">
        <v>#VALUE!</v>
      </c>
      <c r="O319" s="15" t="e">
        <v>#VALUE!</v>
      </c>
      <c r="P319" s="15" t="e">
        <v>#VALUE!</v>
      </c>
      <c r="Q319" s="15" t="e">
        <v>#VALUE!</v>
      </c>
      <c r="R319" s="15" t="e">
        <v>#VALUE!</v>
      </c>
      <c r="S319" s="15" t="e">
        <v>#VALUE!</v>
      </c>
      <c r="T319" s="129">
        <v>6.3603638022015255E-2</v>
      </c>
      <c r="U319" s="130" t="e">
        <f t="shared" si="19"/>
        <v>#VALUE!</v>
      </c>
      <c r="V319" s="129">
        <v>6.3603638022015255E-2</v>
      </c>
      <c r="W319" s="130" t="e">
        <f t="shared" si="16"/>
        <v>#VALUE!</v>
      </c>
      <c r="X319" s="129">
        <v>6.3603638022015255E-2</v>
      </c>
      <c r="Y319" s="130" t="e">
        <f t="shared" si="17"/>
        <v>#VALUE!</v>
      </c>
      <c r="Z319" s="129">
        <v>6.3603638022015255E-2</v>
      </c>
      <c r="AA319" s="130" t="e">
        <f t="shared" si="18"/>
        <v>#VALUE!</v>
      </c>
    </row>
    <row r="320" spans="1:27" x14ac:dyDescent="0.3">
      <c r="A320">
        <v>837400</v>
      </c>
      <c r="B320">
        <v>17031837400</v>
      </c>
      <c r="C320">
        <v>17031</v>
      </c>
      <c r="D320">
        <v>2010</v>
      </c>
      <c r="E320">
        <v>27</v>
      </c>
      <c r="F320">
        <v>6385200.3433295097</v>
      </c>
      <c r="G320" s="43">
        <v>0.2290375467505133</v>
      </c>
      <c r="H320" s="58" t="str">
        <f>_xlfn.IFNA(
INDEX(CA!B$2:B$78,MATCH($E320,CA!$A$2:$A$78,0)),
"")</f>
        <v>EAST GARFIELD PARK</v>
      </c>
      <c r="I320" s="60" t="str">
        <f>_xlfn.IFNA(
INDEX(CA!C$2:C$78,MATCH($E320,CA!$A$2:$A$78,0)),
"")</f>
        <v>3-A</v>
      </c>
      <c r="J320" s="60">
        <f>_xlfn.IFNA(
INDEX(CA!D$2:D$78,MATCH($E320,CA!$A$2:$A$78,0)),
"")</f>
        <v>3</v>
      </c>
      <c r="K320" s="58" t="str">
        <f>_xlfn.IFNA(
INDEX(CA!E$2:E$78,MATCH($E320,CA!$A$2:$A$78,0)),
"")</f>
        <v>WEST</v>
      </c>
      <c r="L320" s="15" t="e">
        <v>#VALUE!</v>
      </c>
      <c r="M320" s="15" t="e">
        <v>#VALUE!</v>
      </c>
      <c r="N320" s="15" t="e">
        <v>#VALUE!</v>
      </c>
      <c r="O320" s="15" t="e">
        <v>#VALUE!</v>
      </c>
      <c r="P320" s="15" t="e">
        <v>#VALUE!</v>
      </c>
      <c r="Q320" s="15" t="e">
        <v>#VALUE!</v>
      </c>
      <c r="R320" s="15" t="e">
        <v>#VALUE!</v>
      </c>
      <c r="S320" s="15" t="e">
        <v>#VALUE!</v>
      </c>
      <c r="T320" s="129">
        <v>0.22903754474889915</v>
      </c>
      <c r="U320" s="130" t="e">
        <f t="shared" si="19"/>
        <v>#VALUE!</v>
      </c>
      <c r="V320" s="129">
        <v>0.22903754474889915</v>
      </c>
      <c r="W320" s="130" t="e">
        <f t="shared" si="16"/>
        <v>#VALUE!</v>
      </c>
      <c r="X320" s="129">
        <v>0.22903754474889915</v>
      </c>
      <c r="Y320" s="130" t="e">
        <f t="shared" si="17"/>
        <v>#VALUE!</v>
      </c>
      <c r="Z320" s="129">
        <v>0.22903754474889915</v>
      </c>
      <c r="AA320" s="130" t="e">
        <f t="shared" si="18"/>
        <v>#VALUE!</v>
      </c>
    </row>
    <row r="321" spans="1:27" x14ac:dyDescent="0.3">
      <c r="A321">
        <v>270500</v>
      </c>
      <c r="B321">
        <v>17031270500</v>
      </c>
      <c r="C321">
        <v>17031</v>
      </c>
      <c r="D321">
        <v>2010</v>
      </c>
      <c r="E321">
        <v>27</v>
      </c>
      <c r="F321">
        <v>6013218.99074395</v>
      </c>
      <c r="G321" s="43">
        <v>0.21569455172262217</v>
      </c>
      <c r="H321" s="58" t="str">
        <f>_xlfn.IFNA(
INDEX(CA!B$2:B$78,MATCH($E321,CA!$A$2:$A$78,0)),
"")</f>
        <v>EAST GARFIELD PARK</v>
      </c>
      <c r="I321" s="60" t="str">
        <f>_xlfn.IFNA(
INDEX(CA!C$2:C$78,MATCH($E321,CA!$A$2:$A$78,0)),
"")</f>
        <v>3-A</v>
      </c>
      <c r="J321" s="60">
        <f>_xlfn.IFNA(
INDEX(CA!D$2:D$78,MATCH($E321,CA!$A$2:$A$78,0)),
"")</f>
        <v>3</v>
      </c>
      <c r="K321" s="58" t="str">
        <f>_xlfn.IFNA(
INDEX(CA!E$2:E$78,MATCH($E321,CA!$A$2:$A$78,0)),
"")</f>
        <v>WEST</v>
      </c>
      <c r="L321" s="15" t="e">
        <v>#VALUE!</v>
      </c>
      <c r="M321" s="15" t="e">
        <v>#VALUE!</v>
      </c>
      <c r="N321" s="15" t="e">
        <v>#VALUE!</v>
      </c>
      <c r="O321" s="15" t="e">
        <v>#VALUE!</v>
      </c>
      <c r="P321" s="15" t="e">
        <v>#VALUE!</v>
      </c>
      <c r="Q321" s="15" t="e">
        <v>#VALUE!</v>
      </c>
      <c r="R321" s="15" t="e">
        <v>#VALUE!</v>
      </c>
      <c r="S321" s="15" t="e">
        <v>#VALUE!</v>
      </c>
      <c r="T321" s="129">
        <v>0.21569454605892771</v>
      </c>
      <c r="U321" s="130" t="e">
        <f t="shared" si="19"/>
        <v>#VALUE!</v>
      </c>
      <c r="V321" s="129">
        <v>0.21569454605892771</v>
      </c>
      <c r="W321" s="130" t="e">
        <f t="shared" si="16"/>
        <v>#VALUE!</v>
      </c>
      <c r="X321" s="129">
        <v>0.21569454605892771</v>
      </c>
      <c r="Y321" s="130" t="e">
        <f t="shared" si="17"/>
        <v>#VALUE!</v>
      </c>
      <c r="Z321" s="129">
        <v>0.21569454605892771</v>
      </c>
      <c r="AA321" s="130" t="e">
        <f t="shared" si="18"/>
        <v>#VALUE!</v>
      </c>
    </row>
    <row r="322" spans="1:27" x14ac:dyDescent="0.3">
      <c r="A322">
        <v>271200</v>
      </c>
      <c r="B322">
        <v>17031271200</v>
      </c>
      <c r="C322">
        <v>17031</v>
      </c>
      <c r="D322">
        <v>2010</v>
      </c>
      <c r="E322">
        <v>27</v>
      </c>
      <c r="F322">
        <v>3549996.5874554301</v>
      </c>
      <c r="G322" s="43">
        <v>0.12733860578280784</v>
      </c>
      <c r="H322" s="58" t="str">
        <f>_xlfn.IFNA(
INDEX(CA!B$2:B$78,MATCH($E322,CA!$A$2:$A$78,0)),
"")</f>
        <v>EAST GARFIELD PARK</v>
      </c>
      <c r="I322" s="60" t="str">
        <f>_xlfn.IFNA(
INDEX(CA!C$2:C$78,MATCH($E322,CA!$A$2:$A$78,0)),
"")</f>
        <v>3-A</v>
      </c>
      <c r="J322" s="60">
        <f>_xlfn.IFNA(
INDEX(CA!D$2:D$78,MATCH($E322,CA!$A$2:$A$78,0)),
"")</f>
        <v>3</v>
      </c>
      <c r="K322" s="58" t="str">
        <f>_xlfn.IFNA(
INDEX(CA!E$2:E$78,MATCH($E322,CA!$A$2:$A$78,0)),
"")</f>
        <v>WEST</v>
      </c>
      <c r="L322" s="15" t="e">
        <v>#VALUE!</v>
      </c>
      <c r="M322" s="15" t="e">
        <v>#VALUE!</v>
      </c>
      <c r="N322" s="15" t="e">
        <v>#VALUE!</v>
      </c>
      <c r="O322" s="15" t="e">
        <v>#VALUE!</v>
      </c>
      <c r="P322" s="15" t="e">
        <v>#VALUE!</v>
      </c>
      <c r="Q322" s="15" t="e">
        <v>#VALUE!</v>
      </c>
      <c r="R322" s="15" t="e">
        <v>#VALUE!</v>
      </c>
      <c r="S322" s="15" t="e">
        <v>#VALUE!</v>
      </c>
      <c r="T322" s="129">
        <v>0.12733860794513638</v>
      </c>
      <c r="U322" s="130" t="e">
        <f t="shared" si="19"/>
        <v>#VALUE!</v>
      </c>
      <c r="V322" s="129">
        <v>0.12733860794513638</v>
      </c>
      <c r="W322" s="130" t="e">
        <f t="shared" si="16"/>
        <v>#VALUE!</v>
      </c>
      <c r="X322" s="129">
        <v>0.12733860794513638</v>
      </c>
      <c r="Y322" s="130" t="e">
        <f t="shared" si="17"/>
        <v>#VALUE!</v>
      </c>
      <c r="Z322" s="129">
        <v>0.12733860794513638</v>
      </c>
      <c r="AA322" s="130" t="e">
        <f t="shared" si="18"/>
        <v>#VALUE!</v>
      </c>
    </row>
    <row r="323" spans="1:27" x14ac:dyDescent="0.3">
      <c r="A323">
        <v>271500</v>
      </c>
      <c r="B323">
        <v>17031271500</v>
      </c>
      <c r="C323">
        <v>17031</v>
      </c>
      <c r="D323">
        <v>2010</v>
      </c>
      <c r="E323">
        <v>27</v>
      </c>
      <c r="F323">
        <v>1752954.7099580199</v>
      </c>
      <c r="G323" s="43">
        <v>6.2878598124642013E-2</v>
      </c>
      <c r="H323" s="58" t="str">
        <f>_xlfn.IFNA(
INDEX(CA!B$2:B$78,MATCH($E323,CA!$A$2:$A$78,0)),
"")</f>
        <v>EAST GARFIELD PARK</v>
      </c>
      <c r="I323" s="60" t="str">
        <f>_xlfn.IFNA(
INDEX(CA!C$2:C$78,MATCH($E323,CA!$A$2:$A$78,0)),
"")</f>
        <v>3-A</v>
      </c>
      <c r="J323" s="60">
        <f>_xlfn.IFNA(
INDEX(CA!D$2:D$78,MATCH($E323,CA!$A$2:$A$78,0)),
"")</f>
        <v>3</v>
      </c>
      <c r="K323" s="58" t="str">
        <f>_xlfn.IFNA(
INDEX(CA!E$2:E$78,MATCH($E323,CA!$A$2:$A$78,0)),
"")</f>
        <v>WEST</v>
      </c>
      <c r="L323" s="15" t="e">
        <v>#VALUE!</v>
      </c>
      <c r="M323" s="15" t="e">
        <v>#VALUE!</v>
      </c>
      <c r="N323" s="15" t="e">
        <v>#VALUE!</v>
      </c>
      <c r="O323" s="15" t="e">
        <v>#VALUE!</v>
      </c>
      <c r="P323" s="15" t="e">
        <v>#VALUE!</v>
      </c>
      <c r="Q323" s="15" t="e">
        <v>#VALUE!</v>
      </c>
      <c r="R323" s="15" t="e">
        <v>#VALUE!</v>
      </c>
      <c r="S323" s="15" t="e">
        <v>#VALUE!</v>
      </c>
      <c r="T323" s="129">
        <v>6.2878597280357551E-2</v>
      </c>
      <c r="U323" s="130" t="e">
        <f t="shared" si="19"/>
        <v>#VALUE!</v>
      </c>
      <c r="V323" s="129">
        <v>6.2878597280357551E-2</v>
      </c>
      <c r="W323" s="130" t="e">
        <f t="shared" si="16"/>
        <v>#VALUE!</v>
      </c>
      <c r="X323" s="129">
        <v>6.2878597280357551E-2</v>
      </c>
      <c r="Y323" s="130" t="e">
        <f t="shared" si="17"/>
        <v>#VALUE!</v>
      </c>
      <c r="Z323" s="129">
        <v>6.2878597280357551E-2</v>
      </c>
      <c r="AA323" s="130" t="e">
        <f t="shared" si="18"/>
        <v>#VALUE!</v>
      </c>
    </row>
    <row r="324" spans="1:27" x14ac:dyDescent="0.3">
      <c r="A324">
        <v>271400</v>
      </c>
      <c r="B324">
        <v>17031271400</v>
      </c>
      <c r="C324">
        <v>17031</v>
      </c>
      <c r="D324">
        <v>2010</v>
      </c>
      <c r="E324">
        <v>27</v>
      </c>
      <c r="F324">
        <v>3534613.2346790298</v>
      </c>
      <c r="G324" s="43">
        <v>0.12678680392988945</v>
      </c>
      <c r="H324" s="58" t="str">
        <f>_xlfn.IFNA(
INDEX(CA!B$2:B$78,MATCH($E324,CA!$A$2:$A$78,0)),
"")</f>
        <v>EAST GARFIELD PARK</v>
      </c>
      <c r="I324" s="60" t="str">
        <f>_xlfn.IFNA(
INDEX(CA!C$2:C$78,MATCH($E324,CA!$A$2:$A$78,0)),
"")</f>
        <v>3-A</v>
      </c>
      <c r="J324" s="60">
        <f>_xlfn.IFNA(
INDEX(CA!D$2:D$78,MATCH($E324,CA!$A$2:$A$78,0)),
"")</f>
        <v>3</v>
      </c>
      <c r="K324" s="58" t="str">
        <f>_xlfn.IFNA(
INDEX(CA!E$2:E$78,MATCH($E324,CA!$A$2:$A$78,0)),
"")</f>
        <v>WEST</v>
      </c>
      <c r="L324" s="15" t="e">
        <v>#VALUE!</v>
      </c>
      <c r="M324" s="15" t="e">
        <v>#VALUE!</v>
      </c>
      <c r="N324" s="15" t="e">
        <v>#VALUE!</v>
      </c>
      <c r="O324" s="15" t="e">
        <v>#VALUE!</v>
      </c>
      <c r="P324" s="15" t="e">
        <v>#VALUE!</v>
      </c>
      <c r="Q324" s="15" t="e">
        <v>#VALUE!</v>
      </c>
      <c r="R324" s="15" t="e">
        <v>#VALUE!</v>
      </c>
      <c r="S324" s="15" t="e">
        <v>#VALUE!</v>
      </c>
      <c r="T324" s="129">
        <v>0.12678680287461547</v>
      </c>
      <c r="U324" s="130" t="e">
        <f t="shared" si="19"/>
        <v>#VALUE!</v>
      </c>
      <c r="V324" s="129">
        <v>0.12678680287461547</v>
      </c>
      <c r="W324" s="130" t="e">
        <f t="shared" si="16"/>
        <v>#VALUE!</v>
      </c>
      <c r="X324" s="129">
        <v>0.12678680287461547</v>
      </c>
      <c r="Y324" s="130" t="e">
        <f t="shared" si="17"/>
        <v>#VALUE!</v>
      </c>
      <c r="Z324" s="129">
        <v>0.12678680287461547</v>
      </c>
      <c r="AA324" s="130" t="e">
        <f t="shared" si="18"/>
        <v>#VALUE!</v>
      </c>
    </row>
    <row r="325" spans="1:27" x14ac:dyDescent="0.3">
      <c r="A325">
        <v>842900</v>
      </c>
      <c r="B325">
        <v>17031842900</v>
      </c>
      <c r="C325">
        <v>17031</v>
      </c>
      <c r="D325">
        <v>2010</v>
      </c>
      <c r="E325">
        <v>28</v>
      </c>
      <c r="F325">
        <v>23735248.851977799</v>
      </c>
      <c r="G325" s="43">
        <v>0.85138490200218808</v>
      </c>
      <c r="H325" s="58" t="str">
        <f>_xlfn.IFNA(
INDEX(CA!B$2:B$78,MATCH($E325,CA!$A$2:$A$78,0)),
"")</f>
        <v>NEAR WEST SIDE</v>
      </c>
      <c r="I325" s="60" t="str">
        <f>_xlfn.IFNA(
INDEX(CA!C$2:C$78,MATCH($E325,CA!$A$2:$A$78,0)),
"")</f>
        <v>3-B</v>
      </c>
      <c r="J325" s="60">
        <f>_xlfn.IFNA(
INDEX(CA!D$2:D$78,MATCH($E325,CA!$A$2:$A$78,0)),
"")</f>
        <v>7</v>
      </c>
      <c r="K325" s="58" t="str">
        <f>_xlfn.IFNA(
INDEX(CA!E$2:E$78,MATCH($E325,CA!$A$2:$A$78,0)),
"")</f>
        <v>CENTRAL</v>
      </c>
      <c r="L325" s="15" t="e">
        <v>#VALUE!</v>
      </c>
      <c r="M325" s="15" t="e">
        <v>#VALUE!</v>
      </c>
      <c r="N325" s="15" t="e">
        <v>#VALUE!</v>
      </c>
      <c r="O325" s="15" t="e">
        <v>#VALUE!</v>
      </c>
      <c r="P325" s="15" t="e">
        <v>#VALUE!</v>
      </c>
      <c r="Q325" s="15" t="e">
        <v>#VALUE!</v>
      </c>
      <c r="R325" s="15" t="e">
        <v>#VALUE!</v>
      </c>
      <c r="S325" s="15" t="e">
        <v>#VALUE!</v>
      </c>
      <c r="T325" s="129">
        <v>0.85138488593880213</v>
      </c>
      <c r="U325" s="130" t="e">
        <f t="shared" si="19"/>
        <v>#VALUE!</v>
      </c>
      <c r="V325" s="129">
        <v>0.85138488593880213</v>
      </c>
      <c r="W325" s="130" t="e">
        <f t="shared" si="16"/>
        <v>#VALUE!</v>
      </c>
      <c r="X325" s="129">
        <v>0.85138488593880213</v>
      </c>
      <c r="Y325" s="130" t="e">
        <f t="shared" si="17"/>
        <v>#VALUE!</v>
      </c>
      <c r="Z325" s="129">
        <v>0.85138488593880213</v>
      </c>
      <c r="AA325" s="130" t="e">
        <f t="shared" si="18"/>
        <v>#VALUE!</v>
      </c>
    </row>
    <row r="326" spans="1:27" x14ac:dyDescent="0.3">
      <c r="A326">
        <v>283200</v>
      </c>
      <c r="B326">
        <v>17031283200</v>
      </c>
      <c r="C326">
        <v>17031</v>
      </c>
      <c r="D326">
        <v>2010</v>
      </c>
      <c r="E326">
        <v>28</v>
      </c>
      <c r="F326">
        <v>2550523.53289739</v>
      </c>
      <c r="G326" s="43">
        <v>9.1487443070527363E-2</v>
      </c>
      <c r="H326" s="58" t="str">
        <f>_xlfn.IFNA(
INDEX(CA!B$2:B$78,MATCH($E326,CA!$A$2:$A$78,0)),
"")</f>
        <v>NEAR WEST SIDE</v>
      </c>
      <c r="I326" s="60" t="str">
        <f>_xlfn.IFNA(
INDEX(CA!C$2:C$78,MATCH($E326,CA!$A$2:$A$78,0)),
"")</f>
        <v>3-B</v>
      </c>
      <c r="J326" s="60">
        <f>_xlfn.IFNA(
INDEX(CA!D$2:D$78,MATCH($E326,CA!$A$2:$A$78,0)),
"")</f>
        <v>7</v>
      </c>
      <c r="K326" s="58" t="str">
        <f>_xlfn.IFNA(
INDEX(CA!E$2:E$78,MATCH($E326,CA!$A$2:$A$78,0)),
"")</f>
        <v>CENTRAL</v>
      </c>
      <c r="L326" s="15" t="e">
        <v>#VALUE!</v>
      </c>
      <c r="M326" s="15" t="e">
        <v>#VALUE!</v>
      </c>
      <c r="N326" s="15" t="e">
        <v>#VALUE!</v>
      </c>
      <c r="O326" s="15" t="e">
        <v>#VALUE!</v>
      </c>
      <c r="P326" s="15" t="e">
        <v>#VALUE!</v>
      </c>
      <c r="Q326" s="15" t="e">
        <v>#VALUE!</v>
      </c>
      <c r="R326" s="15" t="e">
        <v>#VALUE!</v>
      </c>
      <c r="S326" s="15" t="e">
        <v>#VALUE!</v>
      </c>
      <c r="T326" s="129">
        <v>9.1487443412509681E-2</v>
      </c>
      <c r="U326" s="130" t="e">
        <f t="shared" si="19"/>
        <v>#VALUE!</v>
      </c>
      <c r="V326" s="129">
        <v>9.1487443412509681E-2</v>
      </c>
      <c r="W326" s="130" t="e">
        <f t="shared" ref="W326:W389" si="20">(V326/$G326)*$L326</f>
        <v>#VALUE!</v>
      </c>
      <c r="X326" s="129">
        <v>9.1487443412509681E-2</v>
      </c>
      <c r="Y326" s="130" t="e">
        <f t="shared" ref="Y326:Y389" si="21">(X326/$G326)*$L326</f>
        <v>#VALUE!</v>
      </c>
      <c r="Z326" s="129">
        <v>9.1487443412509681E-2</v>
      </c>
      <c r="AA326" s="130" t="e">
        <f t="shared" ref="AA326:AA389" si="22">(Z326/$G326)*$L326</f>
        <v>#VALUE!</v>
      </c>
    </row>
    <row r="327" spans="1:27" x14ac:dyDescent="0.3">
      <c r="A327">
        <v>841900</v>
      </c>
      <c r="B327">
        <v>17031841900</v>
      </c>
      <c r="C327">
        <v>17031</v>
      </c>
      <c r="D327">
        <v>2010</v>
      </c>
      <c r="E327">
        <v>28</v>
      </c>
      <c r="F327">
        <v>27591101.3132619</v>
      </c>
      <c r="G327" s="43">
        <v>0.98969457763938751</v>
      </c>
      <c r="H327" s="58" t="str">
        <f>_xlfn.IFNA(
INDEX(CA!B$2:B$78,MATCH($E327,CA!$A$2:$A$78,0)),
"")</f>
        <v>NEAR WEST SIDE</v>
      </c>
      <c r="I327" s="60" t="str">
        <f>_xlfn.IFNA(
INDEX(CA!C$2:C$78,MATCH($E327,CA!$A$2:$A$78,0)),
"")</f>
        <v>3-B</v>
      </c>
      <c r="J327" s="60">
        <f>_xlfn.IFNA(
INDEX(CA!D$2:D$78,MATCH($E327,CA!$A$2:$A$78,0)),
"")</f>
        <v>7</v>
      </c>
      <c r="K327" s="58" t="str">
        <f>_xlfn.IFNA(
INDEX(CA!E$2:E$78,MATCH($E327,CA!$A$2:$A$78,0)),
"")</f>
        <v>CENTRAL</v>
      </c>
      <c r="L327" s="15" t="e">
        <v>#VALUE!</v>
      </c>
      <c r="M327" s="15" t="e">
        <v>#VALUE!</v>
      </c>
      <c r="N327" s="15" t="e">
        <v>#VALUE!</v>
      </c>
      <c r="O327" s="15" t="e">
        <v>#VALUE!</v>
      </c>
      <c r="P327" s="15" t="e">
        <v>#VALUE!</v>
      </c>
      <c r="Q327" s="15" t="e">
        <v>#VALUE!</v>
      </c>
      <c r="R327" s="15" t="e">
        <v>#VALUE!</v>
      </c>
      <c r="S327" s="15" t="e">
        <v>#VALUE!</v>
      </c>
      <c r="T327" s="129">
        <v>0.98969457384247306</v>
      </c>
      <c r="U327" s="130" t="e">
        <f t="shared" ref="U327:U390" si="23">(T327/$G327)*$L327</f>
        <v>#VALUE!</v>
      </c>
      <c r="V327" s="129">
        <v>0.98969457384247306</v>
      </c>
      <c r="W327" s="130" t="e">
        <f t="shared" si="20"/>
        <v>#VALUE!</v>
      </c>
      <c r="X327" s="129">
        <v>0.98969457384247306</v>
      </c>
      <c r="Y327" s="130" t="e">
        <f t="shared" si="21"/>
        <v>#VALUE!</v>
      </c>
      <c r="Z327" s="129">
        <v>0.98969457384247306</v>
      </c>
      <c r="AA327" s="130" t="e">
        <f t="shared" si="22"/>
        <v>#VALUE!</v>
      </c>
    </row>
    <row r="328" spans="1:27" x14ac:dyDescent="0.3">
      <c r="A328">
        <v>280100</v>
      </c>
      <c r="B328">
        <v>17031280100</v>
      </c>
      <c r="C328">
        <v>17031</v>
      </c>
      <c r="D328">
        <v>2010</v>
      </c>
      <c r="E328">
        <v>28</v>
      </c>
      <c r="F328">
        <v>6410129.7257524999</v>
      </c>
      <c r="G328" s="43">
        <v>0.22993176530046558</v>
      </c>
      <c r="H328" s="58" t="str">
        <f>_xlfn.IFNA(
INDEX(CA!B$2:B$78,MATCH($E328,CA!$A$2:$A$78,0)),
"")</f>
        <v>NEAR WEST SIDE</v>
      </c>
      <c r="I328" s="60" t="str">
        <f>_xlfn.IFNA(
INDEX(CA!C$2:C$78,MATCH($E328,CA!$A$2:$A$78,0)),
"")</f>
        <v>3-B</v>
      </c>
      <c r="J328" s="60">
        <f>_xlfn.IFNA(
INDEX(CA!D$2:D$78,MATCH($E328,CA!$A$2:$A$78,0)),
"")</f>
        <v>7</v>
      </c>
      <c r="K328" s="58" t="str">
        <f>_xlfn.IFNA(
INDEX(CA!E$2:E$78,MATCH($E328,CA!$A$2:$A$78,0)),
"")</f>
        <v>CENTRAL</v>
      </c>
      <c r="L328" s="15" t="e">
        <v>#VALUE!</v>
      </c>
      <c r="M328" s="15" t="e">
        <v>#VALUE!</v>
      </c>
      <c r="N328" s="15" t="e">
        <v>#VALUE!</v>
      </c>
      <c r="O328" s="15" t="e">
        <v>#VALUE!</v>
      </c>
      <c r="P328" s="15" t="e">
        <v>#VALUE!</v>
      </c>
      <c r="Q328" s="15" t="e">
        <v>#VALUE!</v>
      </c>
      <c r="R328" s="15" t="e">
        <v>#VALUE!</v>
      </c>
      <c r="S328" s="15" t="e">
        <v>#VALUE!</v>
      </c>
      <c r="T328" s="129">
        <v>0.22993176571486706</v>
      </c>
      <c r="U328" s="130" t="e">
        <f t="shared" si="23"/>
        <v>#VALUE!</v>
      </c>
      <c r="V328" s="129">
        <v>0.22993176571486706</v>
      </c>
      <c r="W328" s="130" t="e">
        <f t="shared" si="20"/>
        <v>#VALUE!</v>
      </c>
      <c r="X328" s="129">
        <v>0.22993176571486706</v>
      </c>
      <c r="Y328" s="130" t="e">
        <f t="shared" si="21"/>
        <v>#VALUE!</v>
      </c>
      <c r="Z328" s="129">
        <v>0.22993176571486706</v>
      </c>
      <c r="AA328" s="130" t="e">
        <f t="shared" si="22"/>
        <v>#VALUE!</v>
      </c>
    </row>
    <row r="329" spans="1:27" x14ac:dyDescent="0.3">
      <c r="A329">
        <v>837800</v>
      </c>
      <c r="B329">
        <v>17031837800</v>
      </c>
      <c r="C329">
        <v>17031</v>
      </c>
      <c r="D329">
        <v>2010</v>
      </c>
      <c r="E329">
        <v>28</v>
      </c>
      <c r="F329">
        <v>10814517.467966899</v>
      </c>
      <c r="G329" s="43">
        <v>0.38791743672401929</v>
      </c>
      <c r="H329" s="58" t="str">
        <f>_xlfn.IFNA(
INDEX(CA!B$2:B$78,MATCH($E329,CA!$A$2:$A$78,0)),
"")</f>
        <v>NEAR WEST SIDE</v>
      </c>
      <c r="I329" s="60" t="str">
        <f>_xlfn.IFNA(
INDEX(CA!C$2:C$78,MATCH($E329,CA!$A$2:$A$78,0)),
"")</f>
        <v>3-B</v>
      </c>
      <c r="J329" s="60">
        <f>_xlfn.IFNA(
INDEX(CA!D$2:D$78,MATCH($E329,CA!$A$2:$A$78,0)),
"")</f>
        <v>7</v>
      </c>
      <c r="K329" s="58" t="str">
        <f>_xlfn.IFNA(
INDEX(CA!E$2:E$78,MATCH($E329,CA!$A$2:$A$78,0)),
"")</f>
        <v>CENTRAL</v>
      </c>
      <c r="L329" s="15" t="e">
        <v>#VALUE!</v>
      </c>
      <c r="M329" s="15" t="e">
        <v>#VALUE!</v>
      </c>
      <c r="N329" s="15" t="e">
        <v>#VALUE!</v>
      </c>
      <c r="O329" s="15" t="e">
        <v>#VALUE!</v>
      </c>
      <c r="P329" s="15" t="e">
        <v>#VALUE!</v>
      </c>
      <c r="Q329" s="15" t="e">
        <v>#VALUE!</v>
      </c>
      <c r="R329" s="15" t="e">
        <v>#VALUE!</v>
      </c>
      <c r="S329" s="15" t="e">
        <v>#VALUE!</v>
      </c>
      <c r="T329" s="129">
        <v>0.38791743436189308</v>
      </c>
      <c r="U329" s="130" t="e">
        <f t="shared" si="23"/>
        <v>#VALUE!</v>
      </c>
      <c r="V329" s="129">
        <v>0.38791743436189308</v>
      </c>
      <c r="W329" s="130" t="e">
        <f t="shared" si="20"/>
        <v>#VALUE!</v>
      </c>
      <c r="X329" s="129">
        <v>0.38791743436189308</v>
      </c>
      <c r="Y329" s="130" t="e">
        <f t="shared" si="21"/>
        <v>#VALUE!</v>
      </c>
      <c r="Z329" s="129">
        <v>0.38791743436189308</v>
      </c>
      <c r="AA329" s="130" t="e">
        <f t="shared" si="22"/>
        <v>#VALUE!</v>
      </c>
    </row>
    <row r="330" spans="1:27" x14ac:dyDescent="0.3">
      <c r="A330">
        <v>833100</v>
      </c>
      <c r="B330">
        <v>17031833100</v>
      </c>
      <c r="C330">
        <v>17031</v>
      </c>
      <c r="D330">
        <v>2010</v>
      </c>
      <c r="E330">
        <v>28</v>
      </c>
      <c r="F330">
        <v>9847152.9865306001</v>
      </c>
      <c r="G330" s="43">
        <v>0.35321801059352759</v>
      </c>
      <c r="H330" s="58" t="str">
        <f>_xlfn.IFNA(
INDEX(CA!B$2:B$78,MATCH($E330,CA!$A$2:$A$78,0)),
"")</f>
        <v>NEAR WEST SIDE</v>
      </c>
      <c r="I330" s="60" t="str">
        <f>_xlfn.IFNA(
INDEX(CA!C$2:C$78,MATCH($E330,CA!$A$2:$A$78,0)),
"")</f>
        <v>3-B</v>
      </c>
      <c r="J330" s="60">
        <f>_xlfn.IFNA(
INDEX(CA!D$2:D$78,MATCH($E330,CA!$A$2:$A$78,0)),
"")</f>
        <v>7</v>
      </c>
      <c r="K330" s="58" t="str">
        <f>_xlfn.IFNA(
INDEX(CA!E$2:E$78,MATCH($E330,CA!$A$2:$A$78,0)),
"")</f>
        <v>CENTRAL</v>
      </c>
      <c r="L330" s="15" t="e">
        <v>#VALUE!</v>
      </c>
      <c r="M330" s="15" t="e">
        <v>#VALUE!</v>
      </c>
      <c r="N330" s="15" t="e">
        <v>#VALUE!</v>
      </c>
      <c r="O330" s="15" t="e">
        <v>#VALUE!</v>
      </c>
      <c r="P330" s="15" t="e">
        <v>#VALUE!</v>
      </c>
      <c r="Q330" s="15" t="e">
        <v>#VALUE!</v>
      </c>
      <c r="R330" s="15" t="e">
        <v>#VALUE!</v>
      </c>
      <c r="S330" s="15" t="e">
        <v>#VALUE!</v>
      </c>
      <c r="T330" s="129">
        <v>0.35321800437779566</v>
      </c>
      <c r="U330" s="130" t="e">
        <f t="shared" si="23"/>
        <v>#VALUE!</v>
      </c>
      <c r="V330" s="129">
        <v>0.35321800437779566</v>
      </c>
      <c r="W330" s="130" t="e">
        <f t="shared" si="20"/>
        <v>#VALUE!</v>
      </c>
      <c r="X330" s="129">
        <v>0.35321800437779566</v>
      </c>
      <c r="Y330" s="130" t="e">
        <f t="shared" si="21"/>
        <v>#VALUE!</v>
      </c>
      <c r="Z330" s="129">
        <v>0.35321800437779566</v>
      </c>
      <c r="AA330" s="130" t="e">
        <f t="shared" si="22"/>
        <v>#VALUE!</v>
      </c>
    </row>
    <row r="331" spans="1:27" x14ac:dyDescent="0.3">
      <c r="A331">
        <v>281900</v>
      </c>
      <c r="B331">
        <v>17031281900</v>
      </c>
      <c r="C331">
        <v>17031</v>
      </c>
      <c r="D331">
        <v>2010</v>
      </c>
      <c r="E331">
        <v>28</v>
      </c>
      <c r="F331">
        <v>4693398.3155723102</v>
      </c>
      <c r="G331" s="43">
        <v>0.16835249926725745</v>
      </c>
      <c r="H331" s="58" t="str">
        <f>_xlfn.IFNA(
INDEX(CA!B$2:B$78,MATCH($E331,CA!$A$2:$A$78,0)),
"")</f>
        <v>NEAR WEST SIDE</v>
      </c>
      <c r="I331" s="60" t="str">
        <f>_xlfn.IFNA(
INDEX(CA!C$2:C$78,MATCH($E331,CA!$A$2:$A$78,0)),
"")</f>
        <v>3-B</v>
      </c>
      <c r="J331" s="60">
        <f>_xlfn.IFNA(
INDEX(CA!D$2:D$78,MATCH($E331,CA!$A$2:$A$78,0)),
"")</f>
        <v>7</v>
      </c>
      <c r="K331" s="58" t="str">
        <f>_xlfn.IFNA(
INDEX(CA!E$2:E$78,MATCH($E331,CA!$A$2:$A$78,0)),
"")</f>
        <v>CENTRAL</v>
      </c>
      <c r="L331" s="15" t="e">
        <v>#VALUE!</v>
      </c>
      <c r="M331" s="15" t="e">
        <v>#VALUE!</v>
      </c>
      <c r="N331" s="15" t="e">
        <v>#VALUE!</v>
      </c>
      <c r="O331" s="15" t="e">
        <v>#VALUE!</v>
      </c>
      <c r="P331" s="15" t="e">
        <v>#VALUE!</v>
      </c>
      <c r="Q331" s="15" t="e">
        <v>#VALUE!</v>
      </c>
      <c r="R331" s="15" t="e">
        <v>#VALUE!</v>
      </c>
      <c r="S331" s="15" t="e">
        <v>#VALUE!</v>
      </c>
      <c r="T331" s="129">
        <v>0.16835250110789857</v>
      </c>
      <c r="U331" s="130" t="e">
        <f t="shared" si="23"/>
        <v>#VALUE!</v>
      </c>
      <c r="V331" s="129">
        <v>0.16835250110789857</v>
      </c>
      <c r="W331" s="130" t="e">
        <f t="shared" si="20"/>
        <v>#VALUE!</v>
      </c>
      <c r="X331" s="129">
        <v>0.16835250110789857</v>
      </c>
      <c r="Y331" s="130" t="e">
        <f t="shared" si="21"/>
        <v>#VALUE!</v>
      </c>
      <c r="Z331" s="129">
        <v>0.16835250110789857</v>
      </c>
      <c r="AA331" s="130" t="e">
        <f t="shared" si="22"/>
        <v>#VALUE!</v>
      </c>
    </row>
    <row r="332" spans="1:27" x14ac:dyDescent="0.3">
      <c r="A332">
        <v>832900</v>
      </c>
      <c r="B332">
        <v>17031832900</v>
      </c>
      <c r="C332">
        <v>17031</v>
      </c>
      <c r="D332">
        <v>2010</v>
      </c>
      <c r="E332">
        <v>28</v>
      </c>
      <c r="F332">
        <v>4341710.9982893001</v>
      </c>
      <c r="G332" s="43">
        <v>0.15573745259015223</v>
      </c>
      <c r="H332" s="58" t="str">
        <f>_xlfn.IFNA(
INDEX(CA!B$2:B$78,MATCH($E332,CA!$A$2:$A$78,0)),
"")</f>
        <v>NEAR WEST SIDE</v>
      </c>
      <c r="I332" s="60" t="str">
        <f>_xlfn.IFNA(
INDEX(CA!C$2:C$78,MATCH($E332,CA!$A$2:$A$78,0)),
"")</f>
        <v>3-B</v>
      </c>
      <c r="J332" s="60">
        <f>_xlfn.IFNA(
INDEX(CA!D$2:D$78,MATCH($E332,CA!$A$2:$A$78,0)),
"")</f>
        <v>7</v>
      </c>
      <c r="K332" s="58" t="str">
        <f>_xlfn.IFNA(
INDEX(CA!E$2:E$78,MATCH($E332,CA!$A$2:$A$78,0)),
"")</f>
        <v>CENTRAL</v>
      </c>
      <c r="L332" s="15" t="e">
        <v>#VALUE!</v>
      </c>
      <c r="M332" s="15" t="e">
        <v>#VALUE!</v>
      </c>
      <c r="N332" s="15" t="e">
        <v>#VALUE!</v>
      </c>
      <c r="O332" s="15" t="e">
        <v>#VALUE!</v>
      </c>
      <c r="P332" s="15" t="e">
        <v>#VALUE!</v>
      </c>
      <c r="Q332" s="15" t="e">
        <v>#VALUE!</v>
      </c>
      <c r="R332" s="15" t="e">
        <v>#VALUE!</v>
      </c>
      <c r="S332" s="15" t="e">
        <v>#VALUE!</v>
      </c>
      <c r="T332" s="129">
        <v>0.15573745117601154</v>
      </c>
      <c r="U332" s="130" t="e">
        <f t="shared" si="23"/>
        <v>#VALUE!</v>
      </c>
      <c r="V332" s="129">
        <v>0.15573745117601154</v>
      </c>
      <c r="W332" s="130" t="e">
        <f t="shared" si="20"/>
        <v>#VALUE!</v>
      </c>
      <c r="X332" s="129">
        <v>0.15573745117601154</v>
      </c>
      <c r="Y332" s="130" t="e">
        <f t="shared" si="21"/>
        <v>#VALUE!</v>
      </c>
      <c r="Z332" s="129">
        <v>0.15573745117601154</v>
      </c>
      <c r="AA332" s="130" t="e">
        <f t="shared" si="22"/>
        <v>#VALUE!</v>
      </c>
    </row>
    <row r="333" spans="1:27" x14ac:dyDescent="0.3">
      <c r="A333">
        <v>833000</v>
      </c>
      <c r="B333">
        <v>17031833000</v>
      </c>
      <c r="C333">
        <v>17031</v>
      </c>
      <c r="D333">
        <v>2010</v>
      </c>
      <c r="E333">
        <v>28</v>
      </c>
      <c r="F333">
        <v>14163619.590779901</v>
      </c>
      <c r="G333" s="43">
        <v>0.5080499451467767</v>
      </c>
      <c r="H333" s="58" t="str">
        <f>_xlfn.IFNA(
INDEX(CA!B$2:B$78,MATCH($E333,CA!$A$2:$A$78,0)),
"")</f>
        <v>NEAR WEST SIDE</v>
      </c>
      <c r="I333" s="60" t="str">
        <f>_xlfn.IFNA(
INDEX(CA!C$2:C$78,MATCH($E333,CA!$A$2:$A$78,0)),
"")</f>
        <v>3-B</v>
      </c>
      <c r="J333" s="60">
        <f>_xlfn.IFNA(
INDEX(CA!D$2:D$78,MATCH($E333,CA!$A$2:$A$78,0)),
"")</f>
        <v>7</v>
      </c>
      <c r="K333" s="58" t="str">
        <f>_xlfn.IFNA(
INDEX(CA!E$2:E$78,MATCH($E333,CA!$A$2:$A$78,0)),
"")</f>
        <v>CENTRAL</v>
      </c>
      <c r="L333" s="15" t="e">
        <v>#VALUE!</v>
      </c>
      <c r="M333" s="15" t="e">
        <v>#VALUE!</v>
      </c>
      <c r="N333" s="15" t="e">
        <v>#VALUE!</v>
      </c>
      <c r="O333" s="15" t="e">
        <v>#VALUE!</v>
      </c>
      <c r="P333" s="15" t="e">
        <v>#VALUE!</v>
      </c>
      <c r="Q333" s="15" t="e">
        <v>#VALUE!</v>
      </c>
      <c r="R333" s="15" t="e">
        <v>#VALUE!</v>
      </c>
      <c r="S333" s="15" t="e">
        <v>#VALUE!</v>
      </c>
      <c r="T333" s="129">
        <v>0.50804994785395141</v>
      </c>
      <c r="U333" s="130" t="e">
        <f t="shared" si="23"/>
        <v>#VALUE!</v>
      </c>
      <c r="V333" s="129">
        <v>0.50804994785395141</v>
      </c>
      <c r="W333" s="130" t="e">
        <f t="shared" si="20"/>
        <v>#VALUE!</v>
      </c>
      <c r="X333" s="129">
        <v>0.50804994785395141</v>
      </c>
      <c r="Y333" s="130" t="e">
        <f t="shared" si="21"/>
        <v>#VALUE!</v>
      </c>
      <c r="Z333" s="129">
        <v>0.50804994785395141</v>
      </c>
      <c r="AA333" s="130" t="e">
        <f t="shared" si="22"/>
        <v>#VALUE!</v>
      </c>
    </row>
    <row r="334" spans="1:27" x14ac:dyDescent="0.3">
      <c r="A334">
        <v>283100</v>
      </c>
      <c r="B334">
        <v>17031283100</v>
      </c>
      <c r="C334">
        <v>17031</v>
      </c>
      <c r="D334">
        <v>2010</v>
      </c>
      <c r="E334">
        <v>28</v>
      </c>
      <c r="F334">
        <v>2287246.4237585901</v>
      </c>
      <c r="G334" s="43">
        <v>8.2043676242488456E-2</v>
      </c>
      <c r="H334" s="58" t="str">
        <f>_xlfn.IFNA(
INDEX(CA!B$2:B$78,MATCH($E334,CA!$A$2:$A$78,0)),
"")</f>
        <v>NEAR WEST SIDE</v>
      </c>
      <c r="I334" s="60" t="str">
        <f>_xlfn.IFNA(
INDEX(CA!C$2:C$78,MATCH($E334,CA!$A$2:$A$78,0)),
"")</f>
        <v>3-B</v>
      </c>
      <c r="J334" s="60">
        <f>_xlfn.IFNA(
INDEX(CA!D$2:D$78,MATCH($E334,CA!$A$2:$A$78,0)),
"")</f>
        <v>7</v>
      </c>
      <c r="K334" s="58" t="str">
        <f>_xlfn.IFNA(
INDEX(CA!E$2:E$78,MATCH($E334,CA!$A$2:$A$78,0)),
"")</f>
        <v>CENTRAL</v>
      </c>
      <c r="L334" s="15" t="e">
        <v>#VALUE!</v>
      </c>
      <c r="M334" s="15" t="e">
        <v>#VALUE!</v>
      </c>
      <c r="N334" s="15" t="e">
        <v>#VALUE!</v>
      </c>
      <c r="O334" s="15" t="e">
        <v>#VALUE!</v>
      </c>
      <c r="P334" s="15" t="e">
        <v>#VALUE!</v>
      </c>
      <c r="Q334" s="15" t="e">
        <v>#VALUE!</v>
      </c>
      <c r="R334" s="15" t="e">
        <v>#VALUE!</v>
      </c>
      <c r="S334" s="15" t="e">
        <v>#VALUE!</v>
      </c>
      <c r="T334" s="129">
        <v>8.2043677060070874E-2</v>
      </c>
      <c r="U334" s="130" t="e">
        <f t="shared" si="23"/>
        <v>#VALUE!</v>
      </c>
      <c r="V334" s="129">
        <v>8.2043677060070874E-2</v>
      </c>
      <c r="W334" s="130" t="e">
        <f t="shared" si="20"/>
        <v>#VALUE!</v>
      </c>
      <c r="X334" s="129">
        <v>8.2043677060070874E-2</v>
      </c>
      <c r="Y334" s="130" t="e">
        <f t="shared" si="21"/>
        <v>#VALUE!</v>
      </c>
      <c r="Z334" s="129">
        <v>8.2043677060070874E-2</v>
      </c>
      <c r="AA334" s="130" t="e">
        <f t="shared" si="22"/>
        <v>#VALUE!</v>
      </c>
    </row>
    <row r="335" spans="1:27" x14ac:dyDescent="0.3">
      <c r="A335">
        <v>838000</v>
      </c>
      <c r="B335">
        <v>17031838000</v>
      </c>
      <c r="C335">
        <v>17031</v>
      </c>
      <c r="D335">
        <v>2010</v>
      </c>
      <c r="E335">
        <v>28</v>
      </c>
      <c r="F335">
        <v>5818511.1475140797</v>
      </c>
      <c r="G335" s="43">
        <v>0.20871036887031105</v>
      </c>
      <c r="H335" s="58" t="str">
        <f>_xlfn.IFNA(
INDEX(CA!B$2:B$78,MATCH($E335,CA!$A$2:$A$78,0)),
"")</f>
        <v>NEAR WEST SIDE</v>
      </c>
      <c r="I335" s="60" t="str">
        <f>_xlfn.IFNA(
INDEX(CA!C$2:C$78,MATCH($E335,CA!$A$2:$A$78,0)),
"")</f>
        <v>3-B</v>
      </c>
      <c r="J335" s="60">
        <f>_xlfn.IFNA(
INDEX(CA!D$2:D$78,MATCH($E335,CA!$A$2:$A$78,0)),
"")</f>
        <v>7</v>
      </c>
      <c r="K335" s="58" t="str">
        <f>_xlfn.IFNA(
INDEX(CA!E$2:E$78,MATCH($E335,CA!$A$2:$A$78,0)),
"")</f>
        <v>CENTRAL</v>
      </c>
      <c r="L335" s="15" t="e">
        <v>#VALUE!</v>
      </c>
      <c r="M335" s="15" t="e">
        <v>#VALUE!</v>
      </c>
      <c r="N335" s="15" t="e">
        <v>#VALUE!</v>
      </c>
      <c r="O335" s="15" t="e">
        <v>#VALUE!</v>
      </c>
      <c r="P335" s="15" t="e">
        <v>#VALUE!</v>
      </c>
      <c r="Q335" s="15" t="e">
        <v>#VALUE!</v>
      </c>
      <c r="R335" s="15" t="e">
        <v>#VALUE!</v>
      </c>
      <c r="S335" s="15" t="e">
        <v>#VALUE!</v>
      </c>
      <c r="T335" s="129">
        <v>0.20871037322467931</v>
      </c>
      <c r="U335" s="130" t="e">
        <f t="shared" si="23"/>
        <v>#VALUE!</v>
      </c>
      <c r="V335" s="129">
        <v>0.20871037322467931</v>
      </c>
      <c r="W335" s="130" t="e">
        <f t="shared" si="20"/>
        <v>#VALUE!</v>
      </c>
      <c r="X335" s="129">
        <v>0.20871037322467931</v>
      </c>
      <c r="Y335" s="130" t="e">
        <f t="shared" si="21"/>
        <v>#VALUE!</v>
      </c>
      <c r="Z335" s="129">
        <v>0.20871037322467931</v>
      </c>
      <c r="AA335" s="130" t="e">
        <f t="shared" si="22"/>
        <v>#VALUE!</v>
      </c>
    </row>
    <row r="336" spans="1:27" x14ac:dyDescent="0.3">
      <c r="A336">
        <v>833300</v>
      </c>
      <c r="B336">
        <v>17031833300</v>
      </c>
      <c r="C336">
        <v>17031</v>
      </c>
      <c r="D336">
        <v>2010</v>
      </c>
      <c r="E336">
        <v>28</v>
      </c>
      <c r="F336">
        <v>5128698.1579719</v>
      </c>
      <c r="G336" s="43">
        <v>0.18396673259483687</v>
      </c>
      <c r="H336" s="58" t="str">
        <f>_xlfn.IFNA(
INDEX(CA!B$2:B$78,MATCH($E336,CA!$A$2:$A$78,0)),
"")</f>
        <v>NEAR WEST SIDE</v>
      </c>
      <c r="I336" s="60" t="str">
        <f>_xlfn.IFNA(
INDEX(CA!C$2:C$78,MATCH($E336,CA!$A$2:$A$78,0)),
"")</f>
        <v>3-B</v>
      </c>
      <c r="J336" s="60">
        <f>_xlfn.IFNA(
INDEX(CA!D$2:D$78,MATCH($E336,CA!$A$2:$A$78,0)),
"")</f>
        <v>7</v>
      </c>
      <c r="K336" s="58" t="str">
        <f>_xlfn.IFNA(
INDEX(CA!E$2:E$78,MATCH($E336,CA!$A$2:$A$78,0)),
"")</f>
        <v>CENTRAL</v>
      </c>
      <c r="L336" s="15" t="e">
        <v>#VALUE!</v>
      </c>
      <c r="M336" s="15" t="e">
        <v>#VALUE!</v>
      </c>
      <c r="N336" s="15" t="e">
        <v>#VALUE!</v>
      </c>
      <c r="O336" s="15" t="e">
        <v>#VALUE!</v>
      </c>
      <c r="P336" s="15" t="e">
        <v>#VALUE!</v>
      </c>
      <c r="Q336" s="15" t="e">
        <v>#VALUE!</v>
      </c>
      <c r="R336" s="15" t="e">
        <v>#VALUE!</v>
      </c>
      <c r="S336" s="15" t="e">
        <v>#VALUE!</v>
      </c>
      <c r="T336" s="129">
        <v>0.18396673233673383</v>
      </c>
      <c r="U336" s="130" t="e">
        <f t="shared" si="23"/>
        <v>#VALUE!</v>
      </c>
      <c r="V336" s="129">
        <v>0.18396673233673383</v>
      </c>
      <c r="W336" s="130" t="e">
        <f t="shared" si="20"/>
        <v>#VALUE!</v>
      </c>
      <c r="X336" s="129">
        <v>0.18396673233673383</v>
      </c>
      <c r="Y336" s="130" t="e">
        <f t="shared" si="21"/>
        <v>#VALUE!</v>
      </c>
      <c r="Z336" s="129">
        <v>0.18396673233673383</v>
      </c>
      <c r="AA336" s="130" t="e">
        <f t="shared" si="22"/>
        <v>#VALUE!</v>
      </c>
    </row>
    <row r="337" spans="1:27" x14ac:dyDescent="0.3">
      <c r="A337">
        <v>283800</v>
      </c>
      <c r="B337">
        <v>17031283800</v>
      </c>
      <c r="C337">
        <v>17031</v>
      </c>
      <c r="D337">
        <v>2010</v>
      </c>
      <c r="E337">
        <v>28</v>
      </c>
      <c r="F337">
        <v>4056166.4747371501</v>
      </c>
      <c r="G337" s="43">
        <v>0.14549495217577588</v>
      </c>
      <c r="H337" s="58" t="str">
        <f>_xlfn.IFNA(
INDEX(CA!B$2:B$78,MATCH($E337,CA!$A$2:$A$78,0)),
"")</f>
        <v>NEAR WEST SIDE</v>
      </c>
      <c r="I337" s="60" t="str">
        <f>_xlfn.IFNA(
INDEX(CA!C$2:C$78,MATCH($E337,CA!$A$2:$A$78,0)),
"")</f>
        <v>3-B</v>
      </c>
      <c r="J337" s="60">
        <f>_xlfn.IFNA(
INDEX(CA!D$2:D$78,MATCH($E337,CA!$A$2:$A$78,0)),
"")</f>
        <v>7</v>
      </c>
      <c r="K337" s="58" t="str">
        <f>_xlfn.IFNA(
INDEX(CA!E$2:E$78,MATCH($E337,CA!$A$2:$A$78,0)),
"")</f>
        <v>CENTRAL</v>
      </c>
      <c r="L337" s="15" t="e">
        <v>#VALUE!</v>
      </c>
      <c r="M337" s="15" t="e">
        <v>#VALUE!</v>
      </c>
      <c r="N337" s="15" t="e">
        <v>#VALUE!</v>
      </c>
      <c r="O337" s="15" t="e">
        <v>#VALUE!</v>
      </c>
      <c r="P337" s="15" t="e">
        <v>#VALUE!</v>
      </c>
      <c r="Q337" s="15" t="e">
        <v>#VALUE!</v>
      </c>
      <c r="R337" s="15" t="e">
        <v>#VALUE!</v>
      </c>
      <c r="S337" s="15" t="e">
        <v>#VALUE!</v>
      </c>
      <c r="T337" s="129">
        <v>0.14549495166168899</v>
      </c>
      <c r="U337" s="130" t="e">
        <f t="shared" si="23"/>
        <v>#VALUE!</v>
      </c>
      <c r="V337" s="129">
        <v>0.14549495166168899</v>
      </c>
      <c r="W337" s="130" t="e">
        <f t="shared" si="20"/>
        <v>#VALUE!</v>
      </c>
      <c r="X337" s="129">
        <v>0.14549495166168899</v>
      </c>
      <c r="Y337" s="130" t="e">
        <f t="shared" si="21"/>
        <v>#VALUE!</v>
      </c>
      <c r="Z337" s="129">
        <v>0.14549495166168899</v>
      </c>
      <c r="AA337" s="130" t="e">
        <f t="shared" si="22"/>
        <v>#VALUE!</v>
      </c>
    </row>
    <row r="338" spans="1:27" x14ac:dyDescent="0.3">
      <c r="A338">
        <v>280800</v>
      </c>
      <c r="B338">
        <v>17031280800</v>
      </c>
      <c r="C338">
        <v>17031</v>
      </c>
      <c r="D338">
        <v>2010</v>
      </c>
      <c r="E338">
        <v>28</v>
      </c>
      <c r="F338">
        <v>2556183.8645959501</v>
      </c>
      <c r="G338" s="43">
        <v>9.1690479532396049E-2</v>
      </c>
      <c r="H338" s="58" t="str">
        <f>_xlfn.IFNA(
INDEX(CA!B$2:B$78,MATCH($E338,CA!$A$2:$A$78,0)),
"")</f>
        <v>NEAR WEST SIDE</v>
      </c>
      <c r="I338" s="60" t="str">
        <f>_xlfn.IFNA(
INDEX(CA!C$2:C$78,MATCH($E338,CA!$A$2:$A$78,0)),
"")</f>
        <v>3-B</v>
      </c>
      <c r="J338" s="60">
        <f>_xlfn.IFNA(
INDEX(CA!D$2:D$78,MATCH($E338,CA!$A$2:$A$78,0)),
"")</f>
        <v>7</v>
      </c>
      <c r="K338" s="58" t="str">
        <f>_xlfn.IFNA(
INDEX(CA!E$2:E$78,MATCH($E338,CA!$A$2:$A$78,0)),
"")</f>
        <v>CENTRAL</v>
      </c>
      <c r="L338" s="15" t="e">
        <v>#VALUE!</v>
      </c>
      <c r="M338" s="15" t="e">
        <v>#VALUE!</v>
      </c>
      <c r="N338" s="15" t="e">
        <v>#VALUE!</v>
      </c>
      <c r="O338" s="15" t="e">
        <v>#VALUE!</v>
      </c>
      <c r="P338" s="15" t="e">
        <v>#VALUE!</v>
      </c>
      <c r="Q338" s="15" t="e">
        <v>#VALUE!</v>
      </c>
      <c r="R338" s="15" t="e">
        <v>#VALUE!</v>
      </c>
      <c r="S338" s="15" t="e">
        <v>#VALUE!</v>
      </c>
      <c r="T338" s="129">
        <v>9.1690482407771251E-2</v>
      </c>
      <c r="U338" s="130" t="e">
        <f t="shared" si="23"/>
        <v>#VALUE!</v>
      </c>
      <c r="V338" s="129">
        <v>9.1690482407771251E-2</v>
      </c>
      <c r="W338" s="130" t="e">
        <f t="shared" si="20"/>
        <v>#VALUE!</v>
      </c>
      <c r="X338" s="129">
        <v>9.1690482407771251E-2</v>
      </c>
      <c r="Y338" s="130" t="e">
        <f t="shared" si="21"/>
        <v>#VALUE!</v>
      </c>
      <c r="Z338" s="129">
        <v>9.1690482407771251E-2</v>
      </c>
      <c r="AA338" s="130" t="e">
        <f t="shared" si="22"/>
        <v>#VALUE!</v>
      </c>
    </row>
    <row r="339" spans="1:27" x14ac:dyDescent="0.3">
      <c r="A339">
        <v>282700</v>
      </c>
      <c r="B339">
        <v>17031282700</v>
      </c>
      <c r="C339">
        <v>17031</v>
      </c>
      <c r="D339">
        <v>2010</v>
      </c>
      <c r="E339">
        <v>28</v>
      </c>
      <c r="F339">
        <v>4717644.5823092302</v>
      </c>
      <c r="G339" s="43">
        <v>0.16922221441364033</v>
      </c>
      <c r="H339" s="58" t="str">
        <f>_xlfn.IFNA(
INDEX(CA!B$2:B$78,MATCH($E339,CA!$A$2:$A$78,0)),
"")</f>
        <v>NEAR WEST SIDE</v>
      </c>
      <c r="I339" s="60" t="str">
        <f>_xlfn.IFNA(
INDEX(CA!C$2:C$78,MATCH($E339,CA!$A$2:$A$78,0)),
"")</f>
        <v>3-B</v>
      </c>
      <c r="J339" s="60">
        <f>_xlfn.IFNA(
INDEX(CA!D$2:D$78,MATCH($E339,CA!$A$2:$A$78,0)),
"")</f>
        <v>7</v>
      </c>
      <c r="K339" s="58" t="str">
        <f>_xlfn.IFNA(
INDEX(CA!E$2:E$78,MATCH($E339,CA!$A$2:$A$78,0)),
"")</f>
        <v>CENTRAL</v>
      </c>
      <c r="L339" s="15" t="e">
        <v>#VALUE!</v>
      </c>
      <c r="M339" s="15" t="e">
        <v>#VALUE!</v>
      </c>
      <c r="N339" s="15" t="e">
        <v>#VALUE!</v>
      </c>
      <c r="O339" s="15" t="e">
        <v>#VALUE!</v>
      </c>
      <c r="P339" s="15" t="e">
        <v>#VALUE!</v>
      </c>
      <c r="Q339" s="15" t="e">
        <v>#VALUE!</v>
      </c>
      <c r="R339" s="15" t="e">
        <v>#VALUE!</v>
      </c>
      <c r="S339" s="15" t="e">
        <v>#VALUE!</v>
      </c>
      <c r="T339" s="129">
        <v>0.16922221490000824</v>
      </c>
      <c r="U339" s="130" t="e">
        <f t="shared" si="23"/>
        <v>#VALUE!</v>
      </c>
      <c r="V339" s="129">
        <v>0.16922221490000824</v>
      </c>
      <c r="W339" s="130" t="e">
        <f t="shared" si="20"/>
        <v>#VALUE!</v>
      </c>
      <c r="X339" s="129">
        <v>0.16922221490000824</v>
      </c>
      <c r="Y339" s="130" t="e">
        <f t="shared" si="21"/>
        <v>#VALUE!</v>
      </c>
      <c r="Z339" s="129">
        <v>0.16922221490000824</v>
      </c>
      <c r="AA339" s="130" t="e">
        <f t="shared" si="22"/>
        <v>#VALUE!</v>
      </c>
    </row>
    <row r="340" spans="1:27" x14ac:dyDescent="0.3">
      <c r="A340">
        <v>280400</v>
      </c>
      <c r="B340">
        <v>17031280400</v>
      </c>
      <c r="C340">
        <v>17031</v>
      </c>
      <c r="D340">
        <v>2010</v>
      </c>
      <c r="E340">
        <v>28</v>
      </c>
      <c r="F340">
        <v>5417686.1154500404</v>
      </c>
      <c r="G340" s="43">
        <v>0.19433274920547952</v>
      </c>
      <c r="H340" s="58" t="str">
        <f>_xlfn.IFNA(
INDEX(CA!B$2:B$78,MATCH($E340,CA!$A$2:$A$78,0)),
"")</f>
        <v>NEAR WEST SIDE</v>
      </c>
      <c r="I340" s="60" t="str">
        <f>_xlfn.IFNA(
INDEX(CA!C$2:C$78,MATCH($E340,CA!$A$2:$A$78,0)),
"")</f>
        <v>3-B</v>
      </c>
      <c r="J340" s="60">
        <f>_xlfn.IFNA(
INDEX(CA!D$2:D$78,MATCH($E340,CA!$A$2:$A$78,0)),
"")</f>
        <v>7</v>
      </c>
      <c r="K340" s="58" t="str">
        <f>_xlfn.IFNA(
INDEX(CA!E$2:E$78,MATCH($E340,CA!$A$2:$A$78,0)),
"")</f>
        <v>CENTRAL</v>
      </c>
      <c r="L340" s="15" t="e">
        <v>#VALUE!</v>
      </c>
      <c r="M340" s="15" t="e">
        <v>#VALUE!</v>
      </c>
      <c r="N340" s="15" t="e">
        <v>#VALUE!</v>
      </c>
      <c r="O340" s="15" t="e">
        <v>#VALUE!</v>
      </c>
      <c r="P340" s="15" t="e">
        <v>#VALUE!</v>
      </c>
      <c r="Q340" s="15" t="e">
        <v>#VALUE!</v>
      </c>
      <c r="R340" s="15" t="e">
        <v>#VALUE!</v>
      </c>
      <c r="S340" s="15" t="e">
        <v>#VALUE!</v>
      </c>
      <c r="T340" s="129">
        <v>0.19433274840176229</v>
      </c>
      <c r="U340" s="130" t="e">
        <f t="shared" si="23"/>
        <v>#VALUE!</v>
      </c>
      <c r="V340" s="129">
        <v>0.19433274840176229</v>
      </c>
      <c r="W340" s="130" t="e">
        <f t="shared" si="20"/>
        <v>#VALUE!</v>
      </c>
      <c r="X340" s="129">
        <v>0.19433274840176229</v>
      </c>
      <c r="Y340" s="130" t="e">
        <f t="shared" si="21"/>
        <v>#VALUE!</v>
      </c>
      <c r="Z340" s="129">
        <v>0.19433274840176229</v>
      </c>
      <c r="AA340" s="130" t="e">
        <f t="shared" si="22"/>
        <v>#VALUE!</v>
      </c>
    </row>
    <row r="341" spans="1:27" x14ac:dyDescent="0.3">
      <c r="A341">
        <v>280900</v>
      </c>
      <c r="B341">
        <v>17031280900</v>
      </c>
      <c r="C341">
        <v>17031</v>
      </c>
      <c r="D341">
        <v>2010</v>
      </c>
      <c r="E341">
        <v>28</v>
      </c>
      <c r="F341">
        <v>1242963.7330547301</v>
      </c>
      <c r="G341" s="43">
        <v>4.4585189001331862E-2</v>
      </c>
      <c r="H341" s="58" t="str">
        <f>_xlfn.IFNA(
INDEX(CA!B$2:B$78,MATCH($E341,CA!$A$2:$A$78,0)),
"")</f>
        <v>NEAR WEST SIDE</v>
      </c>
      <c r="I341" s="60" t="str">
        <f>_xlfn.IFNA(
INDEX(CA!C$2:C$78,MATCH($E341,CA!$A$2:$A$78,0)),
"")</f>
        <v>3-B</v>
      </c>
      <c r="J341" s="60">
        <f>_xlfn.IFNA(
INDEX(CA!D$2:D$78,MATCH($E341,CA!$A$2:$A$78,0)),
"")</f>
        <v>7</v>
      </c>
      <c r="K341" s="58" t="str">
        <f>_xlfn.IFNA(
INDEX(CA!E$2:E$78,MATCH($E341,CA!$A$2:$A$78,0)),
"")</f>
        <v>CENTRAL</v>
      </c>
      <c r="L341" s="15" t="e">
        <v>#VALUE!</v>
      </c>
      <c r="M341" s="15" t="e">
        <v>#VALUE!</v>
      </c>
      <c r="N341" s="15" t="e">
        <v>#VALUE!</v>
      </c>
      <c r="O341" s="15" t="e">
        <v>#VALUE!</v>
      </c>
      <c r="P341" s="15" t="e">
        <v>#VALUE!</v>
      </c>
      <c r="Q341" s="15" t="e">
        <v>#VALUE!</v>
      </c>
      <c r="R341" s="15" t="e">
        <v>#VALUE!</v>
      </c>
      <c r="S341" s="15" t="e">
        <v>#VALUE!</v>
      </c>
      <c r="T341" s="129">
        <v>4.4585190967419218E-2</v>
      </c>
      <c r="U341" s="130" t="e">
        <f t="shared" si="23"/>
        <v>#VALUE!</v>
      </c>
      <c r="V341" s="129">
        <v>4.4585190967419218E-2</v>
      </c>
      <c r="W341" s="130" t="e">
        <f t="shared" si="20"/>
        <v>#VALUE!</v>
      </c>
      <c r="X341" s="129">
        <v>4.4585190967419218E-2</v>
      </c>
      <c r="Y341" s="130" t="e">
        <f t="shared" si="21"/>
        <v>#VALUE!</v>
      </c>
      <c r="Z341" s="129">
        <v>4.4585190967419218E-2</v>
      </c>
      <c r="AA341" s="130" t="e">
        <f t="shared" si="22"/>
        <v>#VALUE!</v>
      </c>
    </row>
    <row r="342" spans="1:27" x14ac:dyDescent="0.3">
      <c r="A342">
        <v>838100</v>
      </c>
      <c r="B342">
        <v>17031838100</v>
      </c>
      <c r="C342">
        <v>17031</v>
      </c>
      <c r="D342">
        <v>2010</v>
      </c>
      <c r="E342">
        <v>28</v>
      </c>
      <c r="F342">
        <v>8898892.4152752701</v>
      </c>
      <c r="G342" s="43">
        <v>0.3192038429492105</v>
      </c>
      <c r="H342" s="58" t="str">
        <f>_xlfn.IFNA(
INDEX(CA!B$2:B$78,MATCH($E342,CA!$A$2:$A$78,0)),
"")</f>
        <v>NEAR WEST SIDE</v>
      </c>
      <c r="I342" s="60" t="str">
        <f>_xlfn.IFNA(
INDEX(CA!C$2:C$78,MATCH($E342,CA!$A$2:$A$78,0)),
"")</f>
        <v>3-B</v>
      </c>
      <c r="J342" s="60">
        <f>_xlfn.IFNA(
INDEX(CA!D$2:D$78,MATCH($E342,CA!$A$2:$A$78,0)),
"")</f>
        <v>7</v>
      </c>
      <c r="K342" s="58" t="str">
        <f>_xlfn.IFNA(
INDEX(CA!E$2:E$78,MATCH($E342,CA!$A$2:$A$78,0)),
"")</f>
        <v>CENTRAL</v>
      </c>
      <c r="L342" s="15" t="e">
        <v>#VALUE!</v>
      </c>
      <c r="M342" s="15" t="e">
        <v>#VALUE!</v>
      </c>
      <c r="N342" s="15" t="e">
        <v>#VALUE!</v>
      </c>
      <c r="O342" s="15" t="e">
        <v>#VALUE!</v>
      </c>
      <c r="P342" s="15" t="e">
        <v>#VALUE!</v>
      </c>
      <c r="Q342" s="15" t="e">
        <v>#VALUE!</v>
      </c>
      <c r="R342" s="15" t="e">
        <v>#VALUE!</v>
      </c>
      <c r="S342" s="15" t="e">
        <v>#VALUE!</v>
      </c>
      <c r="T342" s="129">
        <v>0.31920384489118925</v>
      </c>
      <c r="U342" s="130" t="e">
        <f t="shared" si="23"/>
        <v>#VALUE!</v>
      </c>
      <c r="V342" s="129">
        <v>0.31920384489118925</v>
      </c>
      <c r="W342" s="130" t="e">
        <f t="shared" si="20"/>
        <v>#VALUE!</v>
      </c>
      <c r="X342" s="129">
        <v>0.31920384489118925</v>
      </c>
      <c r="Y342" s="130" t="e">
        <f t="shared" si="21"/>
        <v>#VALUE!</v>
      </c>
      <c r="Z342" s="129">
        <v>0.31920384489118925</v>
      </c>
      <c r="AA342" s="130" t="e">
        <f t="shared" si="22"/>
        <v>#VALUE!</v>
      </c>
    </row>
    <row r="343" spans="1:27" x14ac:dyDescent="0.3">
      <c r="A343">
        <v>282800</v>
      </c>
      <c r="B343">
        <v>17031282800</v>
      </c>
      <c r="C343">
        <v>17031</v>
      </c>
      <c r="D343">
        <v>2010</v>
      </c>
      <c r="E343">
        <v>28</v>
      </c>
      <c r="F343">
        <v>1769622.3159538701</v>
      </c>
      <c r="G343" s="43">
        <v>6.347646622309279E-2</v>
      </c>
      <c r="H343" s="58" t="str">
        <f>_xlfn.IFNA(
INDEX(CA!B$2:B$78,MATCH($E343,CA!$A$2:$A$78,0)),
"")</f>
        <v>NEAR WEST SIDE</v>
      </c>
      <c r="I343" s="60" t="str">
        <f>_xlfn.IFNA(
INDEX(CA!C$2:C$78,MATCH($E343,CA!$A$2:$A$78,0)),
"")</f>
        <v>3-B</v>
      </c>
      <c r="J343" s="60">
        <f>_xlfn.IFNA(
INDEX(CA!D$2:D$78,MATCH($E343,CA!$A$2:$A$78,0)),
"")</f>
        <v>7</v>
      </c>
      <c r="K343" s="58" t="str">
        <f>_xlfn.IFNA(
INDEX(CA!E$2:E$78,MATCH($E343,CA!$A$2:$A$78,0)),
"")</f>
        <v>CENTRAL</v>
      </c>
      <c r="L343" s="15" t="e">
        <v>#VALUE!</v>
      </c>
      <c r="M343" s="15" t="e">
        <v>#VALUE!</v>
      </c>
      <c r="N343" s="15" t="e">
        <v>#VALUE!</v>
      </c>
      <c r="O343" s="15" t="e">
        <v>#VALUE!</v>
      </c>
      <c r="P343" s="15" t="e">
        <v>#VALUE!</v>
      </c>
      <c r="Q343" s="15" t="e">
        <v>#VALUE!</v>
      </c>
      <c r="R343" s="15" t="e">
        <v>#VALUE!</v>
      </c>
      <c r="S343" s="15" t="e">
        <v>#VALUE!</v>
      </c>
      <c r="T343" s="129">
        <v>6.347646624107553E-2</v>
      </c>
      <c r="U343" s="130" t="e">
        <f t="shared" si="23"/>
        <v>#VALUE!</v>
      </c>
      <c r="V343" s="129">
        <v>6.347646624107553E-2</v>
      </c>
      <c r="W343" s="130" t="e">
        <f t="shared" si="20"/>
        <v>#VALUE!</v>
      </c>
      <c r="X343" s="129">
        <v>6.347646624107553E-2</v>
      </c>
      <c r="Y343" s="130" t="e">
        <f t="shared" si="21"/>
        <v>#VALUE!</v>
      </c>
      <c r="Z343" s="129">
        <v>6.347646624107553E-2</v>
      </c>
      <c r="AA343" s="130" t="e">
        <f t="shared" si="22"/>
        <v>#VALUE!</v>
      </c>
    </row>
    <row r="344" spans="1:27" x14ac:dyDescent="0.3">
      <c r="A344">
        <v>838200</v>
      </c>
      <c r="B344">
        <v>17031838200</v>
      </c>
      <c r="C344">
        <v>17031</v>
      </c>
      <c r="D344">
        <v>2010</v>
      </c>
      <c r="E344">
        <v>28</v>
      </c>
      <c r="F344">
        <v>12451448.531065701</v>
      </c>
      <c r="G344" s="43">
        <v>0.4466342591779191</v>
      </c>
      <c r="H344" s="58" t="str">
        <f>_xlfn.IFNA(
INDEX(CA!B$2:B$78,MATCH($E344,CA!$A$2:$A$78,0)),
"")</f>
        <v>NEAR WEST SIDE</v>
      </c>
      <c r="I344" s="60" t="str">
        <f>_xlfn.IFNA(
INDEX(CA!C$2:C$78,MATCH($E344,CA!$A$2:$A$78,0)),
"")</f>
        <v>3-B</v>
      </c>
      <c r="J344" s="60">
        <f>_xlfn.IFNA(
INDEX(CA!D$2:D$78,MATCH($E344,CA!$A$2:$A$78,0)),
"")</f>
        <v>7</v>
      </c>
      <c r="K344" s="58" t="str">
        <f>_xlfn.IFNA(
INDEX(CA!E$2:E$78,MATCH($E344,CA!$A$2:$A$78,0)),
"")</f>
        <v>CENTRAL</v>
      </c>
      <c r="L344" s="15" t="e">
        <v>#VALUE!</v>
      </c>
      <c r="M344" s="15" t="e">
        <v>#VALUE!</v>
      </c>
      <c r="N344" s="15" t="e">
        <v>#VALUE!</v>
      </c>
      <c r="O344" s="15" t="e">
        <v>#VALUE!</v>
      </c>
      <c r="P344" s="15" t="e">
        <v>#VALUE!</v>
      </c>
      <c r="Q344" s="15" t="e">
        <v>#VALUE!</v>
      </c>
      <c r="R344" s="15" t="e">
        <v>#VALUE!</v>
      </c>
      <c r="S344" s="15" t="e">
        <v>#VALUE!</v>
      </c>
      <c r="T344" s="129">
        <v>0.4466342602737926</v>
      </c>
      <c r="U344" s="130" t="e">
        <f t="shared" si="23"/>
        <v>#VALUE!</v>
      </c>
      <c r="V344" s="129">
        <v>0.4466342602737926</v>
      </c>
      <c r="W344" s="130" t="e">
        <f t="shared" si="20"/>
        <v>#VALUE!</v>
      </c>
      <c r="X344" s="129">
        <v>0.4466342602737926</v>
      </c>
      <c r="Y344" s="130" t="e">
        <f t="shared" si="21"/>
        <v>#VALUE!</v>
      </c>
      <c r="Z344" s="129">
        <v>0.4466342602737926</v>
      </c>
      <c r="AA344" s="130" t="e">
        <f t="shared" si="22"/>
        <v>#VALUE!</v>
      </c>
    </row>
    <row r="345" spans="1:27" x14ac:dyDescent="0.3">
      <c r="A345">
        <v>843400</v>
      </c>
      <c r="B345">
        <v>17031843400</v>
      </c>
      <c r="C345">
        <v>17031</v>
      </c>
      <c r="D345">
        <v>2010</v>
      </c>
      <c r="E345">
        <v>29</v>
      </c>
      <c r="F345">
        <v>6855296.5556254098</v>
      </c>
      <c r="G345" s="43">
        <v>0.24589992810295461</v>
      </c>
      <c r="H345" s="58" t="str">
        <f>_xlfn.IFNA(
INDEX(CA!B$2:B$78,MATCH($E345,CA!$A$2:$A$78,0)),
"")</f>
        <v>NORTH LAWNDALE</v>
      </c>
      <c r="I345" s="60" t="str">
        <f>_xlfn.IFNA(
INDEX(CA!C$2:C$78,MATCH($E345,CA!$A$2:$A$78,0)),
"")</f>
        <v>3-A</v>
      </c>
      <c r="J345" s="60">
        <f>_xlfn.IFNA(
INDEX(CA!D$2:D$78,MATCH($E345,CA!$A$2:$A$78,0)),
"")</f>
        <v>3</v>
      </c>
      <c r="K345" s="58" t="str">
        <f>_xlfn.IFNA(
INDEX(CA!E$2:E$78,MATCH($E345,CA!$A$2:$A$78,0)),
"")</f>
        <v>WEST</v>
      </c>
      <c r="L345" s="15" t="e">
        <v>#VALUE!</v>
      </c>
      <c r="M345" s="15" t="e">
        <v>#VALUE!</v>
      </c>
      <c r="N345" s="15" t="e">
        <v>#VALUE!</v>
      </c>
      <c r="O345" s="15" t="e">
        <v>#VALUE!</v>
      </c>
      <c r="P345" s="15" t="e">
        <v>#VALUE!</v>
      </c>
      <c r="Q345" s="15" t="e">
        <v>#VALUE!</v>
      </c>
      <c r="R345" s="15" t="e">
        <v>#VALUE!</v>
      </c>
      <c r="S345" s="15" t="e">
        <v>#VALUE!</v>
      </c>
      <c r="T345" s="129">
        <v>0.23720985760078234</v>
      </c>
      <c r="U345" s="130" t="e">
        <f t="shared" si="23"/>
        <v>#VALUE!</v>
      </c>
      <c r="V345" s="129">
        <v>0.23720985771979813</v>
      </c>
      <c r="W345" s="130" t="e">
        <f t="shared" si="20"/>
        <v>#VALUE!</v>
      </c>
      <c r="X345" s="129">
        <v>0.23720985771979813</v>
      </c>
      <c r="Y345" s="130" t="e">
        <f t="shared" si="21"/>
        <v>#VALUE!</v>
      </c>
      <c r="Z345" s="129">
        <v>0.23720985771979813</v>
      </c>
      <c r="AA345" s="130" t="e">
        <f t="shared" si="22"/>
        <v>#VALUE!</v>
      </c>
    </row>
    <row r="346" spans="1:27" x14ac:dyDescent="0.3">
      <c r="A346">
        <v>290900</v>
      </c>
      <c r="B346">
        <v>17031290900</v>
      </c>
      <c r="C346">
        <v>17031</v>
      </c>
      <c r="D346">
        <v>2010</v>
      </c>
      <c r="E346">
        <v>29</v>
      </c>
      <c r="F346">
        <v>10744506.3828467</v>
      </c>
      <c r="G346" s="43">
        <v>0.38540613460050432</v>
      </c>
      <c r="H346" s="58" t="str">
        <f>_xlfn.IFNA(
INDEX(CA!B$2:B$78,MATCH($E346,CA!$A$2:$A$78,0)),
"")</f>
        <v>NORTH LAWNDALE</v>
      </c>
      <c r="I346" s="60" t="str">
        <f>_xlfn.IFNA(
INDEX(CA!C$2:C$78,MATCH($E346,CA!$A$2:$A$78,0)),
"")</f>
        <v>3-A</v>
      </c>
      <c r="J346" s="60">
        <f>_xlfn.IFNA(
INDEX(CA!D$2:D$78,MATCH($E346,CA!$A$2:$A$78,0)),
"")</f>
        <v>3</v>
      </c>
      <c r="K346" s="58" t="str">
        <f>_xlfn.IFNA(
INDEX(CA!E$2:E$78,MATCH($E346,CA!$A$2:$A$78,0)),
"")</f>
        <v>WEST</v>
      </c>
      <c r="L346" s="15" t="e">
        <v>#VALUE!</v>
      </c>
      <c r="M346" s="15" t="e">
        <v>#VALUE!</v>
      </c>
      <c r="N346" s="15" t="e">
        <v>#VALUE!</v>
      </c>
      <c r="O346" s="15" t="e">
        <v>#VALUE!</v>
      </c>
      <c r="P346" s="15" t="e">
        <v>#VALUE!</v>
      </c>
      <c r="Q346" s="15" t="e">
        <v>#VALUE!</v>
      </c>
      <c r="R346" s="15" t="e">
        <v>#VALUE!</v>
      </c>
      <c r="S346" s="15" t="e">
        <v>#VALUE!</v>
      </c>
      <c r="T346" s="129">
        <v>0.11310199133962996</v>
      </c>
      <c r="U346" s="130" t="e">
        <f t="shared" si="23"/>
        <v>#VALUE!</v>
      </c>
      <c r="V346" s="129">
        <v>0.11310199133962996</v>
      </c>
      <c r="W346" s="130" t="e">
        <f t="shared" si="20"/>
        <v>#VALUE!</v>
      </c>
      <c r="X346" s="129">
        <v>0.11310199133962996</v>
      </c>
      <c r="Y346" s="130" t="e">
        <f t="shared" si="21"/>
        <v>#VALUE!</v>
      </c>
      <c r="Z346" s="129">
        <v>0.11310199133962996</v>
      </c>
      <c r="AA346" s="130" t="e">
        <f t="shared" si="22"/>
        <v>#VALUE!</v>
      </c>
    </row>
    <row r="347" spans="1:27" x14ac:dyDescent="0.3">
      <c r="A347">
        <v>841600</v>
      </c>
      <c r="B347">
        <v>17031841600</v>
      </c>
      <c r="C347">
        <v>17031</v>
      </c>
      <c r="D347">
        <v>2010</v>
      </c>
      <c r="E347">
        <v>29</v>
      </c>
      <c r="F347">
        <v>1715435.18428545</v>
      </c>
      <c r="G347" s="43">
        <v>6.1532770327043518E-2</v>
      </c>
      <c r="H347" s="58" t="str">
        <f>_xlfn.IFNA(
INDEX(CA!B$2:B$78,MATCH($E347,CA!$A$2:$A$78,0)),
"")</f>
        <v>NORTH LAWNDALE</v>
      </c>
      <c r="I347" s="60" t="str">
        <f>_xlfn.IFNA(
INDEX(CA!C$2:C$78,MATCH($E347,CA!$A$2:$A$78,0)),
"")</f>
        <v>3-A</v>
      </c>
      <c r="J347" s="60">
        <f>_xlfn.IFNA(
INDEX(CA!D$2:D$78,MATCH($E347,CA!$A$2:$A$78,0)),
"")</f>
        <v>3</v>
      </c>
      <c r="K347" s="58" t="str">
        <f>_xlfn.IFNA(
INDEX(CA!E$2:E$78,MATCH($E347,CA!$A$2:$A$78,0)),
"")</f>
        <v>WEST</v>
      </c>
      <c r="L347" s="15" t="e">
        <v>#VALUE!</v>
      </c>
      <c r="M347" s="15" t="e">
        <v>#VALUE!</v>
      </c>
      <c r="N347" s="15" t="e">
        <v>#VALUE!</v>
      </c>
      <c r="O347" s="15" t="e">
        <v>#VALUE!</v>
      </c>
      <c r="P347" s="15" t="e">
        <v>#VALUE!</v>
      </c>
      <c r="Q347" s="15" t="e">
        <v>#VALUE!</v>
      </c>
      <c r="R347" s="15" t="e">
        <v>#VALUE!</v>
      </c>
      <c r="S347" s="15" t="e">
        <v>#VALUE!</v>
      </c>
      <c r="T347" s="129">
        <v>6.1532770910981617E-2</v>
      </c>
      <c r="U347" s="130" t="e">
        <f t="shared" si="23"/>
        <v>#VALUE!</v>
      </c>
      <c r="V347" s="129">
        <v>6.1532770910981617E-2</v>
      </c>
      <c r="W347" s="130" t="e">
        <f t="shared" si="20"/>
        <v>#VALUE!</v>
      </c>
      <c r="X347" s="129">
        <v>6.1532770910981617E-2</v>
      </c>
      <c r="Y347" s="130" t="e">
        <f t="shared" si="21"/>
        <v>#VALUE!</v>
      </c>
      <c r="Z347" s="129">
        <v>6.1532770910981617E-2</v>
      </c>
      <c r="AA347" s="130" t="e">
        <f t="shared" si="22"/>
        <v>#VALUE!</v>
      </c>
    </row>
    <row r="348" spans="1:27" x14ac:dyDescent="0.3">
      <c r="A348">
        <v>291200</v>
      </c>
      <c r="B348">
        <v>17031291200</v>
      </c>
      <c r="C348">
        <v>17031</v>
      </c>
      <c r="D348">
        <v>2010</v>
      </c>
      <c r="E348">
        <v>29</v>
      </c>
      <c r="F348">
        <v>3542839.3911678898</v>
      </c>
      <c r="G348" s="43">
        <v>0.12708187669191523</v>
      </c>
      <c r="H348" s="58" t="str">
        <f>_xlfn.IFNA(
INDEX(CA!B$2:B$78,MATCH($E348,CA!$A$2:$A$78,0)),
"")</f>
        <v>NORTH LAWNDALE</v>
      </c>
      <c r="I348" s="60" t="str">
        <f>_xlfn.IFNA(
INDEX(CA!C$2:C$78,MATCH($E348,CA!$A$2:$A$78,0)),
"")</f>
        <v>3-A</v>
      </c>
      <c r="J348" s="60">
        <f>_xlfn.IFNA(
INDEX(CA!D$2:D$78,MATCH($E348,CA!$A$2:$A$78,0)),
"")</f>
        <v>3</v>
      </c>
      <c r="K348" s="58" t="str">
        <f>_xlfn.IFNA(
INDEX(CA!E$2:E$78,MATCH($E348,CA!$A$2:$A$78,0)),
"")</f>
        <v>WEST</v>
      </c>
      <c r="L348" s="15" t="e">
        <v>#VALUE!</v>
      </c>
      <c r="M348" s="15" t="e">
        <v>#VALUE!</v>
      </c>
      <c r="N348" s="15" t="e">
        <v>#VALUE!</v>
      </c>
      <c r="O348" s="15" t="e">
        <v>#VALUE!</v>
      </c>
      <c r="P348" s="15" t="e">
        <v>#VALUE!</v>
      </c>
      <c r="Q348" s="15" t="e">
        <v>#VALUE!</v>
      </c>
      <c r="R348" s="15" t="e">
        <v>#VALUE!</v>
      </c>
      <c r="S348" s="15" t="e">
        <v>#VALUE!</v>
      </c>
      <c r="T348" s="129">
        <v>0.12708188022957273</v>
      </c>
      <c r="U348" s="130" t="e">
        <f t="shared" si="23"/>
        <v>#VALUE!</v>
      </c>
      <c r="V348" s="129">
        <v>0.12708188022957273</v>
      </c>
      <c r="W348" s="130" t="e">
        <f t="shared" si="20"/>
        <v>#VALUE!</v>
      </c>
      <c r="X348" s="129">
        <v>0.12708188022957273</v>
      </c>
      <c r="Y348" s="130" t="e">
        <f t="shared" si="21"/>
        <v>#VALUE!</v>
      </c>
      <c r="Z348" s="129">
        <v>0.12708188022957273</v>
      </c>
      <c r="AA348" s="130" t="e">
        <f t="shared" si="22"/>
        <v>#VALUE!</v>
      </c>
    </row>
    <row r="349" spans="1:27" x14ac:dyDescent="0.3">
      <c r="A349">
        <v>291600</v>
      </c>
      <c r="B349">
        <v>17031291600</v>
      </c>
      <c r="C349">
        <v>17031</v>
      </c>
      <c r="D349">
        <v>2010</v>
      </c>
      <c r="E349">
        <v>29</v>
      </c>
      <c r="F349">
        <v>2376805.6047521001</v>
      </c>
      <c r="G349" s="43">
        <v>8.5256169821514155E-2</v>
      </c>
      <c r="H349" s="58" t="str">
        <f>_xlfn.IFNA(
INDEX(CA!B$2:B$78,MATCH($E349,CA!$A$2:$A$78,0)),
"")</f>
        <v>NORTH LAWNDALE</v>
      </c>
      <c r="I349" s="60" t="str">
        <f>_xlfn.IFNA(
INDEX(CA!C$2:C$78,MATCH($E349,CA!$A$2:$A$78,0)),
"")</f>
        <v>3-A</v>
      </c>
      <c r="J349" s="60">
        <f>_xlfn.IFNA(
INDEX(CA!D$2:D$78,MATCH($E349,CA!$A$2:$A$78,0)),
"")</f>
        <v>3</v>
      </c>
      <c r="K349" s="58" t="str">
        <f>_xlfn.IFNA(
INDEX(CA!E$2:E$78,MATCH($E349,CA!$A$2:$A$78,0)),
"")</f>
        <v>WEST</v>
      </c>
      <c r="L349" s="15" t="e">
        <v>#VALUE!</v>
      </c>
      <c r="M349" s="15" t="e">
        <v>#VALUE!</v>
      </c>
      <c r="N349" s="15" t="e">
        <v>#VALUE!</v>
      </c>
      <c r="O349" s="15" t="e">
        <v>#VALUE!</v>
      </c>
      <c r="P349" s="15" t="e">
        <v>#VALUE!</v>
      </c>
      <c r="Q349" s="15" t="e">
        <v>#VALUE!</v>
      </c>
      <c r="R349" s="15" t="e">
        <v>#VALUE!</v>
      </c>
      <c r="S349" s="15" t="e">
        <v>#VALUE!</v>
      </c>
      <c r="T349" s="129">
        <v>8.5256170742443613E-2</v>
      </c>
      <c r="U349" s="130" t="e">
        <f t="shared" si="23"/>
        <v>#VALUE!</v>
      </c>
      <c r="V349" s="129">
        <v>8.5256170742443613E-2</v>
      </c>
      <c r="W349" s="130" t="e">
        <f t="shared" si="20"/>
        <v>#VALUE!</v>
      </c>
      <c r="X349" s="129">
        <v>8.5256170742443613E-2</v>
      </c>
      <c r="Y349" s="130" t="e">
        <f t="shared" si="21"/>
        <v>#VALUE!</v>
      </c>
      <c r="Z349" s="129">
        <v>8.5256170742443613E-2</v>
      </c>
      <c r="AA349" s="130" t="e">
        <f t="shared" si="22"/>
        <v>#VALUE!</v>
      </c>
    </row>
    <row r="350" spans="1:27" x14ac:dyDescent="0.3">
      <c r="A350">
        <v>841400</v>
      </c>
      <c r="B350">
        <v>17031841400</v>
      </c>
      <c r="C350">
        <v>17031</v>
      </c>
      <c r="D350">
        <v>2010</v>
      </c>
      <c r="E350">
        <v>29</v>
      </c>
      <c r="F350">
        <v>2596681.6643055798</v>
      </c>
      <c r="G350" s="43">
        <v>9.3143138211144824E-2</v>
      </c>
      <c r="H350" s="58" t="str">
        <f>_xlfn.IFNA(
INDEX(CA!B$2:B$78,MATCH($E350,CA!$A$2:$A$78,0)),
"")</f>
        <v>NORTH LAWNDALE</v>
      </c>
      <c r="I350" s="60" t="str">
        <f>_xlfn.IFNA(
INDEX(CA!C$2:C$78,MATCH($E350,CA!$A$2:$A$78,0)),
"")</f>
        <v>3-A</v>
      </c>
      <c r="J350" s="60">
        <f>_xlfn.IFNA(
INDEX(CA!D$2:D$78,MATCH($E350,CA!$A$2:$A$78,0)),
"")</f>
        <v>3</v>
      </c>
      <c r="K350" s="58" t="str">
        <f>_xlfn.IFNA(
INDEX(CA!E$2:E$78,MATCH($E350,CA!$A$2:$A$78,0)),
"")</f>
        <v>WEST</v>
      </c>
      <c r="L350" s="15" t="e">
        <v>#VALUE!</v>
      </c>
      <c r="M350" s="15" t="e">
        <v>#VALUE!</v>
      </c>
      <c r="N350" s="15" t="e">
        <v>#VALUE!</v>
      </c>
      <c r="O350" s="15" t="e">
        <v>#VALUE!</v>
      </c>
      <c r="P350" s="15" t="e">
        <v>#VALUE!</v>
      </c>
      <c r="Q350" s="15" t="e">
        <v>#VALUE!</v>
      </c>
      <c r="R350" s="15" t="e">
        <v>#VALUE!</v>
      </c>
      <c r="S350" s="15" t="e">
        <v>#VALUE!</v>
      </c>
      <c r="T350" s="129">
        <v>9.3143137600160353E-2</v>
      </c>
      <c r="U350" s="130" t="e">
        <f t="shared" si="23"/>
        <v>#VALUE!</v>
      </c>
      <c r="V350" s="129">
        <v>9.3143137600160353E-2</v>
      </c>
      <c r="W350" s="130" t="e">
        <f t="shared" si="20"/>
        <v>#VALUE!</v>
      </c>
      <c r="X350" s="129">
        <v>9.3143137600160353E-2</v>
      </c>
      <c r="Y350" s="130" t="e">
        <f t="shared" si="21"/>
        <v>#VALUE!</v>
      </c>
      <c r="Z350" s="129">
        <v>9.3143137600160353E-2</v>
      </c>
      <c r="AA350" s="130" t="e">
        <f t="shared" si="22"/>
        <v>#VALUE!</v>
      </c>
    </row>
    <row r="351" spans="1:27" x14ac:dyDescent="0.3">
      <c r="A351">
        <v>838600</v>
      </c>
      <c r="B351">
        <v>17031838600</v>
      </c>
      <c r="C351">
        <v>17031</v>
      </c>
      <c r="D351">
        <v>2010</v>
      </c>
      <c r="E351">
        <v>29</v>
      </c>
      <c r="F351">
        <v>2650804.15023873</v>
      </c>
      <c r="G351" s="43">
        <v>9.508451526051459E-2</v>
      </c>
      <c r="H351" s="58" t="str">
        <f>_xlfn.IFNA(
INDEX(CA!B$2:B$78,MATCH($E351,CA!$A$2:$A$78,0)),
"")</f>
        <v>NORTH LAWNDALE</v>
      </c>
      <c r="I351" s="60" t="str">
        <f>_xlfn.IFNA(
INDEX(CA!C$2:C$78,MATCH($E351,CA!$A$2:$A$78,0)),
"")</f>
        <v>3-A</v>
      </c>
      <c r="J351" s="60">
        <f>_xlfn.IFNA(
INDEX(CA!D$2:D$78,MATCH($E351,CA!$A$2:$A$78,0)),
"")</f>
        <v>3</v>
      </c>
      <c r="K351" s="58" t="str">
        <f>_xlfn.IFNA(
INDEX(CA!E$2:E$78,MATCH($E351,CA!$A$2:$A$78,0)),
"")</f>
        <v>WEST</v>
      </c>
      <c r="L351" s="15" t="e">
        <v>#VALUE!</v>
      </c>
      <c r="M351" s="15" t="e">
        <v>#VALUE!</v>
      </c>
      <c r="N351" s="15" t="e">
        <v>#VALUE!</v>
      </c>
      <c r="O351" s="15" t="e">
        <v>#VALUE!</v>
      </c>
      <c r="P351" s="15" t="e">
        <v>#VALUE!</v>
      </c>
      <c r="Q351" s="15" t="e">
        <v>#VALUE!</v>
      </c>
      <c r="R351" s="15" t="e">
        <v>#VALUE!</v>
      </c>
      <c r="S351" s="15" t="e">
        <v>#VALUE!</v>
      </c>
      <c r="T351" s="129">
        <v>9.5084511438260452E-2</v>
      </c>
      <c r="U351" s="130" t="e">
        <f t="shared" si="23"/>
        <v>#VALUE!</v>
      </c>
      <c r="V351" s="129">
        <v>9.5084511438260452E-2</v>
      </c>
      <c r="W351" s="130" t="e">
        <f t="shared" si="20"/>
        <v>#VALUE!</v>
      </c>
      <c r="X351" s="129">
        <v>9.5084511438260452E-2</v>
      </c>
      <c r="Y351" s="130" t="e">
        <f t="shared" si="21"/>
        <v>#VALUE!</v>
      </c>
      <c r="Z351" s="129">
        <v>9.5084511438260452E-2</v>
      </c>
      <c r="AA351" s="130" t="e">
        <f t="shared" si="22"/>
        <v>#VALUE!</v>
      </c>
    </row>
    <row r="352" spans="1:27" x14ac:dyDescent="0.3">
      <c r="A352">
        <v>843100</v>
      </c>
      <c r="B352">
        <v>17031843100</v>
      </c>
      <c r="C352">
        <v>17031</v>
      </c>
      <c r="D352">
        <v>2010</v>
      </c>
      <c r="E352">
        <v>29</v>
      </c>
      <c r="F352">
        <v>10844863.999245601</v>
      </c>
      <c r="G352" s="43">
        <v>0.38900596875163568</v>
      </c>
      <c r="H352" s="58" t="str">
        <f>_xlfn.IFNA(
INDEX(CA!B$2:B$78,MATCH($E352,CA!$A$2:$A$78,0)),
"")</f>
        <v>NORTH LAWNDALE</v>
      </c>
      <c r="I352" s="60" t="str">
        <f>_xlfn.IFNA(
INDEX(CA!C$2:C$78,MATCH($E352,CA!$A$2:$A$78,0)),
"")</f>
        <v>3-A</v>
      </c>
      <c r="J352" s="60">
        <f>_xlfn.IFNA(
INDEX(CA!D$2:D$78,MATCH($E352,CA!$A$2:$A$78,0)),
"")</f>
        <v>3</v>
      </c>
      <c r="K352" s="58" t="str">
        <f>_xlfn.IFNA(
INDEX(CA!E$2:E$78,MATCH($E352,CA!$A$2:$A$78,0)),
"")</f>
        <v>WEST</v>
      </c>
      <c r="L352" s="15" t="e">
        <v>#VALUE!</v>
      </c>
      <c r="M352" s="15" t="e">
        <v>#VALUE!</v>
      </c>
      <c r="N352" s="15" t="e">
        <v>#VALUE!</v>
      </c>
      <c r="O352" s="15" t="e">
        <v>#VALUE!</v>
      </c>
      <c r="P352" s="15" t="e">
        <v>#VALUE!</v>
      </c>
      <c r="Q352" s="15" t="e">
        <v>#VALUE!</v>
      </c>
      <c r="R352" s="15" t="e">
        <v>#VALUE!</v>
      </c>
      <c r="S352" s="15" t="e">
        <v>#VALUE!</v>
      </c>
      <c r="T352" s="129">
        <v>0.38900596369352258</v>
      </c>
      <c r="U352" s="130" t="e">
        <f t="shared" si="23"/>
        <v>#VALUE!</v>
      </c>
      <c r="V352" s="129">
        <v>0.38900596369352258</v>
      </c>
      <c r="W352" s="130" t="e">
        <f t="shared" si="20"/>
        <v>#VALUE!</v>
      </c>
      <c r="X352" s="129">
        <v>0.38900596369352258</v>
      </c>
      <c r="Y352" s="130" t="e">
        <f t="shared" si="21"/>
        <v>#VALUE!</v>
      </c>
      <c r="Z352" s="129">
        <v>0.38900596369352258</v>
      </c>
      <c r="AA352" s="130" t="e">
        <f t="shared" si="22"/>
        <v>#VALUE!</v>
      </c>
    </row>
    <row r="353" spans="1:27" x14ac:dyDescent="0.3">
      <c r="A353">
        <v>843300</v>
      </c>
      <c r="B353">
        <v>17031843300</v>
      </c>
      <c r="C353">
        <v>17031</v>
      </c>
      <c r="D353">
        <v>2010</v>
      </c>
      <c r="E353">
        <v>29</v>
      </c>
      <c r="F353">
        <v>6376550.6477005603</v>
      </c>
      <c r="G353" s="43">
        <v>0.22872728161230774</v>
      </c>
      <c r="H353" s="58" t="str">
        <f>_xlfn.IFNA(
INDEX(CA!B$2:B$78,MATCH($E353,CA!$A$2:$A$78,0)),
"")</f>
        <v>NORTH LAWNDALE</v>
      </c>
      <c r="I353" s="60" t="str">
        <f>_xlfn.IFNA(
INDEX(CA!C$2:C$78,MATCH($E353,CA!$A$2:$A$78,0)),
"")</f>
        <v>3-A</v>
      </c>
      <c r="J353" s="60">
        <f>_xlfn.IFNA(
INDEX(CA!D$2:D$78,MATCH($E353,CA!$A$2:$A$78,0)),
"")</f>
        <v>3</v>
      </c>
      <c r="K353" s="58" t="str">
        <f>_xlfn.IFNA(
INDEX(CA!E$2:E$78,MATCH($E353,CA!$A$2:$A$78,0)),
"")</f>
        <v>WEST</v>
      </c>
      <c r="L353" s="15" t="e">
        <v>#VALUE!</v>
      </c>
      <c r="M353" s="15" t="e">
        <v>#VALUE!</v>
      </c>
      <c r="N353" s="15" t="e">
        <v>#VALUE!</v>
      </c>
      <c r="O353" s="15" t="e">
        <v>#VALUE!</v>
      </c>
      <c r="P353" s="15" t="e">
        <v>#VALUE!</v>
      </c>
      <c r="Q353" s="15" t="e">
        <v>#VALUE!</v>
      </c>
      <c r="R353" s="15" t="e">
        <v>#VALUE!</v>
      </c>
      <c r="S353" s="15" t="e">
        <v>#VALUE!</v>
      </c>
      <c r="T353" s="129">
        <v>0.22872728221035354</v>
      </c>
      <c r="U353" s="130" t="e">
        <f t="shared" si="23"/>
        <v>#VALUE!</v>
      </c>
      <c r="V353" s="129">
        <v>0.22872728221035354</v>
      </c>
      <c r="W353" s="130" t="e">
        <f t="shared" si="20"/>
        <v>#VALUE!</v>
      </c>
      <c r="X353" s="129">
        <v>0.22872728221035354</v>
      </c>
      <c r="Y353" s="130" t="e">
        <f t="shared" si="21"/>
        <v>#VALUE!</v>
      </c>
      <c r="Z353" s="129">
        <v>0.22872728221035354</v>
      </c>
      <c r="AA353" s="130" t="e">
        <f t="shared" si="22"/>
        <v>#VALUE!</v>
      </c>
    </row>
    <row r="354" spans="1:27" x14ac:dyDescent="0.3">
      <c r="A354">
        <v>838700</v>
      </c>
      <c r="B354">
        <v>17031838700</v>
      </c>
      <c r="C354">
        <v>17031</v>
      </c>
      <c r="D354">
        <v>2010</v>
      </c>
      <c r="E354">
        <v>29</v>
      </c>
      <c r="F354">
        <v>7083629.0813018903</v>
      </c>
      <c r="G354" s="43">
        <v>0.25409023047599183</v>
      </c>
      <c r="H354" s="58" t="str">
        <f>_xlfn.IFNA(
INDEX(CA!B$2:B$78,MATCH($E354,CA!$A$2:$A$78,0)),
"")</f>
        <v>NORTH LAWNDALE</v>
      </c>
      <c r="I354" s="60" t="str">
        <f>_xlfn.IFNA(
INDEX(CA!C$2:C$78,MATCH($E354,CA!$A$2:$A$78,0)),
"")</f>
        <v>3-A</v>
      </c>
      <c r="J354" s="60">
        <f>_xlfn.IFNA(
INDEX(CA!D$2:D$78,MATCH($E354,CA!$A$2:$A$78,0)),
"")</f>
        <v>3</v>
      </c>
      <c r="K354" s="58" t="str">
        <f>_xlfn.IFNA(
INDEX(CA!E$2:E$78,MATCH($E354,CA!$A$2:$A$78,0)),
"")</f>
        <v>WEST</v>
      </c>
      <c r="L354" s="15" t="e">
        <v>#VALUE!</v>
      </c>
      <c r="M354" s="15" t="e">
        <v>#VALUE!</v>
      </c>
      <c r="N354" s="15" t="e">
        <v>#VALUE!</v>
      </c>
      <c r="O354" s="15" t="e">
        <v>#VALUE!</v>
      </c>
      <c r="P354" s="15" t="e">
        <v>#VALUE!</v>
      </c>
      <c r="Q354" s="15" t="e">
        <v>#VALUE!</v>
      </c>
      <c r="R354" s="15" t="e">
        <v>#VALUE!</v>
      </c>
      <c r="S354" s="15" t="e">
        <v>#VALUE!</v>
      </c>
      <c r="T354" s="129">
        <v>0.25409022529425251</v>
      </c>
      <c r="U354" s="130" t="e">
        <f t="shared" si="23"/>
        <v>#VALUE!</v>
      </c>
      <c r="V354" s="129">
        <v>0.25409022529425251</v>
      </c>
      <c r="W354" s="130" t="e">
        <f t="shared" si="20"/>
        <v>#VALUE!</v>
      </c>
      <c r="X354" s="129">
        <v>0.25409022529425251</v>
      </c>
      <c r="Y354" s="130" t="e">
        <f t="shared" si="21"/>
        <v>#VALUE!</v>
      </c>
      <c r="Z354" s="129">
        <v>0.25409022529425251</v>
      </c>
      <c r="AA354" s="130" t="e">
        <f t="shared" si="22"/>
        <v>#VALUE!</v>
      </c>
    </row>
    <row r="355" spans="1:27" x14ac:dyDescent="0.3">
      <c r="A355">
        <v>292500</v>
      </c>
      <c r="B355">
        <v>17031292500</v>
      </c>
      <c r="C355">
        <v>17031</v>
      </c>
      <c r="D355">
        <v>2010</v>
      </c>
      <c r="E355">
        <v>29</v>
      </c>
      <c r="F355">
        <v>10751827.100140501</v>
      </c>
      <c r="G355" s="43">
        <v>0.38566872920040252</v>
      </c>
      <c r="H355" s="58" t="str">
        <f>_xlfn.IFNA(
INDEX(CA!B$2:B$78,MATCH($E355,CA!$A$2:$A$78,0)),
"")</f>
        <v>NORTH LAWNDALE</v>
      </c>
      <c r="I355" s="60" t="str">
        <f>_xlfn.IFNA(
INDEX(CA!C$2:C$78,MATCH($E355,CA!$A$2:$A$78,0)),
"")</f>
        <v>3-A</v>
      </c>
      <c r="J355" s="60">
        <f>_xlfn.IFNA(
INDEX(CA!D$2:D$78,MATCH($E355,CA!$A$2:$A$78,0)),
"")</f>
        <v>3</v>
      </c>
      <c r="K355" s="58" t="str">
        <f>_xlfn.IFNA(
INDEX(CA!E$2:E$78,MATCH($E355,CA!$A$2:$A$78,0)),
"")</f>
        <v>WEST</v>
      </c>
      <c r="L355" s="15" t="e">
        <v>#VALUE!</v>
      </c>
      <c r="M355" s="15" t="e">
        <v>#VALUE!</v>
      </c>
      <c r="N355" s="15" t="e">
        <v>#VALUE!</v>
      </c>
      <c r="O355" s="15" t="e">
        <v>#VALUE!</v>
      </c>
      <c r="P355" s="15" t="e">
        <v>#VALUE!</v>
      </c>
      <c r="Q355" s="15" t="e">
        <v>#VALUE!</v>
      </c>
      <c r="R355" s="15" t="e">
        <v>#VALUE!</v>
      </c>
      <c r="S355" s="15" t="e">
        <v>#VALUE!</v>
      </c>
      <c r="T355" s="129">
        <v>1.5244699763864784E-2</v>
      </c>
      <c r="U355" s="130" t="e">
        <f t="shared" si="23"/>
        <v>#VALUE!</v>
      </c>
      <c r="V355" s="129">
        <v>1.5244699763864784E-2</v>
      </c>
      <c r="W355" s="130" t="e">
        <f t="shared" si="20"/>
        <v>#VALUE!</v>
      </c>
      <c r="X355" s="129">
        <v>1.5244699763864784E-2</v>
      </c>
      <c r="Y355" s="130" t="e">
        <f t="shared" si="21"/>
        <v>#VALUE!</v>
      </c>
      <c r="Z355" s="129">
        <v>1.5244699763864784E-2</v>
      </c>
      <c r="AA355" s="130" t="e">
        <f t="shared" si="22"/>
        <v>#VALUE!</v>
      </c>
    </row>
    <row r="356" spans="1:27" x14ac:dyDescent="0.3">
      <c r="A356">
        <v>843000</v>
      </c>
      <c r="B356">
        <v>17031843000</v>
      </c>
      <c r="C356">
        <v>17031</v>
      </c>
      <c r="D356">
        <v>2010</v>
      </c>
      <c r="E356">
        <v>29</v>
      </c>
      <c r="F356">
        <v>11417806.763133099</v>
      </c>
      <c r="G356" s="43">
        <v>0.40955746252055714</v>
      </c>
      <c r="H356" s="58" t="str">
        <f>_xlfn.IFNA(
INDEX(CA!B$2:B$78,MATCH($E356,CA!$A$2:$A$78,0)),
"")</f>
        <v>NORTH LAWNDALE</v>
      </c>
      <c r="I356" s="60" t="str">
        <f>_xlfn.IFNA(
INDEX(CA!C$2:C$78,MATCH($E356,CA!$A$2:$A$78,0)),
"")</f>
        <v>3-A</v>
      </c>
      <c r="J356" s="60">
        <f>_xlfn.IFNA(
INDEX(CA!D$2:D$78,MATCH($E356,CA!$A$2:$A$78,0)),
"")</f>
        <v>3</v>
      </c>
      <c r="K356" s="58" t="str">
        <f>_xlfn.IFNA(
INDEX(CA!E$2:E$78,MATCH($E356,CA!$A$2:$A$78,0)),
"")</f>
        <v>WEST</v>
      </c>
      <c r="L356" s="15" t="e">
        <v>#VALUE!</v>
      </c>
      <c r="M356" s="15" t="e">
        <v>#VALUE!</v>
      </c>
      <c r="N356" s="15" t="e">
        <v>#VALUE!</v>
      </c>
      <c r="O356" s="15" t="e">
        <v>#VALUE!</v>
      </c>
      <c r="P356" s="15" t="e">
        <v>#VALUE!</v>
      </c>
      <c r="Q356" s="15" t="e">
        <v>#VALUE!</v>
      </c>
      <c r="R356" s="15" t="e">
        <v>#VALUE!</v>
      </c>
      <c r="S356" s="15" t="e">
        <v>#VALUE!</v>
      </c>
      <c r="T356" s="129">
        <v>0.27854526014924175</v>
      </c>
      <c r="U356" s="130" t="e">
        <f t="shared" si="23"/>
        <v>#VALUE!</v>
      </c>
      <c r="V356" s="129">
        <v>0.27854526014924175</v>
      </c>
      <c r="W356" s="130" t="e">
        <f t="shared" si="20"/>
        <v>#VALUE!</v>
      </c>
      <c r="X356" s="129">
        <v>0.27854526014924175</v>
      </c>
      <c r="Y356" s="130" t="e">
        <f t="shared" si="21"/>
        <v>#VALUE!</v>
      </c>
      <c r="Z356" s="129">
        <v>0.27854526014924175</v>
      </c>
      <c r="AA356" s="130" t="e">
        <f t="shared" si="22"/>
        <v>#VALUE!</v>
      </c>
    </row>
    <row r="357" spans="1:27" x14ac:dyDescent="0.3">
      <c r="A357">
        <v>292400</v>
      </c>
      <c r="B357">
        <v>17031292400</v>
      </c>
      <c r="C357">
        <v>17031</v>
      </c>
      <c r="D357">
        <v>2010</v>
      </c>
      <c r="E357">
        <v>29</v>
      </c>
      <c r="F357">
        <v>3561491.1461907201</v>
      </c>
      <c r="G357" s="43">
        <v>0.12775091634350322</v>
      </c>
      <c r="H357" s="58" t="str">
        <f>_xlfn.IFNA(
INDEX(CA!B$2:B$78,MATCH($E357,CA!$A$2:$A$78,0)),
"")</f>
        <v>NORTH LAWNDALE</v>
      </c>
      <c r="I357" s="60" t="str">
        <f>_xlfn.IFNA(
INDEX(CA!C$2:C$78,MATCH($E357,CA!$A$2:$A$78,0)),
"")</f>
        <v>3-A</v>
      </c>
      <c r="J357" s="60">
        <f>_xlfn.IFNA(
INDEX(CA!D$2:D$78,MATCH($E357,CA!$A$2:$A$78,0)),
"")</f>
        <v>3</v>
      </c>
      <c r="K357" s="58" t="str">
        <f>_xlfn.IFNA(
INDEX(CA!E$2:E$78,MATCH($E357,CA!$A$2:$A$78,0)),
"")</f>
        <v>WEST</v>
      </c>
      <c r="L357" s="15" t="e">
        <v>#VALUE!</v>
      </c>
      <c r="M357" s="15" t="e">
        <v>#VALUE!</v>
      </c>
      <c r="N357" s="15" t="e">
        <v>#VALUE!</v>
      </c>
      <c r="O357" s="15" t="e">
        <v>#VALUE!</v>
      </c>
      <c r="P357" s="15" t="e">
        <v>#VALUE!</v>
      </c>
      <c r="Q357" s="15" t="e">
        <v>#VALUE!</v>
      </c>
      <c r="R357" s="15" t="e">
        <v>#VALUE!</v>
      </c>
      <c r="S357" s="15" t="e">
        <v>#VALUE!</v>
      </c>
      <c r="T357" s="129">
        <v>0.12664983128899221</v>
      </c>
      <c r="U357" s="130" t="e">
        <f t="shared" si="23"/>
        <v>#VALUE!</v>
      </c>
      <c r="V357" s="129">
        <v>0.12664983128899221</v>
      </c>
      <c r="W357" s="130" t="e">
        <f t="shared" si="20"/>
        <v>#VALUE!</v>
      </c>
      <c r="X357" s="129">
        <v>0.12664983128899221</v>
      </c>
      <c r="Y357" s="130" t="e">
        <f t="shared" si="21"/>
        <v>#VALUE!</v>
      </c>
      <c r="Z357" s="129">
        <v>0.12664983128899221</v>
      </c>
      <c r="AA357" s="130" t="e">
        <f t="shared" si="22"/>
        <v>#VALUE!</v>
      </c>
    </row>
    <row r="358" spans="1:27" x14ac:dyDescent="0.3">
      <c r="A358">
        <v>841500</v>
      </c>
      <c r="B358">
        <v>17031841500</v>
      </c>
      <c r="C358">
        <v>17031</v>
      </c>
      <c r="D358">
        <v>2010</v>
      </c>
      <c r="E358">
        <v>29</v>
      </c>
      <c r="F358">
        <v>4712673.8696518596</v>
      </c>
      <c r="G358" s="43">
        <v>0.16904391463110721</v>
      </c>
      <c r="H358" s="58" t="str">
        <f>_xlfn.IFNA(
INDEX(CA!B$2:B$78,MATCH($E358,CA!$A$2:$A$78,0)),
"")</f>
        <v>NORTH LAWNDALE</v>
      </c>
      <c r="I358" s="60" t="str">
        <f>_xlfn.IFNA(
INDEX(CA!C$2:C$78,MATCH($E358,CA!$A$2:$A$78,0)),
"")</f>
        <v>3-A</v>
      </c>
      <c r="J358" s="60">
        <f>_xlfn.IFNA(
INDEX(CA!D$2:D$78,MATCH($E358,CA!$A$2:$A$78,0)),
"")</f>
        <v>3</v>
      </c>
      <c r="K358" s="58" t="str">
        <f>_xlfn.IFNA(
INDEX(CA!E$2:E$78,MATCH($E358,CA!$A$2:$A$78,0)),
"")</f>
        <v>WEST</v>
      </c>
      <c r="L358" s="15" t="e">
        <v>#VALUE!</v>
      </c>
      <c r="M358" s="15" t="e">
        <v>#VALUE!</v>
      </c>
      <c r="N358" s="15" t="e">
        <v>#VALUE!</v>
      </c>
      <c r="O358" s="15" t="e">
        <v>#VALUE!</v>
      </c>
      <c r="P358" s="15" t="e">
        <v>#VALUE!</v>
      </c>
      <c r="Q358" s="15" t="e">
        <v>#VALUE!</v>
      </c>
      <c r="R358" s="15" t="e">
        <v>#VALUE!</v>
      </c>
      <c r="S358" s="15" t="e">
        <v>#VALUE!</v>
      </c>
      <c r="T358" s="129">
        <v>0.16904391873790606</v>
      </c>
      <c r="U358" s="130" t="e">
        <f t="shared" si="23"/>
        <v>#VALUE!</v>
      </c>
      <c r="V358" s="129">
        <v>0.16904391873790606</v>
      </c>
      <c r="W358" s="130" t="e">
        <f t="shared" si="20"/>
        <v>#VALUE!</v>
      </c>
      <c r="X358" s="129">
        <v>0.16904391873790606</v>
      </c>
      <c r="Y358" s="130" t="e">
        <f t="shared" si="21"/>
        <v>#VALUE!</v>
      </c>
      <c r="Z358" s="129">
        <v>0.16904391873790606</v>
      </c>
      <c r="AA358" s="130" t="e">
        <f t="shared" si="22"/>
        <v>#VALUE!</v>
      </c>
    </row>
    <row r="359" spans="1:27" x14ac:dyDescent="0.3">
      <c r="A359">
        <v>292200</v>
      </c>
      <c r="B359">
        <v>17031292200</v>
      </c>
      <c r="C359">
        <v>17031</v>
      </c>
      <c r="D359">
        <v>2010</v>
      </c>
      <c r="E359">
        <v>29</v>
      </c>
      <c r="F359">
        <v>4256210.4734648503</v>
      </c>
      <c r="G359" s="43">
        <v>0.15267054326879773</v>
      </c>
      <c r="H359" s="58" t="str">
        <f>_xlfn.IFNA(
INDEX(CA!B$2:B$78,MATCH($E359,CA!$A$2:$A$78,0)),
"")</f>
        <v>NORTH LAWNDALE</v>
      </c>
      <c r="I359" s="60" t="str">
        <f>_xlfn.IFNA(
INDEX(CA!C$2:C$78,MATCH($E359,CA!$A$2:$A$78,0)),
"")</f>
        <v>3-A</v>
      </c>
      <c r="J359" s="60">
        <f>_xlfn.IFNA(
INDEX(CA!D$2:D$78,MATCH($E359,CA!$A$2:$A$78,0)),
"")</f>
        <v>3</v>
      </c>
      <c r="K359" s="58" t="str">
        <f>_xlfn.IFNA(
INDEX(CA!E$2:E$78,MATCH($E359,CA!$A$2:$A$78,0)),
"")</f>
        <v>WEST</v>
      </c>
      <c r="L359" s="15" t="e">
        <v>#VALUE!</v>
      </c>
      <c r="M359" s="15" t="e">
        <v>#VALUE!</v>
      </c>
      <c r="N359" s="15" t="e">
        <v>#VALUE!</v>
      </c>
      <c r="O359" s="15" t="e">
        <v>#VALUE!</v>
      </c>
      <c r="P359" s="15" t="e">
        <v>#VALUE!</v>
      </c>
      <c r="Q359" s="15" t="e">
        <v>#VALUE!</v>
      </c>
      <c r="R359" s="15" t="e">
        <v>#VALUE!</v>
      </c>
      <c r="S359" s="15" t="e">
        <v>#VALUE!</v>
      </c>
      <c r="T359" s="129">
        <v>0.15267054263748567</v>
      </c>
      <c r="U359" s="130" t="e">
        <f t="shared" si="23"/>
        <v>#VALUE!</v>
      </c>
      <c r="V359" s="129">
        <v>0.15267054263748567</v>
      </c>
      <c r="W359" s="130" t="e">
        <f t="shared" si="20"/>
        <v>#VALUE!</v>
      </c>
      <c r="X359" s="129">
        <v>0.15267054263748567</v>
      </c>
      <c r="Y359" s="130" t="e">
        <f t="shared" si="21"/>
        <v>#VALUE!</v>
      </c>
      <c r="Z359" s="129">
        <v>0.15267054263748567</v>
      </c>
      <c r="AA359" s="130" t="e">
        <f t="shared" si="22"/>
        <v>#VALUE!</v>
      </c>
    </row>
    <row r="360" spans="1:27" x14ac:dyDescent="0.3">
      <c r="A360">
        <v>31000</v>
      </c>
      <c r="B360">
        <v>17031031000</v>
      </c>
      <c r="C360">
        <v>17031</v>
      </c>
      <c r="D360">
        <v>2010</v>
      </c>
      <c r="E360">
        <v>3</v>
      </c>
      <c r="F360">
        <v>4573936.1953534801</v>
      </c>
      <c r="G360" s="43">
        <v>0.16406738533608387</v>
      </c>
      <c r="H360" s="58" t="str">
        <f>_xlfn.IFNA(
INDEX(CA!B$2:B$78,MATCH($E360,CA!$A$2:$A$78,0)),
"")</f>
        <v>UPTOWN</v>
      </c>
      <c r="I360" s="60" t="str">
        <f>_xlfn.IFNA(
INDEX(CA!C$2:C$78,MATCH($E360,CA!$A$2:$A$78,0)),
"")</f>
        <v>1-A</v>
      </c>
      <c r="J360" s="60">
        <f>_xlfn.IFNA(
INDEX(CA!D$2:D$78,MATCH($E360,CA!$A$2:$A$78,0)),
"")</f>
        <v>1</v>
      </c>
      <c r="K360" s="58" t="str">
        <f>_xlfn.IFNA(
INDEX(CA!E$2:E$78,MATCH($E360,CA!$A$2:$A$78,0)),
"")</f>
        <v>NORTH</v>
      </c>
      <c r="L360" s="15" t="e">
        <v>#VALUE!</v>
      </c>
      <c r="M360" s="15" t="e">
        <v>#VALUE!</v>
      </c>
      <c r="N360" s="15" t="e">
        <v>#VALUE!</v>
      </c>
      <c r="O360" s="15" t="e">
        <v>#VALUE!</v>
      </c>
      <c r="P360" s="15" t="e">
        <v>#VALUE!</v>
      </c>
      <c r="Q360" s="15" t="e">
        <v>#VALUE!</v>
      </c>
      <c r="R360" s="15" t="e">
        <v>#VALUE!</v>
      </c>
      <c r="S360" s="15" t="e">
        <v>#VALUE!</v>
      </c>
      <c r="T360" s="129">
        <v>0.16406737985024999</v>
      </c>
      <c r="U360" s="130" t="e">
        <f t="shared" si="23"/>
        <v>#VALUE!</v>
      </c>
      <c r="V360" s="129">
        <v>0.16406737985024999</v>
      </c>
      <c r="W360" s="130" t="e">
        <f t="shared" si="20"/>
        <v>#VALUE!</v>
      </c>
      <c r="X360" s="129">
        <v>0.16406737985024999</v>
      </c>
      <c r="Y360" s="130" t="e">
        <f t="shared" si="21"/>
        <v>#VALUE!</v>
      </c>
      <c r="Z360" s="129">
        <v>0.16406737985024999</v>
      </c>
      <c r="AA360" s="130" t="e">
        <f t="shared" si="22"/>
        <v>#VALUE!</v>
      </c>
    </row>
    <row r="361" spans="1:27" x14ac:dyDescent="0.3">
      <c r="A361">
        <v>31100</v>
      </c>
      <c r="B361">
        <v>17031031100</v>
      </c>
      <c r="C361">
        <v>17031</v>
      </c>
      <c r="D361">
        <v>2010</v>
      </c>
      <c r="E361">
        <v>3</v>
      </c>
      <c r="F361">
        <v>5921329.2876184704</v>
      </c>
      <c r="G361" s="43">
        <v>0.21239846216491873</v>
      </c>
      <c r="H361" s="58" t="str">
        <f>_xlfn.IFNA(
INDEX(CA!B$2:B$78,MATCH($E361,CA!$A$2:$A$78,0)),
"")</f>
        <v>UPTOWN</v>
      </c>
      <c r="I361" s="60" t="str">
        <f>_xlfn.IFNA(
INDEX(CA!C$2:C$78,MATCH($E361,CA!$A$2:$A$78,0)),
"")</f>
        <v>1-A</v>
      </c>
      <c r="J361" s="60">
        <f>_xlfn.IFNA(
INDEX(CA!D$2:D$78,MATCH($E361,CA!$A$2:$A$78,0)),
"")</f>
        <v>1</v>
      </c>
      <c r="K361" s="58" t="str">
        <f>_xlfn.IFNA(
INDEX(CA!E$2:E$78,MATCH($E361,CA!$A$2:$A$78,0)),
"")</f>
        <v>NORTH</v>
      </c>
      <c r="L361" s="15" t="e">
        <v>#VALUE!</v>
      </c>
      <c r="M361" s="15" t="e">
        <v>#VALUE!</v>
      </c>
      <c r="N361" s="15" t="e">
        <v>#VALUE!</v>
      </c>
      <c r="O361" s="15" t="e">
        <v>#VALUE!</v>
      </c>
      <c r="P361" s="15" t="e">
        <v>#VALUE!</v>
      </c>
      <c r="Q361" s="15" t="e">
        <v>#VALUE!</v>
      </c>
      <c r="R361" s="15" t="e">
        <v>#VALUE!</v>
      </c>
      <c r="S361" s="15" t="e">
        <v>#VALUE!</v>
      </c>
      <c r="T361" s="129">
        <v>0.21239846635915549</v>
      </c>
      <c r="U361" s="130" t="e">
        <f t="shared" si="23"/>
        <v>#VALUE!</v>
      </c>
      <c r="V361" s="129">
        <v>0.21239846635915549</v>
      </c>
      <c r="W361" s="130" t="e">
        <f t="shared" si="20"/>
        <v>#VALUE!</v>
      </c>
      <c r="X361" s="129">
        <v>0.21239846635915549</v>
      </c>
      <c r="Y361" s="130" t="e">
        <f t="shared" si="21"/>
        <v>#VALUE!</v>
      </c>
      <c r="Z361" s="129">
        <v>0.21239846635915549</v>
      </c>
      <c r="AA361" s="130" t="e">
        <f t="shared" si="22"/>
        <v>#VALUE!</v>
      </c>
    </row>
    <row r="362" spans="1:27" x14ac:dyDescent="0.3">
      <c r="A362">
        <v>31200</v>
      </c>
      <c r="B362">
        <v>17031031200</v>
      </c>
      <c r="C362">
        <v>17031</v>
      </c>
      <c r="D362">
        <v>2010</v>
      </c>
      <c r="E362">
        <v>3</v>
      </c>
      <c r="F362">
        <v>3513608.4973658002</v>
      </c>
      <c r="G362" s="43">
        <v>0.12603336265229712</v>
      </c>
      <c r="H362" s="58" t="str">
        <f>_xlfn.IFNA(
INDEX(CA!B$2:B$78,MATCH($E362,CA!$A$2:$A$78,0)),
"")</f>
        <v>UPTOWN</v>
      </c>
      <c r="I362" s="60" t="str">
        <f>_xlfn.IFNA(
INDEX(CA!C$2:C$78,MATCH($E362,CA!$A$2:$A$78,0)),
"")</f>
        <v>1-A</v>
      </c>
      <c r="J362" s="60">
        <f>_xlfn.IFNA(
INDEX(CA!D$2:D$78,MATCH($E362,CA!$A$2:$A$78,0)),
"")</f>
        <v>1</v>
      </c>
      <c r="K362" s="58" t="str">
        <f>_xlfn.IFNA(
INDEX(CA!E$2:E$78,MATCH($E362,CA!$A$2:$A$78,0)),
"")</f>
        <v>NORTH</v>
      </c>
      <c r="L362" s="15" t="e">
        <v>#VALUE!</v>
      </c>
      <c r="M362" s="15" t="e">
        <v>#VALUE!</v>
      </c>
      <c r="N362" s="15" t="e">
        <v>#VALUE!</v>
      </c>
      <c r="O362" s="15" t="e">
        <v>#VALUE!</v>
      </c>
      <c r="P362" s="15" t="e">
        <v>#VALUE!</v>
      </c>
      <c r="Q362" s="15" t="e">
        <v>#VALUE!</v>
      </c>
      <c r="R362" s="15" t="e">
        <v>#VALUE!</v>
      </c>
      <c r="S362" s="15" t="e">
        <v>#VALUE!</v>
      </c>
      <c r="T362" s="129">
        <v>0.12603336225478901</v>
      </c>
      <c r="U362" s="130" t="e">
        <f t="shared" si="23"/>
        <v>#VALUE!</v>
      </c>
      <c r="V362" s="129">
        <v>0.12603336225478901</v>
      </c>
      <c r="W362" s="130" t="e">
        <f t="shared" si="20"/>
        <v>#VALUE!</v>
      </c>
      <c r="X362" s="129">
        <v>0.12603336225478901</v>
      </c>
      <c r="Y362" s="130" t="e">
        <f t="shared" si="21"/>
        <v>#VALUE!</v>
      </c>
      <c r="Z362" s="129">
        <v>0.12603336225478901</v>
      </c>
      <c r="AA362" s="130" t="e">
        <f t="shared" si="22"/>
        <v>#VALUE!</v>
      </c>
    </row>
    <row r="363" spans="1:27" x14ac:dyDescent="0.3">
      <c r="A363">
        <v>31400</v>
      </c>
      <c r="B363">
        <v>17031031400</v>
      </c>
      <c r="C363">
        <v>17031</v>
      </c>
      <c r="D363">
        <v>2010</v>
      </c>
      <c r="E363">
        <v>3</v>
      </c>
      <c r="F363">
        <v>16395461.7401012</v>
      </c>
      <c r="G363" s="43">
        <v>0.58810626650385955</v>
      </c>
      <c r="H363" s="58" t="str">
        <f>_xlfn.IFNA(
INDEX(CA!B$2:B$78,MATCH($E363,CA!$A$2:$A$78,0)),
"")</f>
        <v>UPTOWN</v>
      </c>
      <c r="I363" s="60" t="str">
        <f>_xlfn.IFNA(
INDEX(CA!C$2:C$78,MATCH($E363,CA!$A$2:$A$78,0)),
"")</f>
        <v>1-A</v>
      </c>
      <c r="J363" s="60">
        <f>_xlfn.IFNA(
INDEX(CA!D$2:D$78,MATCH($E363,CA!$A$2:$A$78,0)),
"")</f>
        <v>1</v>
      </c>
      <c r="K363" s="58" t="str">
        <f>_xlfn.IFNA(
INDEX(CA!E$2:E$78,MATCH($E363,CA!$A$2:$A$78,0)),
"")</f>
        <v>NORTH</v>
      </c>
      <c r="L363" s="15" t="e">
        <v>#VALUE!</v>
      </c>
      <c r="M363" s="15" t="e">
        <v>#VALUE!</v>
      </c>
      <c r="N363" s="15" t="e">
        <v>#VALUE!</v>
      </c>
      <c r="O363" s="15" t="e">
        <v>#VALUE!</v>
      </c>
      <c r="P363" s="15" t="e">
        <v>#VALUE!</v>
      </c>
      <c r="Q363" s="15" t="e">
        <v>#VALUE!</v>
      </c>
      <c r="R363" s="15" t="e">
        <v>#VALUE!</v>
      </c>
      <c r="S363" s="15" t="e">
        <v>#VALUE!</v>
      </c>
      <c r="T363" s="129">
        <v>0.52686496004509942</v>
      </c>
      <c r="U363" s="130" t="e">
        <f t="shared" si="23"/>
        <v>#VALUE!</v>
      </c>
      <c r="V363" s="129">
        <v>0.52686496004509942</v>
      </c>
      <c r="W363" s="130" t="e">
        <f t="shared" si="20"/>
        <v>#VALUE!</v>
      </c>
      <c r="X363" s="129">
        <v>0.52686496004509942</v>
      </c>
      <c r="Y363" s="130" t="e">
        <f t="shared" si="21"/>
        <v>#VALUE!</v>
      </c>
      <c r="Z363" s="129">
        <v>0.52686496004509942</v>
      </c>
      <c r="AA363" s="130" t="e">
        <f t="shared" si="22"/>
        <v>#VALUE!</v>
      </c>
    </row>
    <row r="364" spans="1:27" x14ac:dyDescent="0.3">
      <c r="A364">
        <v>31700</v>
      </c>
      <c r="B364">
        <v>17031031700</v>
      </c>
      <c r="C364">
        <v>17031</v>
      </c>
      <c r="D364">
        <v>2010</v>
      </c>
      <c r="E364">
        <v>3</v>
      </c>
      <c r="F364">
        <v>5138944.7464356096</v>
      </c>
      <c r="G364" s="43">
        <v>0.18433427838167218</v>
      </c>
      <c r="H364" s="58" t="str">
        <f>_xlfn.IFNA(
INDEX(CA!B$2:B$78,MATCH($E364,CA!$A$2:$A$78,0)),
"")</f>
        <v>UPTOWN</v>
      </c>
      <c r="I364" s="60" t="str">
        <f>_xlfn.IFNA(
INDEX(CA!C$2:C$78,MATCH($E364,CA!$A$2:$A$78,0)),
"")</f>
        <v>1-A</v>
      </c>
      <c r="J364" s="60">
        <f>_xlfn.IFNA(
INDEX(CA!D$2:D$78,MATCH($E364,CA!$A$2:$A$78,0)),
"")</f>
        <v>1</v>
      </c>
      <c r="K364" s="58" t="str">
        <f>_xlfn.IFNA(
INDEX(CA!E$2:E$78,MATCH($E364,CA!$A$2:$A$78,0)),
"")</f>
        <v>NORTH</v>
      </c>
      <c r="L364" s="15" t="e">
        <v>#VALUE!</v>
      </c>
      <c r="M364" s="15" t="e">
        <v>#VALUE!</v>
      </c>
      <c r="N364" s="15" t="e">
        <v>#VALUE!</v>
      </c>
      <c r="O364" s="15" t="e">
        <v>#VALUE!</v>
      </c>
      <c r="P364" s="15" t="e">
        <v>#VALUE!</v>
      </c>
      <c r="Q364" s="15" t="e">
        <v>#VALUE!</v>
      </c>
      <c r="R364" s="15" t="e">
        <v>#VALUE!</v>
      </c>
      <c r="S364" s="15" t="e">
        <v>#VALUE!</v>
      </c>
      <c r="T364" s="129">
        <v>0.18433427605270533</v>
      </c>
      <c r="U364" s="130" t="e">
        <f t="shared" si="23"/>
        <v>#VALUE!</v>
      </c>
      <c r="V364" s="129">
        <v>0.18433427605270533</v>
      </c>
      <c r="W364" s="130" t="e">
        <f t="shared" si="20"/>
        <v>#VALUE!</v>
      </c>
      <c r="X364" s="129">
        <v>0.18433427605270533</v>
      </c>
      <c r="Y364" s="130" t="e">
        <f t="shared" si="21"/>
        <v>#VALUE!</v>
      </c>
      <c r="Z364" s="129">
        <v>0.18433427605270533</v>
      </c>
      <c r="AA364" s="130" t="e">
        <f t="shared" si="22"/>
        <v>#VALUE!</v>
      </c>
    </row>
    <row r="365" spans="1:27" x14ac:dyDescent="0.3">
      <c r="A365">
        <v>31800</v>
      </c>
      <c r="B365">
        <v>17031031800</v>
      </c>
      <c r="C365">
        <v>17031</v>
      </c>
      <c r="D365">
        <v>2010</v>
      </c>
      <c r="E365">
        <v>3</v>
      </c>
      <c r="F365">
        <v>2531147.7320449501</v>
      </c>
      <c r="G365" s="43">
        <v>9.0792431848490229E-2</v>
      </c>
      <c r="H365" s="58" t="str">
        <f>_xlfn.IFNA(
INDEX(CA!B$2:B$78,MATCH($E365,CA!$A$2:$A$78,0)),
"")</f>
        <v>UPTOWN</v>
      </c>
      <c r="I365" s="60" t="str">
        <f>_xlfn.IFNA(
INDEX(CA!C$2:C$78,MATCH($E365,CA!$A$2:$A$78,0)),
"")</f>
        <v>1-A</v>
      </c>
      <c r="J365" s="60">
        <f>_xlfn.IFNA(
INDEX(CA!D$2:D$78,MATCH($E365,CA!$A$2:$A$78,0)),
"")</f>
        <v>1</v>
      </c>
      <c r="K365" s="58" t="str">
        <f>_xlfn.IFNA(
INDEX(CA!E$2:E$78,MATCH($E365,CA!$A$2:$A$78,0)),
"")</f>
        <v>NORTH</v>
      </c>
      <c r="L365" s="15" t="e">
        <v>#VALUE!</v>
      </c>
      <c r="M365" s="15" t="e">
        <v>#VALUE!</v>
      </c>
      <c r="N365" s="15" t="e">
        <v>#VALUE!</v>
      </c>
      <c r="O365" s="15" t="e">
        <v>#VALUE!</v>
      </c>
      <c r="P365" s="15" t="e">
        <v>#VALUE!</v>
      </c>
      <c r="Q365" s="15" t="e">
        <v>#VALUE!</v>
      </c>
      <c r="R365" s="15" t="e">
        <v>#VALUE!</v>
      </c>
      <c r="S365" s="15" t="e">
        <v>#VALUE!</v>
      </c>
      <c r="T365" s="129">
        <v>9.0792431592174955E-2</v>
      </c>
      <c r="U365" s="130" t="e">
        <f t="shared" si="23"/>
        <v>#VALUE!</v>
      </c>
      <c r="V365" s="129">
        <v>9.0792431592174955E-2</v>
      </c>
      <c r="W365" s="130" t="e">
        <f t="shared" si="20"/>
        <v>#VALUE!</v>
      </c>
      <c r="X365" s="129">
        <v>9.0792431592174955E-2</v>
      </c>
      <c r="Y365" s="130" t="e">
        <f t="shared" si="21"/>
        <v>#VALUE!</v>
      </c>
      <c r="Z365" s="129">
        <v>9.0792431592174955E-2</v>
      </c>
      <c r="AA365" s="130" t="e">
        <f t="shared" si="22"/>
        <v>#VALUE!</v>
      </c>
    </row>
    <row r="366" spans="1:27" x14ac:dyDescent="0.3">
      <c r="A366">
        <v>31900</v>
      </c>
      <c r="B366">
        <v>17031031900</v>
      </c>
      <c r="C366">
        <v>17031</v>
      </c>
      <c r="D366">
        <v>2010</v>
      </c>
      <c r="E366">
        <v>3</v>
      </c>
      <c r="F366">
        <v>2773683.8061837298</v>
      </c>
      <c r="G366" s="43">
        <v>9.9492216417862211E-2</v>
      </c>
      <c r="H366" s="58" t="str">
        <f>_xlfn.IFNA(
INDEX(CA!B$2:B$78,MATCH($E366,CA!$A$2:$A$78,0)),
"")</f>
        <v>UPTOWN</v>
      </c>
      <c r="I366" s="60" t="str">
        <f>_xlfn.IFNA(
INDEX(CA!C$2:C$78,MATCH($E366,CA!$A$2:$A$78,0)),
"")</f>
        <v>1-A</v>
      </c>
      <c r="J366" s="60">
        <f>_xlfn.IFNA(
INDEX(CA!D$2:D$78,MATCH($E366,CA!$A$2:$A$78,0)),
"")</f>
        <v>1</v>
      </c>
      <c r="K366" s="58" t="str">
        <f>_xlfn.IFNA(
INDEX(CA!E$2:E$78,MATCH($E366,CA!$A$2:$A$78,0)),
"")</f>
        <v>NORTH</v>
      </c>
      <c r="L366" s="15" t="e">
        <v>#VALUE!</v>
      </c>
      <c r="M366" s="15" t="e">
        <v>#VALUE!</v>
      </c>
      <c r="N366" s="15" t="e">
        <v>#VALUE!</v>
      </c>
      <c r="O366" s="15" t="e">
        <v>#VALUE!</v>
      </c>
      <c r="P366" s="15" t="e">
        <v>#VALUE!</v>
      </c>
      <c r="Q366" s="15" t="e">
        <v>#VALUE!</v>
      </c>
      <c r="R366" s="15" t="e">
        <v>#VALUE!</v>
      </c>
      <c r="S366" s="15" t="e">
        <v>#VALUE!</v>
      </c>
      <c r="T366" s="129">
        <v>9.9492213108163668E-2</v>
      </c>
      <c r="U366" s="130" t="e">
        <f t="shared" si="23"/>
        <v>#VALUE!</v>
      </c>
      <c r="V366" s="129">
        <v>9.9492213108163668E-2</v>
      </c>
      <c r="W366" s="130" t="e">
        <f t="shared" si="20"/>
        <v>#VALUE!</v>
      </c>
      <c r="X366" s="129">
        <v>9.9492213108163668E-2</v>
      </c>
      <c r="Y366" s="130" t="e">
        <f t="shared" si="21"/>
        <v>#VALUE!</v>
      </c>
      <c r="Z366" s="129">
        <v>9.9492213108163668E-2</v>
      </c>
      <c r="AA366" s="130" t="e">
        <f t="shared" si="22"/>
        <v>#VALUE!</v>
      </c>
    </row>
    <row r="367" spans="1:27" x14ac:dyDescent="0.3">
      <c r="A367">
        <v>32100</v>
      </c>
      <c r="B367">
        <v>17031032100</v>
      </c>
      <c r="C367">
        <v>17031</v>
      </c>
      <c r="D367">
        <v>2010</v>
      </c>
      <c r="E367">
        <v>3</v>
      </c>
      <c r="F367">
        <v>4645213.0235406496</v>
      </c>
      <c r="G367" s="43">
        <v>0.16662408974477191</v>
      </c>
      <c r="H367" s="58" t="str">
        <f>_xlfn.IFNA(
INDEX(CA!B$2:B$78,MATCH($E367,CA!$A$2:$A$78,0)),
"")</f>
        <v>UPTOWN</v>
      </c>
      <c r="I367" s="60" t="str">
        <f>_xlfn.IFNA(
INDEX(CA!C$2:C$78,MATCH($E367,CA!$A$2:$A$78,0)),
"")</f>
        <v>1-A</v>
      </c>
      <c r="J367" s="60">
        <f>_xlfn.IFNA(
INDEX(CA!D$2:D$78,MATCH($E367,CA!$A$2:$A$78,0)),
"")</f>
        <v>1</v>
      </c>
      <c r="K367" s="58" t="str">
        <f>_xlfn.IFNA(
INDEX(CA!E$2:E$78,MATCH($E367,CA!$A$2:$A$78,0)),
"")</f>
        <v>NORTH</v>
      </c>
      <c r="L367" s="15" t="e">
        <v>#VALUE!</v>
      </c>
      <c r="M367" s="15" t="e">
        <v>#VALUE!</v>
      </c>
      <c r="N367" s="15" t="e">
        <v>#VALUE!</v>
      </c>
      <c r="O367" s="15" t="e">
        <v>#VALUE!</v>
      </c>
      <c r="P367" s="15" t="e">
        <v>#VALUE!</v>
      </c>
      <c r="Q367" s="15" t="e">
        <v>#VALUE!</v>
      </c>
      <c r="R367" s="15" t="e">
        <v>#VALUE!</v>
      </c>
      <c r="S367" s="15" t="e">
        <v>#VALUE!</v>
      </c>
      <c r="T367" s="129">
        <v>0.16662409006029724</v>
      </c>
      <c r="U367" s="130" t="e">
        <f t="shared" si="23"/>
        <v>#VALUE!</v>
      </c>
      <c r="V367" s="129">
        <v>0.16662409006029724</v>
      </c>
      <c r="W367" s="130" t="e">
        <f t="shared" si="20"/>
        <v>#VALUE!</v>
      </c>
      <c r="X367" s="129">
        <v>0.16662409006029724</v>
      </c>
      <c r="Y367" s="130" t="e">
        <f t="shared" si="21"/>
        <v>#VALUE!</v>
      </c>
      <c r="Z367" s="129">
        <v>0.16662409006029724</v>
      </c>
      <c r="AA367" s="130" t="e">
        <f t="shared" si="22"/>
        <v>#VALUE!</v>
      </c>
    </row>
    <row r="368" spans="1:27" x14ac:dyDescent="0.3">
      <c r="A368">
        <v>31502</v>
      </c>
      <c r="B368">
        <v>17031031502</v>
      </c>
      <c r="C368">
        <v>17031</v>
      </c>
      <c r="D368">
        <v>2010</v>
      </c>
      <c r="E368">
        <v>3</v>
      </c>
      <c r="F368">
        <v>1740369.52826211</v>
      </c>
      <c r="G368" s="43">
        <v>6.2427166848244876E-2</v>
      </c>
      <c r="H368" s="58" t="str">
        <f>_xlfn.IFNA(
INDEX(CA!B$2:B$78,MATCH($E368,CA!$A$2:$A$78,0)),
"")</f>
        <v>UPTOWN</v>
      </c>
      <c r="I368" s="60" t="str">
        <f>_xlfn.IFNA(
INDEX(CA!C$2:C$78,MATCH($E368,CA!$A$2:$A$78,0)),
"")</f>
        <v>1-A</v>
      </c>
      <c r="J368" s="60">
        <f>_xlfn.IFNA(
INDEX(CA!D$2:D$78,MATCH($E368,CA!$A$2:$A$78,0)),
"")</f>
        <v>1</v>
      </c>
      <c r="K368" s="58" t="str">
        <f>_xlfn.IFNA(
INDEX(CA!E$2:E$78,MATCH($E368,CA!$A$2:$A$78,0)),
"")</f>
        <v>NORTH</v>
      </c>
      <c r="L368" s="15" t="e">
        <v>#VALUE!</v>
      </c>
      <c r="M368" s="15" t="e">
        <v>#VALUE!</v>
      </c>
      <c r="N368" s="15" t="e">
        <v>#VALUE!</v>
      </c>
      <c r="O368" s="15" t="e">
        <v>#VALUE!</v>
      </c>
      <c r="P368" s="15" t="e">
        <v>#VALUE!</v>
      </c>
      <c r="Q368" s="15" t="e">
        <v>#VALUE!</v>
      </c>
      <c r="R368" s="15" t="e">
        <v>#VALUE!</v>
      </c>
      <c r="S368" s="15" t="e">
        <v>#VALUE!</v>
      </c>
      <c r="T368" s="129">
        <v>6.2427169080195057E-2</v>
      </c>
      <c r="U368" s="130" t="e">
        <f t="shared" si="23"/>
        <v>#VALUE!</v>
      </c>
      <c r="V368" s="129">
        <v>6.2427169080195057E-2</v>
      </c>
      <c r="W368" s="130" t="e">
        <f t="shared" si="20"/>
        <v>#VALUE!</v>
      </c>
      <c r="X368" s="129">
        <v>6.2427169080195057E-2</v>
      </c>
      <c r="Y368" s="130" t="e">
        <f t="shared" si="21"/>
        <v>#VALUE!</v>
      </c>
      <c r="Z368" s="129">
        <v>6.2427169080195057E-2</v>
      </c>
      <c r="AA368" s="130" t="e">
        <f t="shared" si="22"/>
        <v>#VALUE!</v>
      </c>
    </row>
    <row r="369" spans="1:27" x14ac:dyDescent="0.3">
      <c r="A369">
        <v>31300</v>
      </c>
      <c r="B369">
        <v>17031031300</v>
      </c>
      <c r="C369">
        <v>17031</v>
      </c>
      <c r="D369">
        <v>2010</v>
      </c>
      <c r="E369">
        <v>3</v>
      </c>
      <c r="F369">
        <v>6788224.6496266304</v>
      </c>
      <c r="G369" s="43">
        <v>0.24349405452345294</v>
      </c>
      <c r="H369" s="58" t="str">
        <f>_xlfn.IFNA(
INDEX(CA!B$2:B$78,MATCH($E369,CA!$A$2:$A$78,0)),
"")</f>
        <v>UPTOWN</v>
      </c>
      <c r="I369" s="60" t="str">
        <f>_xlfn.IFNA(
INDEX(CA!C$2:C$78,MATCH($E369,CA!$A$2:$A$78,0)),
"")</f>
        <v>1-A</v>
      </c>
      <c r="J369" s="60">
        <f>_xlfn.IFNA(
INDEX(CA!D$2:D$78,MATCH($E369,CA!$A$2:$A$78,0)),
"")</f>
        <v>1</v>
      </c>
      <c r="K369" s="58" t="str">
        <f>_xlfn.IFNA(
INDEX(CA!E$2:E$78,MATCH($E369,CA!$A$2:$A$78,0)),
"")</f>
        <v>NORTH</v>
      </c>
      <c r="L369" s="15" t="e">
        <v>#VALUE!</v>
      </c>
      <c r="M369" s="15" t="e">
        <v>#VALUE!</v>
      </c>
      <c r="N369" s="15" t="e">
        <v>#VALUE!</v>
      </c>
      <c r="O369" s="15" t="e">
        <v>#VALUE!</v>
      </c>
      <c r="P369" s="15" t="e">
        <v>#VALUE!</v>
      </c>
      <c r="Q369" s="15" t="e">
        <v>#VALUE!</v>
      </c>
      <c r="R369" s="15" t="e">
        <v>#VALUE!</v>
      </c>
      <c r="S369" s="15" t="e">
        <v>#VALUE!</v>
      </c>
      <c r="T369" s="129">
        <v>0.24349405664034629</v>
      </c>
      <c r="U369" s="130" t="e">
        <f t="shared" si="23"/>
        <v>#VALUE!</v>
      </c>
      <c r="V369" s="129">
        <v>0.24349405664034629</v>
      </c>
      <c r="W369" s="130" t="e">
        <f t="shared" si="20"/>
        <v>#VALUE!</v>
      </c>
      <c r="X369" s="129">
        <v>0.24349405664034629</v>
      </c>
      <c r="Y369" s="130" t="e">
        <f t="shared" si="21"/>
        <v>#VALUE!</v>
      </c>
      <c r="Z369" s="129">
        <v>0.24349405664034629</v>
      </c>
      <c r="AA369" s="130" t="e">
        <f t="shared" si="22"/>
        <v>#VALUE!</v>
      </c>
    </row>
    <row r="370" spans="1:27" x14ac:dyDescent="0.3">
      <c r="A370">
        <v>31501</v>
      </c>
      <c r="B370">
        <v>17031031501</v>
      </c>
      <c r="C370">
        <v>17031</v>
      </c>
      <c r="D370">
        <v>2010</v>
      </c>
      <c r="E370">
        <v>3</v>
      </c>
      <c r="F370">
        <v>1715487.0608407799</v>
      </c>
      <c r="G370" s="43">
        <v>6.1534631142417785E-2</v>
      </c>
      <c r="H370" s="58" t="str">
        <f>_xlfn.IFNA(
INDEX(CA!B$2:B$78,MATCH($E370,CA!$A$2:$A$78,0)),
"")</f>
        <v>UPTOWN</v>
      </c>
      <c r="I370" s="60" t="str">
        <f>_xlfn.IFNA(
INDEX(CA!C$2:C$78,MATCH($E370,CA!$A$2:$A$78,0)),
"")</f>
        <v>1-A</v>
      </c>
      <c r="J370" s="60">
        <f>_xlfn.IFNA(
INDEX(CA!D$2:D$78,MATCH($E370,CA!$A$2:$A$78,0)),
"")</f>
        <v>1</v>
      </c>
      <c r="K370" s="58" t="str">
        <f>_xlfn.IFNA(
INDEX(CA!E$2:E$78,MATCH($E370,CA!$A$2:$A$78,0)),
"")</f>
        <v>NORTH</v>
      </c>
      <c r="L370" s="15" t="e">
        <v>#VALUE!</v>
      </c>
      <c r="M370" s="15" t="e">
        <v>#VALUE!</v>
      </c>
      <c r="N370" s="15" t="e">
        <v>#VALUE!</v>
      </c>
      <c r="O370" s="15" t="e">
        <v>#VALUE!</v>
      </c>
      <c r="P370" s="15" t="e">
        <v>#VALUE!</v>
      </c>
      <c r="Q370" s="15" t="e">
        <v>#VALUE!</v>
      </c>
      <c r="R370" s="15" t="e">
        <v>#VALUE!</v>
      </c>
      <c r="S370" s="15" t="e">
        <v>#VALUE!</v>
      </c>
      <c r="T370" s="129">
        <v>6.1534628364857735E-2</v>
      </c>
      <c r="U370" s="130" t="e">
        <f t="shared" si="23"/>
        <v>#VALUE!</v>
      </c>
      <c r="V370" s="129">
        <v>6.1534628364857735E-2</v>
      </c>
      <c r="W370" s="130" t="e">
        <f t="shared" si="20"/>
        <v>#VALUE!</v>
      </c>
      <c r="X370" s="129">
        <v>6.1534628364857735E-2</v>
      </c>
      <c r="Y370" s="130" t="e">
        <f t="shared" si="21"/>
        <v>#VALUE!</v>
      </c>
      <c r="Z370" s="129">
        <v>6.1534628364857735E-2</v>
      </c>
      <c r="AA370" s="130" t="e">
        <f t="shared" si="22"/>
        <v>#VALUE!</v>
      </c>
    </row>
    <row r="371" spans="1:27" x14ac:dyDescent="0.3">
      <c r="A371">
        <v>830700</v>
      </c>
      <c r="B371">
        <v>17031830700</v>
      </c>
      <c r="C371">
        <v>17031</v>
      </c>
      <c r="D371">
        <v>2010</v>
      </c>
      <c r="E371">
        <v>3</v>
      </c>
      <c r="F371">
        <v>9358236.6465323307</v>
      </c>
      <c r="G371" s="43">
        <v>0.33568055005066039</v>
      </c>
      <c r="H371" s="58" t="str">
        <f>_xlfn.IFNA(
INDEX(CA!B$2:B$78,MATCH($E371,CA!$A$2:$A$78,0)),
"")</f>
        <v>UPTOWN</v>
      </c>
      <c r="I371" s="60" t="str">
        <f>_xlfn.IFNA(
INDEX(CA!C$2:C$78,MATCH($E371,CA!$A$2:$A$78,0)),
"")</f>
        <v>1-A</v>
      </c>
      <c r="J371" s="60">
        <f>_xlfn.IFNA(
INDEX(CA!D$2:D$78,MATCH($E371,CA!$A$2:$A$78,0)),
"")</f>
        <v>1</v>
      </c>
      <c r="K371" s="58" t="str">
        <f>_xlfn.IFNA(
INDEX(CA!E$2:E$78,MATCH($E371,CA!$A$2:$A$78,0)),
"")</f>
        <v>NORTH</v>
      </c>
      <c r="L371" s="15" t="e">
        <v>#VALUE!</v>
      </c>
      <c r="M371" s="15" t="e">
        <v>#VALUE!</v>
      </c>
      <c r="N371" s="15" t="e">
        <v>#VALUE!</v>
      </c>
      <c r="O371" s="15" t="e">
        <v>#VALUE!</v>
      </c>
      <c r="P371" s="15" t="e">
        <v>#VALUE!</v>
      </c>
      <c r="Q371" s="15" t="e">
        <v>#VALUE!</v>
      </c>
      <c r="R371" s="15" t="e">
        <v>#VALUE!</v>
      </c>
      <c r="S371" s="15" t="e">
        <v>#VALUE!</v>
      </c>
      <c r="T371" s="129">
        <v>0.33568055490594406</v>
      </c>
      <c r="U371" s="130" t="e">
        <f t="shared" si="23"/>
        <v>#VALUE!</v>
      </c>
      <c r="V371" s="129">
        <v>0.33568055490594406</v>
      </c>
      <c r="W371" s="130" t="e">
        <f t="shared" si="20"/>
        <v>#VALUE!</v>
      </c>
      <c r="X371" s="129">
        <v>0.33568055490594406</v>
      </c>
      <c r="Y371" s="130" t="e">
        <f t="shared" si="21"/>
        <v>#VALUE!</v>
      </c>
      <c r="Z371" s="129">
        <v>0.33568055490594406</v>
      </c>
      <c r="AA371" s="130" t="e">
        <f t="shared" si="22"/>
        <v>#VALUE!</v>
      </c>
    </row>
    <row r="372" spans="1:27" x14ac:dyDescent="0.3">
      <c r="A372">
        <v>301801</v>
      </c>
      <c r="B372">
        <v>17031301801</v>
      </c>
      <c r="C372">
        <v>17031</v>
      </c>
      <c r="D372">
        <v>2010</v>
      </c>
      <c r="E372">
        <v>30</v>
      </c>
      <c r="F372">
        <v>7613901.2039691098</v>
      </c>
      <c r="G372" s="43">
        <v>0.27311112560150902</v>
      </c>
      <c r="H372" s="58" t="str">
        <f>_xlfn.IFNA(
INDEX(CA!B$2:B$78,MATCH($E372,CA!$A$2:$A$78,0)),
"")</f>
        <v>SOUTH LAWNDALE</v>
      </c>
      <c r="I372" s="60" t="str">
        <f>_xlfn.IFNA(
INDEX(CA!C$2:C$78,MATCH($E372,CA!$A$2:$A$78,0)),
"")</f>
        <v>3-A</v>
      </c>
      <c r="J372" s="60">
        <f>_xlfn.IFNA(
INDEX(CA!D$2:D$78,MATCH($E372,CA!$A$2:$A$78,0)),
"")</f>
        <v>3</v>
      </c>
      <c r="K372" s="58" t="str">
        <f>_xlfn.IFNA(
INDEX(CA!E$2:E$78,MATCH($E372,CA!$A$2:$A$78,0)),
"")</f>
        <v>WEST</v>
      </c>
      <c r="L372" s="15" t="e">
        <v>#VALUE!</v>
      </c>
      <c r="M372" s="15" t="e">
        <v>#VALUE!</v>
      </c>
      <c r="N372" s="15" t="e">
        <v>#VALUE!</v>
      </c>
      <c r="O372" s="15" t="e">
        <v>#VALUE!</v>
      </c>
      <c r="P372" s="15" t="e">
        <v>#VALUE!</v>
      </c>
      <c r="Q372" s="15" t="e">
        <v>#VALUE!</v>
      </c>
      <c r="R372" s="15" t="e">
        <v>#VALUE!</v>
      </c>
      <c r="S372" s="15" t="e">
        <v>#VALUE!</v>
      </c>
      <c r="T372" s="129">
        <v>0.26525994561152394</v>
      </c>
      <c r="U372" s="130" t="e">
        <f t="shared" si="23"/>
        <v>#VALUE!</v>
      </c>
      <c r="V372" s="129">
        <v>0.26525994561152394</v>
      </c>
      <c r="W372" s="130" t="e">
        <f t="shared" si="20"/>
        <v>#VALUE!</v>
      </c>
      <c r="X372" s="129">
        <v>0.26525994561152394</v>
      </c>
      <c r="Y372" s="130" t="e">
        <f t="shared" si="21"/>
        <v>#VALUE!</v>
      </c>
      <c r="Z372" s="129">
        <v>0.26525994561152394</v>
      </c>
      <c r="AA372" s="130" t="e">
        <f t="shared" si="22"/>
        <v>#VALUE!</v>
      </c>
    </row>
    <row r="373" spans="1:27" x14ac:dyDescent="0.3">
      <c r="A373">
        <v>301701</v>
      </c>
      <c r="B373">
        <v>17031301701</v>
      </c>
      <c r="C373">
        <v>17031</v>
      </c>
      <c r="D373">
        <v>2010</v>
      </c>
      <c r="E373">
        <v>30</v>
      </c>
      <c r="F373">
        <v>3560771.22565663</v>
      </c>
      <c r="G373" s="43">
        <v>0.12772509274766952</v>
      </c>
      <c r="H373" s="58" t="str">
        <f>_xlfn.IFNA(
INDEX(CA!B$2:B$78,MATCH($E373,CA!$A$2:$A$78,0)),
"")</f>
        <v>SOUTH LAWNDALE</v>
      </c>
      <c r="I373" s="60" t="str">
        <f>_xlfn.IFNA(
INDEX(CA!C$2:C$78,MATCH($E373,CA!$A$2:$A$78,0)),
"")</f>
        <v>3-A</v>
      </c>
      <c r="J373" s="60">
        <f>_xlfn.IFNA(
INDEX(CA!D$2:D$78,MATCH($E373,CA!$A$2:$A$78,0)),
"")</f>
        <v>3</v>
      </c>
      <c r="K373" s="58" t="str">
        <f>_xlfn.IFNA(
INDEX(CA!E$2:E$78,MATCH($E373,CA!$A$2:$A$78,0)),
"")</f>
        <v>WEST</v>
      </c>
      <c r="L373" s="15" t="e">
        <v>#VALUE!</v>
      </c>
      <c r="M373" s="15" t="e">
        <v>#VALUE!</v>
      </c>
      <c r="N373" s="15" t="e">
        <v>#VALUE!</v>
      </c>
      <c r="O373" s="15" t="e">
        <v>#VALUE!</v>
      </c>
      <c r="P373" s="15" t="e">
        <v>#VALUE!</v>
      </c>
      <c r="Q373" s="15" t="e">
        <v>#VALUE!</v>
      </c>
      <c r="R373" s="15" t="e">
        <v>#VALUE!</v>
      </c>
      <c r="S373" s="15" t="e">
        <v>#VALUE!</v>
      </c>
      <c r="T373" s="129">
        <v>0.12772509161499368</v>
      </c>
      <c r="U373" s="130" t="e">
        <f t="shared" si="23"/>
        <v>#VALUE!</v>
      </c>
      <c r="V373" s="129">
        <v>0.12772509161499368</v>
      </c>
      <c r="W373" s="130" t="e">
        <f t="shared" si="20"/>
        <v>#VALUE!</v>
      </c>
      <c r="X373" s="129">
        <v>0.12772509161499368</v>
      </c>
      <c r="Y373" s="130" t="e">
        <f t="shared" si="21"/>
        <v>#VALUE!</v>
      </c>
      <c r="Z373" s="129">
        <v>0.12772509161499368</v>
      </c>
      <c r="AA373" s="130" t="e">
        <f t="shared" si="22"/>
        <v>#VALUE!</v>
      </c>
    </row>
    <row r="374" spans="1:27" x14ac:dyDescent="0.3">
      <c r="A374">
        <v>840700</v>
      </c>
      <c r="B374">
        <v>17031840700</v>
      </c>
      <c r="C374">
        <v>17031</v>
      </c>
      <c r="D374">
        <v>2010</v>
      </c>
      <c r="E374">
        <v>30</v>
      </c>
      <c r="F374">
        <v>5913193.3119831001</v>
      </c>
      <c r="G374" s="43">
        <v>0.21210662419590437</v>
      </c>
      <c r="H374" s="58" t="str">
        <f>_xlfn.IFNA(
INDEX(CA!B$2:B$78,MATCH($E374,CA!$A$2:$A$78,0)),
"")</f>
        <v>SOUTH LAWNDALE</v>
      </c>
      <c r="I374" s="60" t="str">
        <f>_xlfn.IFNA(
INDEX(CA!C$2:C$78,MATCH($E374,CA!$A$2:$A$78,0)),
"")</f>
        <v>3-A</v>
      </c>
      <c r="J374" s="60">
        <f>_xlfn.IFNA(
INDEX(CA!D$2:D$78,MATCH($E374,CA!$A$2:$A$78,0)),
"")</f>
        <v>3</v>
      </c>
      <c r="K374" s="58" t="str">
        <f>_xlfn.IFNA(
INDEX(CA!E$2:E$78,MATCH($E374,CA!$A$2:$A$78,0)),
"")</f>
        <v>WEST</v>
      </c>
      <c r="L374" s="15" t="e">
        <v>#VALUE!</v>
      </c>
      <c r="M374" s="15" t="e">
        <v>#VALUE!</v>
      </c>
      <c r="N374" s="15" t="e">
        <v>#VALUE!</v>
      </c>
      <c r="O374" s="15" t="e">
        <v>#VALUE!</v>
      </c>
      <c r="P374" s="15" t="e">
        <v>#VALUE!</v>
      </c>
      <c r="Q374" s="15" t="e">
        <v>#VALUE!</v>
      </c>
      <c r="R374" s="15" t="e">
        <v>#VALUE!</v>
      </c>
      <c r="S374" s="15" t="e">
        <v>#VALUE!</v>
      </c>
      <c r="T374" s="129">
        <v>0.21210662692551149</v>
      </c>
      <c r="U374" s="130" t="e">
        <f t="shared" si="23"/>
        <v>#VALUE!</v>
      </c>
      <c r="V374" s="129">
        <v>0.21210662692551149</v>
      </c>
      <c r="W374" s="130" t="e">
        <f t="shared" si="20"/>
        <v>#VALUE!</v>
      </c>
      <c r="X374" s="129">
        <v>0.21210662692551149</v>
      </c>
      <c r="Y374" s="130" t="e">
        <f t="shared" si="21"/>
        <v>#VALUE!</v>
      </c>
      <c r="Z374" s="129">
        <v>0.21210662692551149</v>
      </c>
      <c r="AA374" s="130" t="e">
        <f t="shared" si="22"/>
        <v>#VALUE!</v>
      </c>
    </row>
    <row r="375" spans="1:27" x14ac:dyDescent="0.3">
      <c r="A375">
        <v>840800</v>
      </c>
      <c r="B375">
        <v>17031840800</v>
      </c>
      <c r="C375">
        <v>17031</v>
      </c>
      <c r="D375">
        <v>2010</v>
      </c>
      <c r="E375">
        <v>30</v>
      </c>
      <c r="F375">
        <v>3537721.34772781</v>
      </c>
      <c r="G375" s="43">
        <v>0.12689829214473608</v>
      </c>
      <c r="H375" s="58" t="str">
        <f>_xlfn.IFNA(
INDEX(CA!B$2:B$78,MATCH($E375,CA!$A$2:$A$78,0)),
"")</f>
        <v>SOUTH LAWNDALE</v>
      </c>
      <c r="I375" s="60" t="str">
        <f>_xlfn.IFNA(
INDEX(CA!C$2:C$78,MATCH($E375,CA!$A$2:$A$78,0)),
"")</f>
        <v>3-A</v>
      </c>
      <c r="J375" s="60">
        <f>_xlfn.IFNA(
INDEX(CA!D$2:D$78,MATCH($E375,CA!$A$2:$A$78,0)),
"")</f>
        <v>3</v>
      </c>
      <c r="K375" s="58" t="str">
        <f>_xlfn.IFNA(
INDEX(CA!E$2:E$78,MATCH($E375,CA!$A$2:$A$78,0)),
"")</f>
        <v>WEST</v>
      </c>
      <c r="L375" s="15" t="e">
        <v>#VALUE!</v>
      </c>
      <c r="M375" s="15" t="e">
        <v>#VALUE!</v>
      </c>
      <c r="N375" s="15" t="e">
        <v>#VALUE!</v>
      </c>
      <c r="O375" s="15" t="e">
        <v>#VALUE!</v>
      </c>
      <c r="P375" s="15" t="e">
        <v>#VALUE!</v>
      </c>
      <c r="Q375" s="15" t="e">
        <v>#VALUE!</v>
      </c>
      <c r="R375" s="15" t="e">
        <v>#VALUE!</v>
      </c>
      <c r="S375" s="15" t="e">
        <v>#VALUE!</v>
      </c>
      <c r="T375" s="129">
        <v>0.12594774288213312</v>
      </c>
      <c r="U375" s="130" t="e">
        <f t="shared" si="23"/>
        <v>#VALUE!</v>
      </c>
      <c r="V375" s="129">
        <v>7.7195496674146658E-2</v>
      </c>
      <c r="W375" s="130" t="e">
        <f t="shared" si="20"/>
        <v>#VALUE!</v>
      </c>
      <c r="X375" s="129">
        <v>7.7195496674146658E-2</v>
      </c>
      <c r="Y375" s="130" t="e">
        <f t="shared" si="21"/>
        <v>#VALUE!</v>
      </c>
      <c r="Z375" s="129">
        <v>7.7195496674146658E-2</v>
      </c>
      <c r="AA375" s="130" t="e">
        <f t="shared" si="22"/>
        <v>#VALUE!</v>
      </c>
    </row>
    <row r="376" spans="1:27" x14ac:dyDescent="0.3">
      <c r="A376">
        <v>301200</v>
      </c>
      <c r="B376">
        <v>17031301200</v>
      </c>
      <c r="C376">
        <v>17031</v>
      </c>
      <c r="D376">
        <v>2010</v>
      </c>
      <c r="E376">
        <v>30</v>
      </c>
      <c r="F376">
        <v>5257049.3279705904</v>
      </c>
      <c r="G376" s="43">
        <v>0.18857069731299467</v>
      </c>
      <c r="H376" s="58" t="str">
        <f>_xlfn.IFNA(
INDEX(CA!B$2:B$78,MATCH($E376,CA!$A$2:$A$78,0)),
"")</f>
        <v>SOUTH LAWNDALE</v>
      </c>
      <c r="I376" s="60" t="str">
        <f>_xlfn.IFNA(
INDEX(CA!C$2:C$78,MATCH($E376,CA!$A$2:$A$78,0)),
"")</f>
        <v>3-A</v>
      </c>
      <c r="J376" s="60">
        <f>_xlfn.IFNA(
INDEX(CA!D$2:D$78,MATCH($E376,CA!$A$2:$A$78,0)),
"")</f>
        <v>3</v>
      </c>
      <c r="K376" s="58" t="str">
        <f>_xlfn.IFNA(
INDEX(CA!E$2:E$78,MATCH($E376,CA!$A$2:$A$78,0)),
"")</f>
        <v>WEST</v>
      </c>
      <c r="L376" s="15" t="e">
        <v>#VALUE!</v>
      </c>
      <c r="M376" s="15" t="e">
        <v>#VALUE!</v>
      </c>
      <c r="N376" s="15" t="e">
        <v>#VALUE!</v>
      </c>
      <c r="O376" s="15" t="e">
        <v>#VALUE!</v>
      </c>
      <c r="P376" s="15" t="e">
        <v>#VALUE!</v>
      </c>
      <c r="Q376" s="15" t="e">
        <v>#VALUE!</v>
      </c>
      <c r="R376" s="15" t="e">
        <v>#VALUE!</v>
      </c>
      <c r="S376" s="15" t="e">
        <v>#VALUE!</v>
      </c>
      <c r="T376" s="129">
        <v>0.18857069910432089</v>
      </c>
      <c r="U376" s="130" t="e">
        <f t="shared" si="23"/>
        <v>#VALUE!</v>
      </c>
      <c r="V376" s="129">
        <v>0.18857069910432089</v>
      </c>
      <c r="W376" s="130" t="e">
        <f t="shared" si="20"/>
        <v>#VALUE!</v>
      </c>
      <c r="X376" s="129">
        <v>0.18857069910432089</v>
      </c>
      <c r="Y376" s="130" t="e">
        <f t="shared" si="21"/>
        <v>#VALUE!</v>
      </c>
      <c r="Z376" s="129">
        <v>0.18857069910432089</v>
      </c>
      <c r="AA376" s="130" t="e">
        <f t="shared" si="22"/>
        <v>#VALUE!</v>
      </c>
    </row>
    <row r="377" spans="1:27" x14ac:dyDescent="0.3">
      <c r="A377">
        <v>830500</v>
      </c>
      <c r="B377">
        <v>17031830500</v>
      </c>
      <c r="C377">
        <v>17031</v>
      </c>
      <c r="D377">
        <v>2010</v>
      </c>
      <c r="E377">
        <v>30</v>
      </c>
      <c r="F377">
        <v>43835915.182571597</v>
      </c>
      <c r="G377" s="43">
        <v>1.5723970953344379</v>
      </c>
      <c r="H377" s="58" t="str">
        <f>_xlfn.IFNA(
INDEX(CA!B$2:B$78,MATCH($E377,CA!$A$2:$A$78,0)),
"")</f>
        <v>SOUTH LAWNDALE</v>
      </c>
      <c r="I377" s="60" t="str">
        <f>_xlfn.IFNA(
INDEX(CA!C$2:C$78,MATCH($E377,CA!$A$2:$A$78,0)),
"")</f>
        <v>3-A</v>
      </c>
      <c r="J377" s="60">
        <f>_xlfn.IFNA(
INDEX(CA!D$2:D$78,MATCH($E377,CA!$A$2:$A$78,0)),
"")</f>
        <v>3</v>
      </c>
      <c r="K377" s="58" t="str">
        <f>_xlfn.IFNA(
INDEX(CA!E$2:E$78,MATCH($E377,CA!$A$2:$A$78,0)),
"")</f>
        <v>WEST</v>
      </c>
      <c r="L377" s="15" t="e">
        <v>#VALUE!</v>
      </c>
      <c r="M377" s="15" t="e">
        <v>#VALUE!</v>
      </c>
      <c r="N377" s="15" t="e">
        <v>#VALUE!</v>
      </c>
      <c r="O377" s="15" t="e">
        <v>#VALUE!</v>
      </c>
      <c r="P377" s="15" t="e">
        <v>#VALUE!</v>
      </c>
      <c r="Q377" s="15" t="e">
        <v>#VALUE!</v>
      </c>
      <c r="R377" s="15" t="e">
        <v>#VALUE!</v>
      </c>
      <c r="S377" s="15" t="e">
        <v>#VALUE!</v>
      </c>
      <c r="T377" s="129">
        <v>0</v>
      </c>
      <c r="U377" s="130" t="e">
        <f t="shared" si="23"/>
        <v>#VALUE!</v>
      </c>
      <c r="V377" s="129">
        <v>0</v>
      </c>
      <c r="W377" s="130" t="e">
        <f t="shared" si="20"/>
        <v>#VALUE!</v>
      </c>
      <c r="X377" s="129">
        <v>0</v>
      </c>
      <c r="Y377" s="130" t="e">
        <f t="shared" si="21"/>
        <v>#VALUE!</v>
      </c>
      <c r="Z377" s="129">
        <v>0</v>
      </c>
      <c r="AA377" s="130" t="e">
        <f t="shared" si="22"/>
        <v>#VALUE!</v>
      </c>
    </row>
    <row r="378" spans="1:27" x14ac:dyDescent="0.3">
      <c r="A378">
        <v>300900</v>
      </c>
      <c r="B378">
        <v>17031300900</v>
      </c>
      <c r="C378">
        <v>17031</v>
      </c>
      <c r="D378">
        <v>2010</v>
      </c>
      <c r="E378">
        <v>30</v>
      </c>
      <c r="F378">
        <v>3522917.1171651399</v>
      </c>
      <c r="G378" s="43">
        <v>0.12636726344284965</v>
      </c>
      <c r="H378" s="58" t="str">
        <f>_xlfn.IFNA(
INDEX(CA!B$2:B$78,MATCH($E378,CA!$A$2:$A$78,0)),
"")</f>
        <v>SOUTH LAWNDALE</v>
      </c>
      <c r="I378" s="60" t="str">
        <f>_xlfn.IFNA(
INDEX(CA!C$2:C$78,MATCH($E378,CA!$A$2:$A$78,0)),
"")</f>
        <v>3-A</v>
      </c>
      <c r="J378" s="60">
        <f>_xlfn.IFNA(
INDEX(CA!D$2:D$78,MATCH($E378,CA!$A$2:$A$78,0)),
"")</f>
        <v>3</v>
      </c>
      <c r="K378" s="58" t="str">
        <f>_xlfn.IFNA(
INDEX(CA!E$2:E$78,MATCH($E378,CA!$A$2:$A$78,0)),
"")</f>
        <v>WEST</v>
      </c>
      <c r="L378" s="15" t="e">
        <v>#VALUE!</v>
      </c>
      <c r="M378" s="15" t="e">
        <v>#VALUE!</v>
      </c>
      <c r="N378" s="15" t="e">
        <v>#VALUE!</v>
      </c>
      <c r="O378" s="15" t="e">
        <v>#VALUE!</v>
      </c>
      <c r="P378" s="15" t="e">
        <v>#VALUE!</v>
      </c>
      <c r="Q378" s="15" t="e">
        <v>#VALUE!</v>
      </c>
      <c r="R378" s="15" t="e">
        <v>#VALUE!</v>
      </c>
      <c r="S378" s="15" t="e">
        <v>#VALUE!</v>
      </c>
      <c r="T378" s="129">
        <v>0.12636725657562989</v>
      </c>
      <c r="U378" s="130" t="e">
        <f t="shared" si="23"/>
        <v>#VALUE!</v>
      </c>
      <c r="V378" s="129">
        <v>0.12636725657562989</v>
      </c>
      <c r="W378" s="130" t="e">
        <f t="shared" si="20"/>
        <v>#VALUE!</v>
      </c>
      <c r="X378" s="129">
        <v>0.12636725657562989</v>
      </c>
      <c r="Y378" s="130" t="e">
        <f t="shared" si="21"/>
        <v>#VALUE!</v>
      </c>
      <c r="Z378" s="129">
        <v>0.12636725657562989</v>
      </c>
      <c r="AA378" s="130" t="e">
        <f t="shared" si="22"/>
        <v>#VALUE!</v>
      </c>
    </row>
    <row r="379" spans="1:27" x14ac:dyDescent="0.3">
      <c r="A379">
        <v>300600</v>
      </c>
      <c r="B379">
        <v>17031300600</v>
      </c>
      <c r="C379">
        <v>17031</v>
      </c>
      <c r="D379">
        <v>2010</v>
      </c>
      <c r="E379">
        <v>30</v>
      </c>
      <c r="F379">
        <v>3533251.3364504799</v>
      </c>
      <c r="G379" s="43">
        <v>0.12673795255288969</v>
      </c>
      <c r="H379" s="58" t="str">
        <f>_xlfn.IFNA(
INDEX(CA!B$2:B$78,MATCH($E379,CA!$A$2:$A$78,0)),
"")</f>
        <v>SOUTH LAWNDALE</v>
      </c>
      <c r="I379" s="60" t="str">
        <f>_xlfn.IFNA(
INDEX(CA!C$2:C$78,MATCH($E379,CA!$A$2:$A$78,0)),
"")</f>
        <v>3-A</v>
      </c>
      <c r="J379" s="60">
        <f>_xlfn.IFNA(
INDEX(CA!D$2:D$78,MATCH($E379,CA!$A$2:$A$78,0)),
"")</f>
        <v>3</v>
      </c>
      <c r="K379" s="58" t="str">
        <f>_xlfn.IFNA(
INDEX(CA!E$2:E$78,MATCH($E379,CA!$A$2:$A$78,0)),
"")</f>
        <v>WEST</v>
      </c>
      <c r="L379" s="15" t="e">
        <v>#VALUE!</v>
      </c>
      <c r="M379" s="15" t="e">
        <v>#VALUE!</v>
      </c>
      <c r="N379" s="15" t="e">
        <v>#VALUE!</v>
      </c>
      <c r="O379" s="15" t="e">
        <v>#VALUE!</v>
      </c>
      <c r="P379" s="15" t="e">
        <v>#VALUE!</v>
      </c>
      <c r="Q379" s="15" t="e">
        <v>#VALUE!</v>
      </c>
      <c r="R379" s="15" t="e">
        <v>#VALUE!</v>
      </c>
      <c r="S379" s="15" t="e">
        <v>#VALUE!</v>
      </c>
      <c r="T379" s="129">
        <v>0.12673795271502131</v>
      </c>
      <c r="U379" s="130" t="e">
        <f t="shared" si="23"/>
        <v>#VALUE!</v>
      </c>
      <c r="V379" s="129">
        <v>0.12673795271502131</v>
      </c>
      <c r="W379" s="130" t="e">
        <f t="shared" si="20"/>
        <v>#VALUE!</v>
      </c>
      <c r="X379" s="129">
        <v>0.12673795271502131</v>
      </c>
      <c r="Y379" s="130" t="e">
        <f t="shared" si="21"/>
        <v>#VALUE!</v>
      </c>
      <c r="Z379" s="129">
        <v>0.12673795271502131</v>
      </c>
      <c r="AA379" s="130" t="e">
        <f t="shared" si="22"/>
        <v>#VALUE!</v>
      </c>
    </row>
    <row r="380" spans="1:27" x14ac:dyDescent="0.3">
      <c r="A380">
        <v>301702</v>
      </c>
      <c r="B380">
        <v>17031301702</v>
      </c>
      <c r="C380">
        <v>17031</v>
      </c>
      <c r="D380">
        <v>2010</v>
      </c>
      <c r="E380">
        <v>30</v>
      </c>
      <c r="F380">
        <v>3563012.1168807698</v>
      </c>
      <c r="G380" s="43">
        <v>0.12780547365992201</v>
      </c>
      <c r="H380" s="58" t="str">
        <f>_xlfn.IFNA(
INDEX(CA!B$2:B$78,MATCH($E380,CA!$A$2:$A$78,0)),
"")</f>
        <v>SOUTH LAWNDALE</v>
      </c>
      <c r="I380" s="60" t="str">
        <f>_xlfn.IFNA(
INDEX(CA!C$2:C$78,MATCH($E380,CA!$A$2:$A$78,0)),
"")</f>
        <v>3-A</v>
      </c>
      <c r="J380" s="60">
        <f>_xlfn.IFNA(
INDEX(CA!D$2:D$78,MATCH($E380,CA!$A$2:$A$78,0)),
"")</f>
        <v>3</v>
      </c>
      <c r="K380" s="58" t="str">
        <f>_xlfn.IFNA(
INDEX(CA!E$2:E$78,MATCH($E380,CA!$A$2:$A$78,0)),
"")</f>
        <v>WEST</v>
      </c>
      <c r="L380" s="15" t="e">
        <v>#VALUE!</v>
      </c>
      <c r="M380" s="15" t="e">
        <v>#VALUE!</v>
      </c>
      <c r="N380" s="15" t="e">
        <v>#VALUE!</v>
      </c>
      <c r="O380" s="15" t="e">
        <v>#VALUE!</v>
      </c>
      <c r="P380" s="15" t="e">
        <v>#VALUE!</v>
      </c>
      <c r="Q380" s="15" t="e">
        <v>#VALUE!</v>
      </c>
      <c r="R380" s="15" t="e">
        <v>#VALUE!</v>
      </c>
      <c r="S380" s="15" t="e">
        <v>#VALUE!</v>
      </c>
      <c r="T380" s="129">
        <v>0.1241429414301061</v>
      </c>
      <c r="U380" s="130" t="e">
        <f t="shared" si="23"/>
        <v>#VALUE!</v>
      </c>
      <c r="V380" s="129">
        <v>0.11283659071901903</v>
      </c>
      <c r="W380" s="130" t="e">
        <f t="shared" si="20"/>
        <v>#VALUE!</v>
      </c>
      <c r="X380" s="129">
        <v>0.11283659071901903</v>
      </c>
      <c r="Y380" s="130" t="e">
        <f t="shared" si="21"/>
        <v>#VALUE!</v>
      </c>
      <c r="Z380" s="129">
        <v>0.11283659071901903</v>
      </c>
      <c r="AA380" s="130" t="e">
        <f t="shared" si="22"/>
        <v>#VALUE!</v>
      </c>
    </row>
    <row r="381" spans="1:27" x14ac:dyDescent="0.3">
      <c r="A381">
        <v>300700</v>
      </c>
      <c r="B381">
        <v>17031300700</v>
      </c>
      <c r="C381">
        <v>17031</v>
      </c>
      <c r="D381">
        <v>2010</v>
      </c>
      <c r="E381">
        <v>30</v>
      </c>
      <c r="F381">
        <v>3542348.66308374</v>
      </c>
      <c r="G381" s="43">
        <v>0.12706427424399319</v>
      </c>
      <c r="H381" s="58" t="str">
        <f>_xlfn.IFNA(
INDEX(CA!B$2:B$78,MATCH($E381,CA!$A$2:$A$78,0)),
"")</f>
        <v>SOUTH LAWNDALE</v>
      </c>
      <c r="I381" s="60" t="str">
        <f>_xlfn.IFNA(
INDEX(CA!C$2:C$78,MATCH($E381,CA!$A$2:$A$78,0)),
"")</f>
        <v>3-A</v>
      </c>
      <c r="J381" s="60">
        <f>_xlfn.IFNA(
INDEX(CA!D$2:D$78,MATCH($E381,CA!$A$2:$A$78,0)),
"")</f>
        <v>3</v>
      </c>
      <c r="K381" s="58" t="str">
        <f>_xlfn.IFNA(
INDEX(CA!E$2:E$78,MATCH($E381,CA!$A$2:$A$78,0)),
"")</f>
        <v>WEST</v>
      </c>
      <c r="L381" s="15" t="e">
        <v>#VALUE!</v>
      </c>
      <c r="M381" s="15" t="e">
        <v>#VALUE!</v>
      </c>
      <c r="N381" s="15" t="e">
        <v>#VALUE!</v>
      </c>
      <c r="O381" s="15" t="e">
        <v>#VALUE!</v>
      </c>
      <c r="P381" s="15" t="e">
        <v>#VALUE!</v>
      </c>
      <c r="Q381" s="15" t="e">
        <v>#VALUE!</v>
      </c>
      <c r="R381" s="15" t="e">
        <v>#VALUE!</v>
      </c>
      <c r="S381" s="15" t="e">
        <v>#VALUE!</v>
      </c>
      <c r="T381" s="129">
        <v>0.12706427364081904</v>
      </c>
      <c r="U381" s="130" t="e">
        <f t="shared" si="23"/>
        <v>#VALUE!</v>
      </c>
      <c r="V381" s="129">
        <v>0.12706427364081904</v>
      </c>
      <c r="W381" s="130" t="e">
        <f t="shared" si="20"/>
        <v>#VALUE!</v>
      </c>
      <c r="X381" s="129">
        <v>0.12706427364081904</v>
      </c>
      <c r="Y381" s="130" t="e">
        <f t="shared" si="21"/>
        <v>#VALUE!</v>
      </c>
      <c r="Z381" s="129">
        <v>0.12706427364081904</v>
      </c>
      <c r="AA381" s="130" t="e">
        <f t="shared" si="22"/>
        <v>#VALUE!</v>
      </c>
    </row>
    <row r="382" spans="1:27" x14ac:dyDescent="0.3">
      <c r="A382">
        <v>301803</v>
      </c>
      <c r="B382">
        <v>17031301803</v>
      </c>
      <c r="C382">
        <v>17031</v>
      </c>
      <c r="D382">
        <v>2010</v>
      </c>
      <c r="E382">
        <v>30</v>
      </c>
      <c r="F382">
        <v>3778666.85338199</v>
      </c>
      <c r="G382" s="43">
        <v>0.13554102292032505</v>
      </c>
      <c r="H382" s="58" t="str">
        <f>_xlfn.IFNA(
INDEX(CA!B$2:B$78,MATCH($E382,CA!$A$2:$A$78,0)),
"")</f>
        <v>SOUTH LAWNDALE</v>
      </c>
      <c r="I382" s="60" t="str">
        <f>_xlfn.IFNA(
INDEX(CA!C$2:C$78,MATCH($E382,CA!$A$2:$A$78,0)),
"")</f>
        <v>3-A</v>
      </c>
      <c r="J382" s="60">
        <f>_xlfn.IFNA(
INDEX(CA!D$2:D$78,MATCH($E382,CA!$A$2:$A$78,0)),
"")</f>
        <v>3</v>
      </c>
      <c r="K382" s="58" t="str">
        <f>_xlfn.IFNA(
INDEX(CA!E$2:E$78,MATCH($E382,CA!$A$2:$A$78,0)),
"")</f>
        <v>WEST</v>
      </c>
      <c r="L382" s="15" t="e">
        <v>#VALUE!</v>
      </c>
      <c r="M382" s="15" t="e">
        <v>#VALUE!</v>
      </c>
      <c r="N382" s="15" t="e">
        <v>#VALUE!</v>
      </c>
      <c r="O382" s="15" t="e">
        <v>#VALUE!</v>
      </c>
      <c r="P382" s="15" t="e">
        <v>#VALUE!</v>
      </c>
      <c r="Q382" s="15" t="e">
        <v>#VALUE!</v>
      </c>
      <c r="R382" s="15" t="e">
        <v>#VALUE!</v>
      </c>
      <c r="S382" s="15" t="e">
        <v>#VALUE!</v>
      </c>
      <c r="T382" s="129">
        <v>0.132425580308484</v>
      </c>
      <c r="U382" s="130" t="e">
        <f t="shared" si="23"/>
        <v>#VALUE!</v>
      </c>
      <c r="V382" s="129">
        <v>0.13242520402866376</v>
      </c>
      <c r="W382" s="130" t="e">
        <f t="shared" si="20"/>
        <v>#VALUE!</v>
      </c>
      <c r="X382" s="129">
        <v>0.13242520402866376</v>
      </c>
      <c r="Y382" s="130" t="e">
        <f t="shared" si="21"/>
        <v>#VALUE!</v>
      </c>
      <c r="Z382" s="129">
        <v>0.13242520402866376</v>
      </c>
      <c r="AA382" s="130" t="e">
        <f t="shared" si="22"/>
        <v>#VALUE!</v>
      </c>
    </row>
    <row r="383" spans="1:27" x14ac:dyDescent="0.3">
      <c r="A383">
        <v>301802</v>
      </c>
      <c r="B383">
        <v>17031301802</v>
      </c>
      <c r="C383">
        <v>17031</v>
      </c>
      <c r="D383">
        <v>2010</v>
      </c>
      <c r="E383">
        <v>30</v>
      </c>
      <c r="F383">
        <v>3751280.21562922</v>
      </c>
      <c r="G383" s="43">
        <v>0.13455866246374326</v>
      </c>
      <c r="H383" s="58" t="str">
        <f>_xlfn.IFNA(
INDEX(CA!B$2:B$78,MATCH($E383,CA!$A$2:$A$78,0)),
"")</f>
        <v>SOUTH LAWNDALE</v>
      </c>
      <c r="I383" s="60" t="str">
        <f>_xlfn.IFNA(
INDEX(CA!C$2:C$78,MATCH($E383,CA!$A$2:$A$78,0)),
"")</f>
        <v>3-A</v>
      </c>
      <c r="J383" s="60">
        <f>_xlfn.IFNA(
INDEX(CA!D$2:D$78,MATCH($E383,CA!$A$2:$A$78,0)),
"")</f>
        <v>3</v>
      </c>
      <c r="K383" s="58" t="str">
        <f>_xlfn.IFNA(
INDEX(CA!E$2:E$78,MATCH($E383,CA!$A$2:$A$78,0)),
"")</f>
        <v>WEST</v>
      </c>
      <c r="L383" s="15" t="e">
        <v>#VALUE!</v>
      </c>
      <c r="M383" s="15" t="e">
        <v>#VALUE!</v>
      </c>
      <c r="N383" s="15" t="e">
        <v>#VALUE!</v>
      </c>
      <c r="O383" s="15" t="e">
        <v>#VALUE!</v>
      </c>
      <c r="P383" s="15" t="e">
        <v>#VALUE!</v>
      </c>
      <c r="Q383" s="15" t="e">
        <v>#VALUE!</v>
      </c>
      <c r="R383" s="15" t="e">
        <v>#VALUE!</v>
      </c>
      <c r="S383" s="15" t="e">
        <v>#VALUE!</v>
      </c>
      <c r="T383" s="129">
        <v>0.13455866150494614</v>
      </c>
      <c r="U383" s="130" t="e">
        <f t="shared" si="23"/>
        <v>#VALUE!</v>
      </c>
      <c r="V383" s="129">
        <v>0.13455866150494614</v>
      </c>
      <c r="W383" s="130" t="e">
        <f t="shared" si="20"/>
        <v>#VALUE!</v>
      </c>
      <c r="X383" s="129">
        <v>0.13455866150494614</v>
      </c>
      <c r="Y383" s="130" t="e">
        <f t="shared" si="21"/>
        <v>#VALUE!</v>
      </c>
      <c r="Z383" s="129">
        <v>0.13455866150494614</v>
      </c>
      <c r="AA383" s="130" t="e">
        <f t="shared" si="22"/>
        <v>#VALUE!</v>
      </c>
    </row>
    <row r="384" spans="1:27" x14ac:dyDescent="0.3">
      <c r="A384">
        <v>301100</v>
      </c>
      <c r="B384">
        <v>17031301100</v>
      </c>
      <c r="C384">
        <v>17031</v>
      </c>
      <c r="D384">
        <v>2010</v>
      </c>
      <c r="E384">
        <v>30</v>
      </c>
      <c r="F384">
        <v>2244877.0135840299</v>
      </c>
      <c r="G384" s="43">
        <v>8.0523882776057085E-2</v>
      </c>
      <c r="H384" s="58" t="str">
        <f>_xlfn.IFNA(
INDEX(CA!B$2:B$78,MATCH($E384,CA!$A$2:$A$78,0)),
"")</f>
        <v>SOUTH LAWNDALE</v>
      </c>
      <c r="I384" s="60" t="str">
        <f>_xlfn.IFNA(
INDEX(CA!C$2:C$78,MATCH($E384,CA!$A$2:$A$78,0)),
"")</f>
        <v>3-A</v>
      </c>
      <c r="J384" s="60">
        <f>_xlfn.IFNA(
INDEX(CA!D$2:D$78,MATCH($E384,CA!$A$2:$A$78,0)),
"")</f>
        <v>3</v>
      </c>
      <c r="K384" s="58" t="str">
        <f>_xlfn.IFNA(
INDEX(CA!E$2:E$78,MATCH($E384,CA!$A$2:$A$78,0)),
"")</f>
        <v>WEST</v>
      </c>
      <c r="L384" s="15" t="e">
        <v>#VALUE!</v>
      </c>
      <c r="M384" s="15" t="e">
        <v>#VALUE!</v>
      </c>
      <c r="N384" s="15" t="e">
        <v>#VALUE!</v>
      </c>
      <c r="O384" s="15" t="e">
        <v>#VALUE!</v>
      </c>
      <c r="P384" s="15" t="e">
        <v>#VALUE!</v>
      </c>
      <c r="Q384" s="15" t="e">
        <v>#VALUE!</v>
      </c>
      <c r="R384" s="15" t="e">
        <v>#VALUE!</v>
      </c>
      <c r="S384" s="15" t="e">
        <v>#VALUE!</v>
      </c>
      <c r="T384" s="129">
        <v>8.0523880790004096E-2</v>
      </c>
      <c r="U384" s="130" t="e">
        <f t="shared" si="23"/>
        <v>#VALUE!</v>
      </c>
      <c r="V384" s="129">
        <v>8.0523880790004096E-2</v>
      </c>
      <c r="W384" s="130" t="e">
        <f t="shared" si="20"/>
        <v>#VALUE!</v>
      </c>
      <c r="X384" s="129">
        <v>8.0523880790004096E-2</v>
      </c>
      <c r="Y384" s="130" t="e">
        <f t="shared" si="21"/>
        <v>#VALUE!</v>
      </c>
      <c r="Z384" s="129">
        <v>8.0523880790004096E-2</v>
      </c>
      <c r="AA384" s="130" t="e">
        <f t="shared" si="22"/>
        <v>#VALUE!</v>
      </c>
    </row>
    <row r="385" spans="1:27" x14ac:dyDescent="0.3">
      <c r="A385">
        <v>301600</v>
      </c>
      <c r="B385">
        <v>17031301600</v>
      </c>
      <c r="C385">
        <v>17031</v>
      </c>
      <c r="D385">
        <v>2010</v>
      </c>
      <c r="E385">
        <v>30</v>
      </c>
      <c r="F385">
        <v>3546513.2456236002</v>
      </c>
      <c r="G385" s="43">
        <v>0.12721365808739382</v>
      </c>
      <c r="H385" s="58" t="str">
        <f>_xlfn.IFNA(
INDEX(CA!B$2:B$78,MATCH($E385,CA!$A$2:$A$78,0)),
"")</f>
        <v>SOUTH LAWNDALE</v>
      </c>
      <c r="I385" s="60" t="str">
        <f>_xlfn.IFNA(
INDEX(CA!C$2:C$78,MATCH($E385,CA!$A$2:$A$78,0)),
"")</f>
        <v>3-A</v>
      </c>
      <c r="J385" s="60">
        <f>_xlfn.IFNA(
INDEX(CA!D$2:D$78,MATCH($E385,CA!$A$2:$A$78,0)),
"")</f>
        <v>3</v>
      </c>
      <c r="K385" s="58" t="str">
        <f>_xlfn.IFNA(
INDEX(CA!E$2:E$78,MATCH($E385,CA!$A$2:$A$78,0)),
"")</f>
        <v>WEST</v>
      </c>
      <c r="L385" s="15" t="e">
        <v>#VALUE!</v>
      </c>
      <c r="M385" s="15" t="e">
        <v>#VALUE!</v>
      </c>
      <c r="N385" s="15" t="e">
        <v>#VALUE!</v>
      </c>
      <c r="O385" s="15" t="e">
        <v>#VALUE!</v>
      </c>
      <c r="P385" s="15" t="e">
        <v>#VALUE!</v>
      </c>
      <c r="Q385" s="15" t="e">
        <v>#VALUE!</v>
      </c>
      <c r="R385" s="15" t="e">
        <v>#VALUE!</v>
      </c>
      <c r="S385" s="15" t="e">
        <v>#VALUE!</v>
      </c>
      <c r="T385" s="129">
        <v>0.12596831434692485</v>
      </c>
      <c r="U385" s="130" t="e">
        <f t="shared" si="23"/>
        <v>#VALUE!</v>
      </c>
      <c r="V385" s="129">
        <v>0.12027859221256099</v>
      </c>
      <c r="W385" s="130" t="e">
        <f t="shared" si="20"/>
        <v>#VALUE!</v>
      </c>
      <c r="X385" s="129">
        <v>0.12027859221256099</v>
      </c>
      <c r="Y385" s="130" t="e">
        <f t="shared" si="21"/>
        <v>#VALUE!</v>
      </c>
      <c r="Z385" s="129">
        <v>0.12027859221256099</v>
      </c>
      <c r="AA385" s="130" t="e">
        <f t="shared" si="22"/>
        <v>#VALUE!</v>
      </c>
    </row>
    <row r="386" spans="1:27" x14ac:dyDescent="0.3">
      <c r="A386">
        <v>300800</v>
      </c>
      <c r="B386">
        <v>17031300800</v>
      </c>
      <c r="C386">
        <v>17031</v>
      </c>
      <c r="D386">
        <v>2010</v>
      </c>
      <c r="E386">
        <v>30</v>
      </c>
      <c r="F386">
        <v>3507926.5218742401</v>
      </c>
      <c r="G386" s="43">
        <v>0.12582954982618227</v>
      </c>
      <c r="H386" s="58" t="str">
        <f>_xlfn.IFNA(
INDEX(CA!B$2:B$78,MATCH($E386,CA!$A$2:$A$78,0)),
"")</f>
        <v>SOUTH LAWNDALE</v>
      </c>
      <c r="I386" s="60" t="str">
        <f>_xlfn.IFNA(
INDEX(CA!C$2:C$78,MATCH($E386,CA!$A$2:$A$78,0)),
"")</f>
        <v>3-A</v>
      </c>
      <c r="J386" s="60">
        <f>_xlfn.IFNA(
INDEX(CA!D$2:D$78,MATCH($E386,CA!$A$2:$A$78,0)),
"")</f>
        <v>3</v>
      </c>
      <c r="K386" s="58" t="str">
        <f>_xlfn.IFNA(
INDEX(CA!E$2:E$78,MATCH($E386,CA!$A$2:$A$78,0)),
"")</f>
        <v>WEST</v>
      </c>
      <c r="L386" s="15" t="e">
        <v>#VALUE!</v>
      </c>
      <c r="M386" s="15" t="e">
        <v>#VALUE!</v>
      </c>
      <c r="N386" s="15" t="e">
        <v>#VALUE!</v>
      </c>
      <c r="O386" s="15" t="e">
        <v>#VALUE!</v>
      </c>
      <c r="P386" s="15" t="e">
        <v>#VALUE!</v>
      </c>
      <c r="Q386" s="15" t="e">
        <v>#VALUE!</v>
      </c>
      <c r="R386" s="15" t="e">
        <v>#VALUE!</v>
      </c>
      <c r="S386" s="15" t="e">
        <v>#VALUE!</v>
      </c>
      <c r="T386" s="129">
        <v>0.12582954754019168</v>
      </c>
      <c r="U386" s="130" t="e">
        <f t="shared" si="23"/>
        <v>#VALUE!</v>
      </c>
      <c r="V386" s="129">
        <v>0.12582954754019168</v>
      </c>
      <c r="W386" s="130" t="e">
        <f t="shared" si="20"/>
        <v>#VALUE!</v>
      </c>
      <c r="X386" s="129">
        <v>0.12582954754019168</v>
      </c>
      <c r="Y386" s="130" t="e">
        <f t="shared" si="21"/>
        <v>#VALUE!</v>
      </c>
      <c r="Z386" s="129">
        <v>0.12582954754019168</v>
      </c>
      <c r="AA386" s="130" t="e">
        <f t="shared" si="22"/>
        <v>#VALUE!</v>
      </c>
    </row>
    <row r="387" spans="1:27" x14ac:dyDescent="0.3">
      <c r="A387">
        <v>841700</v>
      </c>
      <c r="B387">
        <v>17031841700</v>
      </c>
      <c r="C387">
        <v>17031</v>
      </c>
      <c r="D387">
        <v>2010</v>
      </c>
      <c r="E387">
        <v>30</v>
      </c>
      <c r="F387">
        <v>2871283.9043646301</v>
      </c>
      <c r="G387" s="43">
        <v>0.10299313821326296</v>
      </c>
      <c r="H387" s="58" t="str">
        <f>_xlfn.IFNA(
INDEX(CA!B$2:B$78,MATCH($E387,CA!$A$2:$A$78,0)),
"")</f>
        <v>SOUTH LAWNDALE</v>
      </c>
      <c r="I387" s="60" t="str">
        <f>_xlfn.IFNA(
INDEX(CA!C$2:C$78,MATCH($E387,CA!$A$2:$A$78,0)),
"")</f>
        <v>3-A</v>
      </c>
      <c r="J387" s="60">
        <f>_xlfn.IFNA(
INDEX(CA!D$2:D$78,MATCH($E387,CA!$A$2:$A$78,0)),
"")</f>
        <v>3</v>
      </c>
      <c r="K387" s="58" t="str">
        <f>_xlfn.IFNA(
INDEX(CA!E$2:E$78,MATCH($E387,CA!$A$2:$A$78,0)),
"")</f>
        <v>WEST</v>
      </c>
      <c r="L387" s="15" t="e">
        <v>#VALUE!</v>
      </c>
      <c r="M387" s="15" t="e">
        <v>#VALUE!</v>
      </c>
      <c r="N387" s="15" t="e">
        <v>#VALUE!</v>
      </c>
      <c r="O387" s="15" t="e">
        <v>#VALUE!</v>
      </c>
      <c r="P387" s="15" t="e">
        <v>#VALUE!</v>
      </c>
      <c r="Q387" s="15" t="e">
        <v>#VALUE!</v>
      </c>
      <c r="R387" s="15" t="e">
        <v>#VALUE!</v>
      </c>
      <c r="S387" s="15" t="e">
        <v>#VALUE!</v>
      </c>
      <c r="T387" s="129">
        <v>0.10299314623010826</v>
      </c>
      <c r="U387" s="130" t="e">
        <f t="shared" si="23"/>
        <v>#VALUE!</v>
      </c>
      <c r="V387" s="129">
        <v>0.10299314623010826</v>
      </c>
      <c r="W387" s="130" t="e">
        <f t="shared" si="20"/>
        <v>#VALUE!</v>
      </c>
      <c r="X387" s="129">
        <v>0.10299314623010826</v>
      </c>
      <c r="Y387" s="130" t="e">
        <f t="shared" si="21"/>
        <v>#VALUE!</v>
      </c>
      <c r="Z387" s="129">
        <v>0.10299314623010826</v>
      </c>
      <c r="AA387" s="130" t="e">
        <f t="shared" si="22"/>
        <v>#VALUE!</v>
      </c>
    </row>
    <row r="388" spans="1:27" x14ac:dyDescent="0.3">
      <c r="A388">
        <v>300500</v>
      </c>
      <c r="B388">
        <v>17031300500</v>
      </c>
      <c r="C388">
        <v>17031</v>
      </c>
      <c r="D388">
        <v>2010</v>
      </c>
      <c r="E388">
        <v>30</v>
      </c>
      <c r="F388">
        <v>2929601.3515339699</v>
      </c>
      <c r="G388" s="43">
        <v>0.10508498879182342</v>
      </c>
      <c r="H388" s="58" t="str">
        <f>_xlfn.IFNA(
INDEX(CA!B$2:B$78,MATCH($E388,CA!$A$2:$A$78,0)),
"")</f>
        <v>SOUTH LAWNDALE</v>
      </c>
      <c r="I388" s="60" t="str">
        <f>_xlfn.IFNA(
INDEX(CA!C$2:C$78,MATCH($E388,CA!$A$2:$A$78,0)),
"")</f>
        <v>3-A</v>
      </c>
      <c r="J388" s="60">
        <f>_xlfn.IFNA(
INDEX(CA!D$2:D$78,MATCH($E388,CA!$A$2:$A$78,0)),
"")</f>
        <v>3</v>
      </c>
      <c r="K388" s="58" t="str">
        <f>_xlfn.IFNA(
INDEX(CA!E$2:E$78,MATCH($E388,CA!$A$2:$A$78,0)),
"")</f>
        <v>WEST</v>
      </c>
      <c r="L388" s="15" t="e">
        <v>#VALUE!</v>
      </c>
      <c r="M388" s="15" t="e">
        <v>#VALUE!</v>
      </c>
      <c r="N388" s="15" t="e">
        <v>#VALUE!</v>
      </c>
      <c r="O388" s="15" t="e">
        <v>#VALUE!</v>
      </c>
      <c r="P388" s="15" t="e">
        <v>#VALUE!</v>
      </c>
      <c r="Q388" s="15" t="e">
        <v>#VALUE!</v>
      </c>
      <c r="R388" s="15" t="e">
        <v>#VALUE!</v>
      </c>
      <c r="S388" s="15" t="e">
        <v>#VALUE!</v>
      </c>
      <c r="T388" s="129">
        <v>0.10508498908072415</v>
      </c>
      <c r="U388" s="130" t="e">
        <f t="shared" si="23"/>
        <v>#VALUE!</v>
      </c>
      <c r="V388" s="129">
        <v>0.10508498908072415</v>
      </c>
      <c r="W388" s="130" t="e">
        <f t="shared" si="20"/>
        <v>#VALUE!</v>
      </c>
      <c r="X388" s="129">
        <v>0.10508498908072415</v>
      </c>
      <c r="Y388" s="130" t="e">
        <f t="shared" si="21"/>
        <v>#VALUE!</v>
      </c>
      <c r="Z388" s="129">
        <v>0.10508498908072415</v>
      </c>
      <c r="AA388" s="130" t="e">
        <f t="shared" si="22"/>
        <v>#VALUE!</v>
      </c>
    </row>
    <row r="389" spans="1:27" x14ac:dyDescent="0.3">
      <c r="A389">
        <v>310300</v>
      </c>
      <c r="B389">
        <v>17031310300</v>
      </c>
      <c r="C389">
        <v>17031</v>
      </c>
      <c r="D389">
        <v>2010</v>
      </c>
      <c r="E389">
        <v>31</v>
      </c>
      <c r="F389">
        <v>3429001.7805311601</v>
      </c>
      <c r="G389" s="43">
        <v>0.1229985142809903</v>
      </c>
      <c r="H389" s="58" t="str">
        <f>_xlfn.IFNA(
INDEX(CA!B$2:B$78,MATCH($E389,CA!$A$2:$A$78,0)),
"")</f>
        <v>LOWER WEST SIDE</v>
      </c>
      <c r="I389" s="60" t="str">
        <f>_xlfn.IFNA(
INDEX(CA!C$2:C$78,MATCH($E389,CA!$A$2:$A$78,0)),
"")</f>
        <v>3-B</v>
      </c>
      <c r="J389" s="60">
        <f>_xlfn.IFNA(
INDEX(CA!D$2:D$78,MATCH($E389,CA!$A$2:$A$78,0)),
"")</f>
        <v>7</v>
      </c>
      <c r="K389" s="58" t="str">
        <f>_xlfn.IFNA(
INDEX(CA!E$2:E$78,MATCH($E389,CA!$A$2:$A$78,0)),
"")</f>
        <v>CENTRAL</v>
      </c>
      <c r="L389" s="15" t="e">
        <v>#VALUE!</v>
      </c>
      <c r="M389" s="15" t="e">
        <v>#VALUE!</v>
      </c>
      <c r="N389" s="15" t="e">
        <v>#VALUE!</v>
      </c>
      <c r="O389" s="15" t="e">
        <v>#VALUE!</v>
      </c>
      <c r="P389" s="15" t="e">
        <v>#VALUE!</v>
      </c>
      <c r="Q389" s="15" t="e">
        <v>#VALUE!</v>
      </c>
      <c r="R389" s="15" t="e">
        <v>#VALUE!</v>
      </c>
      <c r="S389" s="15" t="e">
        <v>#VALUE!</v>
      </c>
      <c r="T389" s="129">
        <v>0.12299851289931452</v>
      </c>
      <c r="U389" s="130" t="e">
        <f t="shared" si="23"/>
        <v>#VALUE!</v>
      </c>
      <c r="V389" s="129">
        <v>0.12299851289931452</v>
      </c>
      <c r="W389" s="130" t="e">
        <f t="shared" si="20"/>
        <v>#VALUE!</v>
      </c>
      <c r="X389" s="129">
        <v>0.12299851289931452</v>
      </c>
      <c r="Y389" s="130" t="e">
        <f t="shared" si="21"/>
        <v>#VALUE!</v>
      </c>
      <c r="Z389" s="129">
        <v>0.12299851289931452</v>
      </c>
      <c r="AA389" s="130" t="e">
        <f t="shared" si="22"/>
        <v>#VALUE!</v>
      </c>
    </row>
    <row r="390" spans="1:27" x14ac:dyDescent="0.3">
      <c r="A390">
        <v>310600</v>
      </c>
      <c r="B390">
        <v>17031310600</v>
      </c>
      <c r="C390">
        <v>17031</v>
      </c>
      <c r="D390">
        <v>2010</v>
      </c>
      <c r="E390">
        <v>31</v>
      </c>
      <c r="F390">
        <v>5847482.4063458899</v>
      </c>
      <c r="G390" s="43">
        <v>0.20974956978685613</v>
      </c>
      <c r="H390" s="58" t="str">
        <f>_xlfn.IFNA(
INDEX(CA!B$2:B$78,MATCH($E390,CA!$A$2:$A$78,0)),
"")</f>
        <v>LOWER WEST SIDE</v>
      </c>
      <c r="I390" s="60" t="str">
        <f>_xlfn.IFNA(
INDEX(CA!C$2:C$78,MATCH($E390,CA!$A$2:$A$78,0)),
"")</f>
        <v>3-B</v>
      </c>
      <c r="J390" s="60">
        <f>_xlfn.IFNA(
INDEX(CA!D$2:D$78,MATCH($E390,CA!$A$2:$A$78,0)),
"")</f>
        <v>7</v>
      </c>
      <c r="K390" s="58" t="str">
        <f>_xlfn.IFNA(
INDEX(CA!E$2:E$78,MATCH($E390,CA!$A$2:$A$78,0)),
"")</f>
        <v>CENTRAL</v>
      </c>
      <c r="L390" s="15" t="e">
        <v>#VALUE!</v>
      </c>
      <c r="M390" s="15" t="e">
        <v>#VALUE!</v>
      </c>
      <c r="N390" s="15" t="e">
        <v>#VALUE!</v>
      </c>
      <c r="O390" s="15" t="e">
        <v>#VALUE!</v>
      </c>
      <c r="P390" s="15" t="e">
        <v>#VALUE!</v>
      </c>
      <c r="Q390" s="15" t="e">
        <v>#VALUE!</v>
      </c>
      <c r="R390" s="15" t="e">
        <v>#VALUE!</v>
      </c>
      <c r="S390" s="15" t="e">
        <v>#VALUE!</v>
      </c>
      <c r="T390" s="129">
        <v>0.20974957453275225</v>
      </c>
      <c r="U390" s="130" t="e">
        <f t="shared" si="23"/>
        <v>#VALUE!</v>
      </c>
      <c r="V390" s="129">
        <v>0.20974957453275225</v>
      </c>
      <c r="W390" s="130" t="e">
        <f t="shared" ref="W390:W453" si="24">(V390/$G390)*$L390</f>
        <v>#VALUE!</v>
      </c>
      <c r="X390" s="129">
        <v>0.20974957453275225</v>
      </c>
      <c r="Y390" s="130" t="e">
        <f t="shared" ref="Y390:Y453" si="25">(X390/$G390)*$L390</f>
        <v>#VALUE!</v>
      </c>
      <c r="Z390" s="129">
        <v>0.20974957453275225</v>
      </c>
      <c r="AA390" s="130" t="e">
        <f t="shared" ref="AA390:AA453" si="26">(Z390/$G390)*$L390</f>
        <v>#VALUE!</v>
      </c>
    </row>
    <row r="391" spans="1:27" x14ac:dyDescent="0.3">
      <c r="A391">
        <v>310700</v>
      </c>
      <c r="B391">
        <v>17031310700</v>
      </c>
      <c r="C391">
        <v>17031</v>
      </c>
      <c r="D391">
        <v>2010</v>
      </c>
      <c r="E391">
        <v>31</v>
      </c>
      <c r="F391">
        <v>1723521.2508526</v>
      </c>
      <c r="G391" s="43">
        <v>6.1822818054572716E-2</v>
      </c>
      <c r="H391" s="58" t="str">
        <f>_xlfn.IFNA(
INDEX(CA!B$2:B$78,MATCH($E391,CA!$A$2:$A$78,0)),
"")</f>
        <v>LOWER WEST SIDE</v>
      </c>
      <c r="I391" s="60" t="str">
        <f>_xlfn.IFNA(
INDEX(CA!C$2:C$78,MATCH($E391,CA!$A$2:$A$78,0)),
"")</f>
        <v>3-B</v>
      </c>
      <c r="J391" s="60">
        <f>_xlfn.IFNA(
INDEX(CA!D$2:D$78,MATCH($E391,CA!$A$2:$A$78,0)),
"")</f>
        <v>7</v>
      </c>
      <c r="K391" s="58" t="str">
        <f>_xlfn.IFNA(
INDEX(CA!E$2:E$78,MATCH($E391,CA!$A$2:$A$78,0)),
"")</f>
        <v>CENTRAL</v>
      </c>
      <c r="L391" s="15" t="e">
        <v>#VALUE!</v>
      </c>
      <c r="M391" s="15" t="e">
        <v>#VALUE!</v>
      </c>
      <c r="N391" s="15" t="e">
        <v>#VALUE!</v>
      </c>
      <c r="O391" s="15" t="e">
        <v>#VALUE!</v>
      </c>
      <c r="P391" s="15" t="e">
        <v>#VALUE!</v>
      </c>
      <c r="Q391" s="15" t="e">
        <v>#VALUE!</v>
      </c>
      <c r="R391" s="15" t="e">
        <v>#VALUE!</v>
      </c>
      <c r="S391" s="15" t="e">
        <v>#VALUE!</v>
      </c>
      <c r="T391" s="129">
        <v>6.1822817731207673E-2</v>
      </c>
      <c r="U391" s="130" t="e">
        <f t="shared" ref="U391:U454" si="27">(T391/$G391)*$L391</f>
        <v>#VALUE!</v>
      </c>
      <c r="V391" s="129">
        <v>6.1822817731207673E-2</v>
      </c>
      <c r="W391" s="130" t="e">
        <f t="shared" si="24"/>
        <v>#VALUE!</v>
      </c>
      <c r="X391" s="129">
        <v>6.1822817731207673E-2</v>
      </c>
      <c r="Y391" s="130" t="e">
        <f t="shared" si="25"/>
        <v>#VALUE!</v>
      </c>
      <c r="Z391" s="129">
        <v>6.1822817731207673E-2</v>
      </c>
      <c r="AA391" s="130" t="e">
        <f t="shared" si="26"/>
        <v>#VALUE!</v>
      </c>
    </row>
    <row r="392" spans="1:27" x14ac:dyDescent="0.3">
      <c r="A392">
        <v>841200</v>
      </c>
      <c r="B392">
        <v>17031841200</v>
      </c>
      <c r="C392">
        <v>17031</v>
      </c>
      <c r="D392">
        <v>2010</v>
      </c>
      <c r="E392">
        <v>31</v>
      </c>
      <c r="F392">
        <v>6529986.4847847503</v>
      </c>
      <c r="G392" s="43">
        <v>0.23423103495124362</v>
      </c>
      <c r="H392" s="58" t="str">
        <f>_xlfn.IFNA(
INDEX(CA!B$2:B$78,MATCH($E392,CA!$A$2:$A$78,0)),
"")</f>
        <v>LOWER WEST SIDE</v>
      </c>
      <c r="I392" s="60" t="str">
        <f>_xlfn.IFNA(
INDEX(CA!C$2:C$78,MATCH($E392,CA!$A$2:$A$78,0)),
"")</f>
        <v>3-B</v>
      </c>
      <c r="J392" s="60">
        <f>_xlfn.IFNA(
INDEX(CA!D$2:D$78,MATCH($E392,CA!$A$2:$A$78,0)),
"")</f>
        <v>7</v>
      </c>
      <c r="K392" s="58" t="str">
        <f>_xlfn.IFNA(
INDEX(CA!E$2:E$78,MATCH($E392,CA!$A$2:$A$78,0)),
"")</f>
        <v>CENTRAL</v>
      </c>
      <c r="L392" s="15" t="e">
        <v>#VALUE!</v>
      </c>
      <c r="M392" s="15" t="e">
        <v>#VALUE!</v>
      </c>
      <c r="N392" s="15" t="e">
        <v>#VALUE!</v>
      </c>
      <c r="O392" s="15" t="e">
        <v>#VALUE!</v>
      </c>
      <c r="P392" s="15" t="e">
        <v>#VALUE!</v>
      </c>
      <c r="Q392" s="15" t="e">
        <v>#VALUE!</v>
      </c>
      <c r="R392" s="15" t="e">
        <v>#VALUE!</v>
      </c>
      <c r="S392" s="15" t="e">
        <v>#VALUE!</v>
      </c>
      <c r="T392" s="129">
        <v>0.23423103570183976</v>
      </c>
      <c r="U392" s="130" t="e">
        <f t="shared" si="27"/>
        <v>#VALUE!</v>
      </c>
      <c r="V392" s="129">
        <v>0.23423103570183976</v>
      </c>
      <c r="W392" s="130" t="e">
        <f t="shared" si="24"/>
        <v>#VALUE!</v>
      </c>
      <c r="X392" s="129">
        <v>0.23423103570183976</v>
      </c>
      <c r="Y392" s="130" t="e">
        <f t="shared" si="25"/>
        <v>#VALUE!</v>
      </c>
      <c r="Z392" s="129">
        <v>0.23423103570183976</v>
      </c>
      <c r="AA392" s="130" t="e">
        <f t="shared" si="26"/>
        <v>#VALUE!</v>
      </c>
    </row>
    <row r="393" spans="1:27" x14ac:dyDescent="0.3">
      <c r="A393">
        <v>310500</v>
      </c>
      <c r="B393">
        <v>17031310500</v>
      </c>
      <c r="C393">
        <v>17031</v>
      </c>
      <c r="D393">
        <v>2010</v>
      </c>
      <c r="E393">
        <v>31</v>
      </c>
      <c r="F393">
        <v>1742185.4690491401</v>
      </c>
      <c r="G393" s="43">
        <v>6.2492304761002787E-2</v>
      </c>
      <c r="H393" s="58" t="str">
        <f>_xlfn.IFNA(
INDEX(CA!B$2:B$78,MATCH($E393,CA!$A$2:$A$78,0)),
"")</f>
        <v>LOWER WEST SIDE</v>
      </c>
      <c r="I393" s="60" t="str">
        <f>_xlfn.IFNA(
INDEX(CA!C$2:C$78,MATCH($E393,CA!$A$2:$A$78,0)),
"")</f>
        <v>3-B</v>
      </c>
      <c r="J393" s="60">
        <f>_xlfn.IFNA(
INDEX(CA!D$2:D$78,MATCH($E393,CA!$A$2:$A$78,0)),
"")</f>
        <v>7</v>
      </c>
      <c r="K393" s="58" t="str">
        <f>_xlfn.IFNA(
INDEX(CA!E$2:E$78,MATCH($E393,CA!$A$2:$A$78,0)),
"")</f>
        <v>CENTRAL</v>
      </c>
      <c r="L393" s="15" t="e">
        <v>#VALUE!</v>
      </c>
      <c r="M393" s="15" t="e">
        <v>#VALUE!</v>
      </c>
      <c r="N393" s="15" t="e">
        <v>#VALUE!</v>
      </c>
      <c r="O393" s="15" t="e">
        <v>#VALUE!</v>
      </c>
      <c r="P393" s="15" t="e">
        <v>#VALUE!</v>
      </c>
      <c r="Q393" s="15" t="e">
        <v>#VALUE!</v>
      </c>
      <c r="R393" s="15" t="e">
        <v>#VALUE!</v>
      </c>
      <c r="S393" s="15" t="e">
        <v>#VALUE!</v>
      </c>
      <c r="T393" s="129">
        <v>6.2492303130375848E-2</v>
      </c>
      <c r="U393" s="130" t="e">
        <f t="shared" si="27"/>
        <v>#VALUE!</v>
      </c>
      <c r="V393" s="129">
        <v>6.2492303130375848E-2</v>
      </c>
      <c r="W393" s="130" t="e">
        <f t="shared" si="24"/>
        <v>#VALUE!</v>
      </c>
      <c r="X393" s="129">
        <v>6.2492303130375848E-2</v>
      </c>
      <c r="Y393" s="130" t="e">
        <f t="shared" si="25"/>
        <v>#VALUE!</v>
      </c>
      <c r="Z393" s="129">
        <v>6.2492303130375848E-2</v>
      </c>
      <c r="AA393" s="130" t="e">
        <f t="shared" si="26"/>
        <v>#VALUE!</v>
      </c>
    </row>
    <row r="394" spans="1:27" x14ac:dyDescent="0.3">
      <c r="A394">
        <v>841300</v>
      </c>
      <c r="B394">
        <v>17031841300</v>
      </c>
      <c r="C394">
        <v>17031</v>
      </c>
      <c r="D394">
        <v>2010</v>
      </c>
      <c r="E394">
        <v>31</v>
      </c>
      <c r="F394">
        <v>14985447.5500404</v>
      </c>
      <c r="G394" s="43">
        <v>0.53752896687185781</v>
      </c>
      <c r="H394" s="58" t="str">
        <f>_xlfn.IFNA(
INDEX(CA!B$2:B$78,MATCH($E394,CA!$A$2:$A$78,0)),
"")</f>
        <v>LOWER WEST SIDE</v>
      </c>
      <c r="I394" s="60" t="str">
        <f>_xlfn.IFNA(
INDEX(CA!C$2:C$78,MATCH($E394,CA!$A$2:$A$78,0)),
"")</f>
        <v>3-B</v>
      </c>
      <c r="J394" s="60">
        <f>_xlfn.IFNA(
INDEX(CA!D$2:D$78,MATCH($E394,CA!$A$2:$A$78,0)),
"")</f>
        <v>7</v>
      </c>
      <c r="K394" s="58" t="str">
        <f>_xlfn.IFNA(
INDEX(CA!E$2:E$78,MATCH($E394,CA!$A$2:$A$78,0)),
"")</f>
        <v>CENTRAL</v>
      </c>
      <c r="L394" s="15" t="e">
        <v>#VALUE!</v>
      </c>
      <c r="M394" s="15" t="e">
        <v>#VALUE!</v>
      </c>
      <c r="N394" s="15" t="e">
        <v>#VALUE!</v>
      </c>
      <c r="O394" s="15" t="e">
        <v>#VALUE!</v>
      </c>
      <c r="P394" s="15" t="e">
        <v>#VALUE!</v>
      </c>
      <c r="Q394" s="15" t="e">
        <v>#VALUE!</v>
      </c>
      <c r="R394" s="15" t="e">
        <v>#VALUE!</v>
      </c>
      <c r="S394" s="15" t="e">
        <v>#VALUE!</v>
      </c>
      <c r="T394" s="129">
        <v>0.53752897070196637</v>
      </c>
      <c r="U394" s="130" t="e">
        <f t="shared" si="27"/>
        <v>#VALUE!</v>
      </c>
      <c r="V394" s="129">
        <v>0.53752897070196637</v>
      </c>
      <c r="W394" s="130" t="e">
        <f t="shared" si="24"/>
        <v>#VALUE!</v>
      </c>
      <c r="X394" s="129">
        <v>0.53752897070196637</v>
      </c>
      <c r="Y394" s="130" t="e">
        <f t="shared" si="25"/>
        <v>#VALUE!</v>
      </c>
      <c r="Z394" s="129">
        <v>0.53752897070196637</v>
      </c>
      <c r="AA394" s="130" t="e">
        <f t="shared" si="26"/>
        <v>#VALUE!</v>
      </c>
    </row>
    <row r="395" spans="1:27" x14ac:dyDescent="0.3">
      <c r="A395">
        <v>310800</v>
      </c>
      <c r="B395">
        <v>17031310800</v>
      </c>
      <c r="C395">
        <v>17031</v>
      </c>
      <c r="D395">
        <v>2010</v>
      </c>
      <c r="E395">
        <v>31</v>
      </c>
      <c r="F395">
        <v>3581717.8050448899</v>
      </c>
      <c r="G395" s="43">
        <v>0.12847644789675483</v>
      </c>
      <c r="H395" s="58" t="str">
        <f>_xlfn.IFNA(
INDEX(CA!B$2:B$78,MATCH($E395,CA!$A$2:$A$78,0)),
"")</f>
        <v>LOWER WEST SIDE</v>
      </c>
      <c r="I395" s="60" t="str">
        <f>_xlfn.IFNA(
INDEX(CA!C$2:C$78,MATCH($E395,CA!$A$2:$A$78,0)),
"")</f>
        <v>3-B</v>
      </c>
      <c r="J395" s="60">
        <f>_xlfn.IFNA(
INDEX(CA!D$2:D$78,MATCH($E395,CA!$A$2:$A$78,0)),
"")</f>
        <v>7</v>
      </c>
      <c r="K395" s="58" t="str">
        <f>_xlfn.IFNA(
INDEX(CA!E$2:E$78,MATCH($E395,CA!$A$2:$A$78,0)),
"")</f>
        <v>CENTRAL</v>
      </c>
      <c r="L395" s="15" t="e">
        <v>#VALUE!</v>
      </c>
      <c r="M395" s="15" t="e">
        <v>#VALUE!</v>
      </c>
      <c r="N395" s="15" t="e">
        <v>#VALUE!</v>
      </c>
      <c r="O395" s="15" t="e">
        <v>#VALUE!</v>
      </c>
      <c r="P395" s="15" t="e">
        <v>#VALUE!</v>
      </c>
      <c r="Q395" s="15" t="e">
        <v>#VALUE!</v>
      </c>
      <c r="R395" s="15" t="e">
        <v>#VALUE!</v>
      </c>
      <c r="S395" s="15" t="e">
        <v>#VALUE!</v>
      </c>
      <c r="T395" s="129">
        <v>0.12847644699234567</v>
      </c>
      <c r="U395" s="130" t="e">
        <f t="shared" si="27"/>
        <v>#VALUE!</v>
      </c>
      <c r="V395" s="129">
        <v>0.12847644699234567</v>
      </c>
      <c r="W395" s="130" t="e">
        <f t="shared" si="24"/>
        <v>#VALUE!</v>
      </c>
      <c r="X395" s="129">
        <v>0.12847644699234567</v>
      </c>
      <c r="Y395" s="130" t="e">
        <f t="shared" si="25"/>
        <v>#VALUE!</v>
      </c>
      <c r="Z395" s="129">
        <v>0.12847644699234567</v>
      </c>
      <c r="AA395" s="130" t="e">
        <f t="shared" si="26"/>
        <v>#VALUE!</v>
      </c>
    </row>
    <row r="396" spans="1:27" x14ac:dyDescent="0.3">
      <c r="A396">
        <v>310200</v>
      </c>
      <c r="B396">
        <v>17031310200</v>
      </c>
      <c r="C396">
        <v>17031</v>
      </c>
      <c r="D396">
        <v>2010</v>
      </c>
      <c r="E396">
        <v>31</v>
      </c>
      <c r="F396">
        <v>3450699.7753825602</v>
      </c>
      <c r="G396" s="43">
        <v>0.12377682275103881</v>
      </c>
      <c r="H396" s="58" t="str">
        <f>_xlfn.IFNA(
INDEX(CA!B$2:B$78,MATCH($E396,CA!$A$2:$A$78,0)),
"")</f>
        <v>LOWER WEST SIDE</v>
      </c>
      <c r="I396" s="60" t="str">
        <f>_xlfn.IFNA(
INDEX(CA!C$2:C$78,MATCH($E396,CA!$A$2:$A$78,0)),
"")</f>
        <v>3-B</v>
      </c>
      <c r="J396" s="60">
        <f>_xlfn.IFNA(
INDEX(CA!D$2:D$78,MATCH($E396,CA!$A$2:$A$78,0)),
"")</f>
        <v>7</v>
      </c>
      <c r="K396" s="58" t="str">
        <f>_xlfn.IFNA(
INDEX(CA!E$2:E$78,MATCH($E396,CA!$A$2:$A$78,0)),
"")</f>
        <v>CENTRAL</v>
      </c>
      <c r="L396" s="15" t="e">
        <v>#VALUE!</v>
      </c>
      <c r="M396" s="15" t="e">
        <v>#VALUE!</v>
      </c>
      <c r="N396" s="15" t="e">
        <v>#VALUE!</v>
      </c>
      <c r="O396" s="15" t="e">
        <v>#VALUE!</v>
      </c>
      <c r="P396" s="15" t="e">
        <v>#VALUE!</v>
      </c>
      <c r="Q396" s="15" t="e">
        <v>#VALUE!</v>
      </c>
      <c r="R396" s="15" t="e">
        <v>#VALUE!</v>
      </c>
      <c r="S396" s="15" t="e">
        <v>#VALUE!</v>
      </c>
      <c r="T396" s="129">
        <v>0.12377682556112403</v>
      </c>
      <c r="U396" s="130" t="e">
        <f t="shared" si="27"/>
        <v>#VALUE!</v>
      </c>
      <c r="V396" s="129">
        <v>0.12377682556112403</v>
      </c>
      <c r="W396" s="130" t="e">
        <f t="shared" si="24"/>
        <v>#VALUE!</v>
      </c>
      <c r="X396" s="129">
        <v>0.12377682556112403</v>
      </c>
      <c r="Y396" s="130" t="e">
        <f t="shared" si="25"/>
        <v>#VALUE!</v>
      </c>
      <c r="Z396" s="129">
        <v>0.12377682556112403</v>
      </c>
      <c r="AA396" s="130" t="e">
        <f t="shared" si="26"/>
        <v>#VALUE!</v>
      </c>
    </row>
    <row r="397" spans="1:27" x14ac:dyDescent="0.3">
      <c r="A397">
        <v>310900</v>
      </c>
      <c r="B397">
        <v>17031310900</v>
      </c>
      <c r="C397">
        <v>17031</v>
      </c>
      <c r="D397">
        <v>2010</v>
      </c>
      <c r="E397">
        <v>31</v>
      </c>
      <c r="F397">
        <v>5270873.4112258404</v>
      </c>
      <c r="G397" s="43">
        <v>0.18906656806796088</v>
      </c>
      <c r="H397" s="58" t="str">
        <f>_xlfn.IFNA(
INDEX(CA!B$2:B$78,MATCH($E397,CA!$A$2:$A$78,0)),
"")</f>
        <v>LOWER WEST SIDE</v>
      </c>
      <c r="I397" s="60" t="str">
        <f>_xlfn.IFNA(
INDEX(CA!C$2:C$78,MATCH($E397,CA!$A$2:$A$78,0)),
"")</f>
        <v>3-B</v>
      </c>
      <c r="J397" s="60">
        <f>_xlfn.IFNA(
INDEX(CA!D$2:D$78,MATCH($E397,CA!$A$2:$A$78,0)),
"")</f>
        <v>7</v>
      </c>
      <c r="K397" s="58" t="str">
        <f>_xlfn.IFNA(
INDEX(CA!E$2:E$78,MATCH($E397,CA!$A$2:$A$78,0)),
"")</f>
        <v>CENTRAL</v>
      </c>
      <c r="L397" s="15" t="e">
        <v>#VALUE!</v>
      </c>
      <c r="M397" s="15" t="e">
        <v>#VALUE!</v>
      </c>
      <c r="N397" s="15" t="e">
        <v>#VALUE!</v>
      </c>
      <c r="O397" s="15" t="e">
        <v>#VALUE!</v>
      </c>
      <c r="P397" s="15" t="e">
        <v>#VALUE!</v>
      </c>
      <c r="Q397" s="15" t="e">
        <v>#VALUE!</v>
      </c>
      <c r="R397" s="15" t="e">
        <v>#VALUE!</v>
      </c>
      <c r="S397" s="15" t="e">
        <v>#VALUE!</v>
      </c>
      <c r="T397" s="129">
        <v>0.18906657375285993</v>
      </c>
      <c r="U397" s="130" t="e">
        <f t="shared" si="27"/>
        <v>#VALUE!</v>
      </c>
      <c r="V397" s="129">
        <v>0.18906657375285993</v>
      </c>
      <c r="W397" s="130" t="e">
        <f t="shared" si="24"/>
        <v>#VALUE!</v>
      </c>
      <c r="X397" s="129">
        <v>0.18906657375285993</v>
      </c>
      <c r="Y397" s="130" t="e">
        <f t="shared" si="25"/>
        <v>#VALUE!</v>
      </c>
      <c r="Z397" s="129">
        <v>0.18906657375285993</v>
      </c>
      <c r="AA397" s="130" t="e">
        <f t="shared" si="26"/>
        <v>#VALUE!</v>
      </c>
    </row>
    <row r="398" spans="1:27" x14ac:dyDescent="0.3">
      <c r="A398">
        <v>843200</v>
      </c>
      <c r="B398">
        <v>17031843200</v>
      </c>
      <c r="C398">
        <v>17031</v>
      </c>
      <c r="D398">
        <v>2010</v>
      </c>
      <c r="E398">
        <v>31</v>
      </c>
      <c r="F398">
        <v>33649817.5886034</v>
      </c>
      <c r="G398" s="43">
        <v>1.2070211198850507</v>
      </c>
      <c r="H398" s="58" t="str">
        <f>_xlfn.IFNA(
INDEX(CA!B$2:B$78,MATCH($E398,CA!$A$2:$A$78,0)),
"")</f>
        <v>LOWER WEST SIDE</v>
      </c>
      <c r="I398" s="60" t="str">
        <f>_xlfn.IFNA(
INDEX(CA!C$2:C$78,MATCH($E398,CA!$A$2:$A$78,0)),
"")</f>
        <v>3-B</v>
      </c>
      <c r="J398" s="60">
        <f>_xlfn.IFNA(
INDEX(CA!D$2:D$78,MATCH($E398,CA!$A$2:$A$78,0)),
"")</f>
        <v>7</v>
      </c>
      <c r="K398" s="58" t="str">
        <f>_xlfn.IFNA(
INDEX(CA!E$2:E$78,MATCH($E398,CA!$A$2:$A$78,0)),
"")</f>
        <v>CENTRAL</v>
      </c>
      <c r="L398" s="15" t="e">
        <v>#VALUE!</v>
      </c>
      <c r="M398" s="15" t="e">
        <v>#VALUE!</v>
      </c>
      <c r="N398" s="15" t="e">
        <v>#VALUE!</v>
      </c>
      <c r="O398" s="15" t="e">
        <v>#VALUE!</v>
      </c>
      <c r="P398" s="15" t="e">
        <v>#VALUE!</v>
      </c>
      <c r="Q398" s="15" t="e">
        <v>#VALUE!</v>
      </c>
      <c r="R398" s="15" t="e">
        <v>#VALUE!</v>
      </c>
      <c r="S398" s="15" t="e">
        <v>#VALUE!</v>
      </c>
      <c r="T398" s="129">
        <v>1.0783820645736915</v>
      </c>
      <c r="U398" s="130" t="e">
        <f t="shared" si="27"/>
        <v>#VALUE!</v>
      </c>
      <c r="V398" s="129">
        <v>1.0783820645736915</v>
      </c>
      <c r="W398" s="130" t="e">
        <f t="shared" si="24"/>
        <v>#VALUE!</v>
      </c>
      <c r="X398" s="129">
        <v>1.0783820645736915</v>
      </c>
      <c r="Y398" s="130" t="e">
        <f t="shared" si="25"/>
        <v>#VALUE!</v>
      </c>
      <c r="Z398" s="129">
        <v>1.0783820645736915</v>
      </c>
      <c r="AA398" s="130" t="e">
        <f t="shared" si="26"/>
        <v>#VALUE!</v>
      </c>
    </row>
    <row r="399" spans="1:27" x14ac:dyDescent="0.3">
      <c r="A399">
        <v>310400</v>
      </c>
      <c r="B399">
        <v>17031310400</v>
      </c>
      <c r="C399">
        <v>17031</v>
      </c>
      <c r="D399">
        <v>2010</v>
      </c>
      <c r="E399">
        <v>31</v>
      </c>
      <c r="F399">
        <v>1339990.11581648</v>
      </c>
      <c r="G399" s="43">
        <v>4.8065531587769744E-2</v>
      </c>
      <c r="H399" s="58" t="str">
        <f>_xlfn.IFNA(
INDEX(CA!B$2:B$78,MATCH($E399,CA!$A$2:$A$78,0)),
"")</f>
        <v>LOWER WEST SIDE</v>
      </c>
      <c r="I399" s="60" t="str">
        <f>_xlfn.IFNA(
INDEX(CA!C$2:C$78,MATCH($E399,CA!$A$2:$A$78,0)),
"")</f>
        <v>3-B</v>
      </c>
      <c r="J399" s="60">
        <f>_xlfn.IFNA(
INDEX(CA!D$2:D$78,MATCH($E399,CA!$A$2:$A$78,0)),
"")</f>
        <v>7</v>
      </c>
      <c r="K399" s="58" t="str">
        <f>_xlfn.IFNA(
INDEX(CA!E$2:E$78,MATCH($E399,CA!$A$2:$A$78,0)),
"")</f>
        <v>CENTRAL</v>
      </c>
      <c r="L399" s="15" t="e">
        <v>#VALUE!</v>
      </c>
      <c r="M399" s="15" t="e">
        <v>#VALUE!</v>
      </c>
      <c r="N399" s="15" t="e">
        <v>#VALUE!</v>
      </c>
      <c r="O399" s="15" t="e">
        <v>#VALUE!</v>
      </c>
      <c r="P399" s="15" t="e">
        <v>#VALUE!</v>
      </c>
      <c r="Q399" s="15" t="e">
        <v>#VALUE!</v>
      </c>
      <c r="R399" s="15" t="e">
        <v>#VALUE!</v>
      </c>
      <c r="S399" s="15" t="e">
        <v>#VALUE!</v>
      </c>
      <c r="T399" s="129">
        <v>4.8065533913484282E-2</v>
      </c>
      <c r="U399" s="130" t="e">
        <f t="shared" si="27"/>
        <v>#VALUE!</v>
      </c>
      <c r="V399" s="129">
        <v>4.8065533913484282E-2</v>
      </c>
      <c r="W399" s="130" t="e">
        <f t="shared" si="24"/>
        <v>#VALUE!</v>
      </c>
      <c r="X399" s="129">
        <v>4.8065533913484282E-2</v>
      </c>
      <c r="Y399" s="130" t="e">
        <f t="shared" si="25"/>
        <v>#VALUE!</v>
      </c>
      <c r="Z399" s="129">
        <v>4.8065533913484282E-2</v>
      </c>
      <c r="AA399" s="130" t="e">
        <f t="shared" si="26"/>
        <v>#VALUE!</v>
      </c>
    </row>
    <row r="400" spans="1:27" x14ac:dyDescent="0.3">
      <c r="A400">
        <v>330200</v>
      </c>
      <c r="B400">
        <v>17031330200</v>
      </c>
      <c r="C400">
        <v>17031</v>
      </c>
      <c r="D400">
        <v>2010</v>
      </c>
      <c r="E400">
        <v>33</v>
      </c>
      <c r="F400">
        <v>8470005.7184941806</v>
      </c>
      <c r="G400" s="43">
        <v>0.30381964956719826</v>
      </c>
      <c r="H400" s="58" t="str">
        <f>_xlfn.IFNA(
INDEX(CA!B$2:B$78,MATCH($E400,CA!$A$2:$A$78,0)),
"")</f>
        <v>NEAR SOUTH SIDE</v>
      </c>
      <c r="I400" s="60">
        <f>_xlfn.IFNA(
INDEX(CA!C$2:C$78,MATCH($E400,CA!$A$2:$A$78,0)),
"")</f>
        <v>7</v>
      </c>
      <c r="J400" s="60">
        <f>_xlfn.IFNA(
INDEX(CA!D$2:D$78,MATCH($E400,CA!$A$2:$A$78,0)),
"")</f>
        <v>7</v>
      </c>
      <c r="K400" s="58" t="str">
        <f>_xlfn.IFNA(
INDEX(CA!E$2:E$78,MATCH($E400,CA!$A$2:$A$78,0)),
"")</f>
        <v>CENTRAL</v>
      </c>
      <c r="L400" s="15" t="e">
        <v>#VALUE!</v>
      </c>
      <c r="M400" s="15" t="e">
        <v>#VALUE!</v>
      </c>
      <c r="N400" s="15" t="e">
        <v>#VALUE!</v>
      </c>
      <c r="O400" s="15" t="e">
        <v>#VALUE!</v>
      </c>
      <c r="P400" s="15" t="e">
        <v>#VALUE!</v>
      </c>
      <c r="Q400" s="15" t="e">
        <v>#VALUE!</v>
      </c>
      <c r="R400" s="15" t="e">
        <v>#VALUE!</v>
      </c>
      <c r="S400" s="15" t="e">
        <v>#VALUE!</v>
      </c>
      <c r="T400" s="129">
        <v>0.30381965242271547</v>
      </c>
      <c r="U400" s="130" t="e">
        <f t="shared" si="27"/>
        <v>#VALUE!</v>
      </c>
      <c r="V400" s="129">
        <v>0.30381965242271547</v>
      </c>
      <c r="W400" s="130" t="e">
        <f t="shared" si="24"/>
        <v>#VALUE!</v>
      </c>
      <c r="X400" s="129">
        <v>0.30381965242271547</v>
      </c>
      <c r="Y400" s="130" t="e">
        <f t="shared" si="25"/>
        <v>#VALUE!</v>
      </c>
      <c r="Z400" s="129">
        <v>0.30381965242271547</v>
      </c>
      <c r="AA400" s="130" t="e">
        <f t="shared" si="26"/>
        <v>#VALUE!</v>
      </c>
    </row>
    <row r="401" spans="1:27" x14ac:dyDescent="0.3">
      <c r="A401">
        <v>841000</v>
      </c>
      <c r="B401">
        <v>17031841000</v>
      </c>
      <c r="C401">
        <v>17031</v>
      </c>
      <c r="D401">
        <v>2010</v>
      </c>
      <c r="E401">
        <v>33</v>
      </c>
      <c r="F401">
        <v>11661649.555965601</v>
      </c>
      <c r="G401" s="43">
        <v>0.41830411917346766</v>
      </c>
      <c r="H401" s="58" t="str">
        <f>_xlfn.IFNA(
INDEX(CA!B$2:B$78,MATCH($E401,CA!$A$2:$A$78,0)),
"")</f>
        <v>NEAR SOUTH SIDE</v>
      </c>
      <c r="I401" s="60">
        <f>_xlfn.IFNA(
INDEX(CA!C$2:C$78,MATCH($E401,CA!$A$2:$A$78,0)),
"")</f>
        <v>7</v>
      </c>
      <c r="J401" s="60">
        <f>_xlfn.IFNA(
INDEX(CA!D$2:D$78,MATCH($E401,CA!$A$2:$A$78,0)),
"")</f>
        <v>7</v>
      </c>
      <c r="K401" s="58" t="str">
        <f>_xlfn.IFNA(
INDEX(CA!E$2:E$78,MATCH($E401,CA!$A$2:$A$78,0)),
"")</f>
        <v>CENTRAL</v>
      </c>
      <c r="L401" s="15" t="e">
        <v>#VALUE!</v>
      </c>
      <c r="M401" s="15" t="e">
        <v>#VALUE!</v>
      </c>
      <c r="N401" s="15" t="e">
        <v>#VALUE!</v>
      </c>
      <c r="O401" s="15" t="e">
        <v>#VALUE!</v>
      </c>
      <c r="P401" s="15" t="e">
        <v>#VALUE!</v>
      </c>
      <c r="Q401" s="15" t="e">
        <v>#VALUE!</v>
      </c>
      <c r="R401" s="15" t="e">
        <v>#VALUE!</v>
      </c>
      <c r="S401" s="15" t="e">
        <v>#VALUE!</v>
      </c>
      <c r="T401" s="129">
        <v>0.41830411833794262</v>
      </c>
      <c r="U401" s="130" t="e">
        <f t="shared" si="27"/>
        <v>#VALUE!</v>
      </c>
      <c r="V401" s="129">
        <v>0.41830411833794262</v>
      </c>
      <c r="W401" s="130" t="e">
        <f t="shared" si="24"/>
        <v>#VALUE!</v>
      </c>
      <c r="X401" s="129">
        <v>0.41830411833794262</v>
      </c>
      <c r="Y401" s="130" t="e">
        <f t="shared" si="25"/>
        <v>#VALUE!</v>
      </c>
      <c r="Z401" s="129">
        <v>0.41830411833794262</v>
      </c>
      <c r="AA401" s="130" t="e">
        <f t="shared" si="26"/>
        <v>#VALUE!</v>
      </c>
    </row>
    <row r="402" spans="1:27" x14ac:dyDescent="0.3">
      <c r="A402">
        <v>330100</v>
      </c>
      <c r="B402">
        <v>17031330100</v>
      </c>
      <c r="C402">
        <v>17031</v>
      </c>
      <c r="D402">
        <v>2010</v>
      </c>
      <c r="E402">
        <v>33</v>
      </c>
      <c r="F402">
        <v>29637984.2620866</v>
      </c>
      <c r="G402" s="43">
        <v>1.0631164005856362</v>
      </c>
      <c r="H402" s="58" t="str">
        <f>_xlfn.IFNA(
INDEX(CA!B$2:B$78,MATCH($E402,CA!$A$2:$A$78,0)),
"")</f>
        <v>NEAR SOUTH SIDE</v>
      </c>
      <c r="I402" s="60">
        <f>_xlfn.IFNA(
INDEX(CA!C$2:C$78,MATCH($E402,CA!$A$2:$A$78,0)),
"")</f>
        <v>7</v>
      </c>
      <c r="J402" s="60">
        <f>_xlfn.IFNA(
INDEX(CA!D$2:D$78,MATCH($E402,CA!$A$2:$A$78,0)),
"")</f>
        <v>7</v>
      </c>
      <c r="K402" s="58" t="str">
        <f>_xlfn.IFNA(
INDEX(CA!E$2:E$78,MATCH($E402,CA!$A$2:$A$78,0)),
"")</f>
        <v>CENTRAL</v>
      </c>
      <c r="L402" s="15" t="e">
        <v>#VALUE!</v>
      </c>
      <c r="M402" s="15" t="e">
        <v>#VALUE!</v>
      </c>
      <c r="N402" s="15" t="e">
        <v>#VALUE!</v>
      </c>
      <c r="O402" s="15" t="e">
        <v>#VALUE!</v>
      </c>
      <c r="P402" s="15" t="e">
        <v>#VALUE!</v>
      </c>
      <c r="Q402" s="15" t="e">
        <v>#VALUE!</v>
      </c>
      <c r="R402" s="15" t="e">
        <v>#VALUE!</v>
      </c>
      <c r="S402" s="15" t="e">
        <v>#VALUE!</v>
      </c>
      <c r="T402" s="129">
        <v>1.063116415925254</v>
      </c>
      <c r="U402" s="130" t="e">
        <f t="shared" si="27"/>
        <v>#VALUE!</v>
      </c>
      <c r="V402" s="129">
        <v>1.063116415925254</v>
      </c>
      <c r="W402" s="130" t="e">
        <f t="shared" si="24"/>
        <v>#VALUE!</v>
      </c>
      <c r="X402" s="129">
        <v>1.063116415925254</v>
      </c>
      <c r="Y402" s="130" t="e">
        <f t="shared" si="25"/>
        <v>#VALUE!</v>
      </c>
      <c r="Z402" s="129">
        <v>1.063116415925254</v>
      </c>
      <c r="AA402" s="130" t="e">
        <f t="shared" si="26"/>
        <v>#VALUE!</v>
      </c>
    </row>
    <row r="403" spans="1:27" x14ac:dyDescent="0.3">
      <c r="A403">
        <v>841100</v>
      </c>
      <c r="B403">
        <v>17031841100</v>
      </c>
      <c r="C403">
        <v>17031</v>
      </c>
      <c r="D403">
        <v>2010</v>
      </c>
      <c r="E403">
        <v>34</v>
      </c>
      <c r="F403">
        <v>12356267.333673799</v>
      </c>
      <c r="G403" s="43">
        <v>0.44322010350930469</v>
      </c>
      <c r="H403" s="58" t="str">
        <f>_xlfn.IFNA(
INDEX(CA!B$2:B$78,MATCH($E403,CA!$A$2:$A$78,0)),
"")</f>
        <v>ARMOUR SQUARE</v>
      </c>
      <c r="I403" s="60" t="str">
        <f>_xlfn.IFNA(
INDEX(CA!C$2:C$78,MATCH($E403,CA!$A$2:$A$78,0)),
"")</f>
        <v>6-A</v>
      </c>
      <c r="J403" s="60">
        <f>_xlfn.IFNA(
INDEX(CA!D$2:D$78,MATCH($E403,CA!$A$2:$A$78,0)),
"")</f>
        <v>6</v>
      </c>
      <c r="K403" s="58" t="str">
        <f>_xlfn.IFNA(
INDEX(CA!E$2:E$78,MATCH($E403,CA!$A$2:$A$78,0)),
"")</f>
        <v>SOUTH</v>
      </c>
      <c r="L403" s="15" t="e">
        <v>#VALUE!</v>
      </c>
      <c r="M403" s="15" t="e">
        <v>#VALUE!</v>
      </c>
      <c r="N403" s="15" t="e">
        <v>#VALUE!</v>
      </c>
      <c r="O403" s="15" t="e">
        <v>#VALUE!</v>
      </c>
      <c r="P403" s="15" t="e">
        <v>#VALUE!</v>
      </c>
      <c r="Q403" s="15" t="e">
        <v>#VALUE!</v>
      </c>
      <c r="R403" s="15" t="e">
        <v>#VALUE!</v>
      </c>
      <c r="S403" s="15" t="e">
        <v>#VALUE!</v>
      </c>
      <c r="T403" s="129">
        <v>0.4432201056820298</v>
      </c>
      <c r="U403" s="130" t="e">
        <f t="shared" si="27"/>
        <v>#VALUE!</v>
      </c>
      <c r="V403" s="129">
        <v>0.4432201056820298</v>
      </c>
      <c r="W403" s="130" t="e">
        <f t="shared" si="24"/>
        <v>#VALUE!</v>
      </c>
      <c r="X403" s="129">
        <v>0.4432201056820298</v>
      </c>
      <c r="Y403" s="130" t="e">
        <f t="shared" si="25"/>
        <v>#VALUE!</v>
      </c>
      <c r="Z403" s="129">
        <v>0.4432201056820298</v>
      </c>
      <c r="AA403" s="130" t="e">
        <f t="shared" si="26"/>
        <v>#VALUE!</v>
      </c>
    </row>
    <row r="404" spans="1:27" x14ac:dyDescent="0.3">
      <c r="A404">
        <v>340300</v>
      </c>
      <c r="B404">
        <v>17031340300</v>
      </c>
      <c r="C404">
        <v>17031</v>
      </c>
      <c r="D404">
        <v>2010</v>
      </c>
      <c r="E404">
        <v>34</v>
      </c>
      <c r="F404">
        <v>2300850.5252316999</v>
      </c>
      <c r="G404" s="43">
        <v>8.2531656236789055E-2</v>
      </c>
      <c r="H404" s="58" t="str">
        <f>_xlfn.IFNA(
INDEX(CA!B$2:B$78,MATCH($E404,CA!$A$2:$A$78,0)),
"")</f>
        <v>ARMOUR SQUARE</v>
      </c>
      <c r="I404" s="60" t="str">
        <f>_xlfn.IFNA(
INDEX(CA!C$2:C$78,MATCH($E404,CA!$A$2:$A$78,0)),
"")</f>
        <v>6-A</v>
      </c>
      <c r="J404" s="60">
        <f>_xlfn.IFNA(
INDEX(CA!D$2:D$78,MATCH($E404,CA!$A$2:$A$78,0)),
"")</f>
        <v>6</v>
      </c>
      <c r="K404" s="58" t="str">
        <f>_xlfn.IFNA(
INDEX(CA!E$2:E$78,MATCH($E404,CA!$A$2:$A$78,0)),
"")</f>
        <v>SOUTH</v>
      </c>
      <c r="L404" s="15" t="e">
        <v>#VALUE!</v>
      </c>
      <c r="M404" s="15" t="e">
        <v>#VALUE!</v>
      </c>
      <c r="N404" s="15" t="e">
        <v>#VALUE!</v>
      </c>
      <c r="O404" s="15" t="e">
        <v>#VALUE!</v>
      </c>
      <c r="P404" s="15" t="e">
        <v>#VALUE!</v>
      </c>
      <c r="Q404" s="15" t="e">
        <v>#VALUE!</v>
      </c>
      <c r="R404" s="15" t="e">
        <v>#VALUE!</v>
      </c>
      <c r="S404" s="15" t="e">
        <v>#VALUE!</v>
      </c>
      <c r="T404" s="129">
        <v>8.2531652965076904E-2</v>
      </c>
      <c r="U404" s="130" t="e">
        <f t="shared" si="27"/>
        <v>#VALUE!</v>
      </c>
      <c r="V404" s="129">
        <v>8.2531652965076904E-2</v>
      </c>
      <c r="W404" s="130" t="e">
        <f t="shared" si="24"/>
        <v>#VALUE!</v>
      </c>
      <c r="X404" s="129">
        <v>8.2531652965076904E-2</v>
      </c>
      <c r="Y404" s="130" t="e">
        <f t="shared" si="25"/>
        <v>#VALUE!</v>
      </c>
      <c r="Z404" s="129">
        <v>8.2531652965076904E-2</v>
      </c>
      <c r="AA404" s="130" t="e">
        <f t="shared" si="26"/>
        <v>#VALUE!</v>
      </c>
    </row>
    <row r="405" spans="1:27" x14ac:dyDescent="0.3">
      <c r="A405">
        <v>340400</v>
      </c>
      <c r="B405">
        <v>17031340400</v>
      </c>
      <c r="C405">
        <v>17031</v>
      </c>
      <c r="D405">
        <v>2010</v>
      </c>
      <c r="E405">
        <v>34</v>
      </c>
      <c r="F405">
        <v>3138556.9291838198</v>
      </c>
      <c r="G405" s="43">
        <v>0.11258023879361154</v>
      </c>
      <c r="H405" s="58" t="str">
        <f>_xlfn.IFNA(
INDEX(CA!B$2:B$78,MATCH($E405,CA!$A$2:$A$78,0)),
"")</f>
        <v>ARMOUR SQUARE</v>
      </c>
      <c r="I405" s="60" t="str">
        <f>_xlfn.IFNA(
INDEX(CA!C$2:C$78,MATCH($E405,CA!$A$2:$A$78,0)),
"")</f>
        <v>6-A</v>
      </c>
      <c r="J405" s="60">
        <f>_xlfn.IFNA(
INDEX(CA!D$2:D$78,MATCH($E405,CA!$A$2:$A$78,0)),
"")</f>
        <v>6</v>
      </c>
      <c r="K405" s="58" t="str">
        <f>_xlfn.IFNA(
INDEX(CA!E$2:E$78,MATCH($E405,CA!$A$2:$A$78,0)),
"")</f>
        <v>SOUTH</v>
      </c>
      <c r="L405" s="15" t="e">
        <v>#VALUE!</v>
      </c>
      <c r="M405" s="15" t="e">
        <v>#VALUE!</v>
      </c>
      <c r="N405" s="15" t="e">
        <v>#VALUE!</v>
      </c>
      <c r="O405" s="15" t="e">
        <v>#VALUE!</v>
      </c>
      <c r="P405" s="15" t="e">
        <v>#VALUE!</v>
      </c>
      <c r="Q405" s="15" t="e">
        <v>#VALUE!</v>
      </c>
      <c r="R405" s="15" t="e">
        <v>#VALUE!</v>
      </c>
      <c r="S405" s="15" t="e">
        <v>#VALUE!</v>
      </c>
      <c r="T405" s="129">
        <v>0.11258024009628387</v>
      </c>
      <c r="U405" s="130" t="e">
        <f t="shared" si="27"/>
        <v>#VALUE!</v>
      </c>
      <c r="V405" s="129">
        <v>0.11258024009628387</v>
      </c>
      <c r="W405" s="130" t="e">
        <f t="shared" si="24"/>
        <v>#VALUE!</v>
      </c>
      <c r="X405" s="129">
        <v>0.11258024009628387</v>
      </c>
      <c r="Y405" s="130" t="e">
        <f t="shared" si="25"/>
        <v>#VALUE!</v>
      </c>
      <c r="Z405" s="129">
        <v>0.11258024009628387</v>
      </c>
      <c r="AA405" s="130" t="e">
        <f t="shared" si="26"/>
        <v>#VALUE!</v>
      </c>
    </row>
    <row r="406" spans="1:27" x14ac:dyDescent="0.3">
      <c r="A406">
        <v>340600</v>
      </c>
      <c r="B406">
        <v>17031340600</v>
      </c>
      <c r="C406">
        <v>17031</v>
      </c>
      <c r="D406">
        <v>2010</v>
      </c>
      <c r="E406">
        <v>34</v>
      </c>
      <c r="F406">
        <v>5115219.5132705197</v>
      </c>
      <c r="G406" s="43">
        <v>0.18348325274300245</v>
      </c>
      <c r="H406" s="58" t="str">
        <f>_xlfn.IFNA(
INDEX(CA!B$2:B$78,MATCH($E406,CA!$A$2:$A$78,0)),
"")</f>
        <v>ARMOUR SQUARE</v>
      </c>
      <c r="I406" s="60" t="str">
        <f>_xlfn.IFNA(
INDEX(CA!C$2:C$78,MATCH($E406,CA!$A$2:$A$78,0)),
"")</f>
        <v>6-A</v>
      </c>
      <c r="J406" s="60">
        <f>_xlfn.IFNA(
INDEX(CA!D$2:D$78,MATCH($E406,CA!$A$2:$A$78,0)),
"")</f>
        <v>6</v>
      </c>
      <c r="K406" s="58" t="str">
        <f>_xlfn.IFNA(
INDEX(CA!E$2:E$78,MATCH($E406,CA!$A$2:$A$78,0)),
"")</f>
        <v>SOUTH</v>
      </c>
      <c r="L406" s="15" t="e">
        <v>#VALUE!</v>
      </c>
      <c r="M406" s="15" t="e">
        <v>#VALUE!</v>
      </c>
      <c r="N406" s="15" t="e">
        <v>#VALUE!</v>
      </c>
      <c r="O406" s="15" t="e">
        <v>#VALUE!</v>
      </c>
      <c r="P406" s="15" t="e">
        <v>#VALUE!</v>
      </c>
      <c r="Q406" s="15" t="e">
        <v>#VALUE!</v>
      </c>
      <c r="R406" s="15" t="e">
        <v>#VALUE!</v>
      </c>
      <c r="S406" s="15" t="e">
        <v>#VALUE!</v>
      </c>
      <c r="T406" s="129">
        <v>0.17758361997833341</v>
      </c>
      <c r="U406" s="130" t="e">
        <f t="shared" si="27"/>
        <v>#VALUE!</v>
      </c>
      <c r="V406" s="129">
        <v>9.1026634704535411E-2</v>
      </c>
      <c r="W406" s="130" t="e">
        <f t="shared" si="24"/>
        <v>#VALUE!</v>
      </c>
      <c r="X406" s="129">
        <v>9.1026634704535411E-2</v>
      </c>
      <c r="Y406" s="130" t="e">
        <f t="shared" si="25"/>
        <v>#VALUE!</v>
      </c>
      <c r="Z406" s="129">
        <v>9.1026634704535411E-2</v>
      </c>
      <c r="AA406" s="130" t="e">
        <f t="shared" si="26"/>
        <v>#VALUE!</v>
      </c>
    </row>
    <row r="407" spans="1:27" x14ac:dyDescent="0.3">
      <c r="A407">
        <v>340500</v>
      </c>
      <c r="B407">
        <v>17031340500</v>
      </c>
      <c r="C407">
        <v>17031</v>
      </c>
      <c r="D407">
        <v>2010</v>
      </c>
      <c r="E407">
        <v>34</v>
      </c>
      <c r="F407">
        <v>4774288.1213836996</v>
      </c>
      <c r="G407" s="43">
        <v>0.17125402180124039</v>
      </c>
      <c r="H407" s="58" t="str">
        <f>_xlfn.IFNA(
INDEX(CA!B$2:B$78,MATCH($E407,CA!$A$2:$A$78,0)),
"")</f>
        <v>ARMOUR SQUARE</v>
      </c>
      <c r="I407" s="60" t="str">
        <f>_xlfn.IFNA(
INDEX(CA!C$2:C$78,MATCH($E407,CA!$A$2:$A$78,0)),
"")</f>
        <v>6-A</v>
      </c>
      <c r="J407" s="60">
        <f>_xlfn.IFNA(
INDEX(CA!D$2:D$78,MATCH($E407,CA!$A$2:$A$78,0)),
"")</f>
        <v>6</v>
      </c>
      <c r="K407" s="58" t="str">
        <f>_xlfn.IFNA(
INDEX(CA!E$2:E$78,MATCH($E407,CA!$A$2:$A$78,0)),
"")</f>
        <v>SOUTH</v>
      </c>
      <c r="L407" s="15" t="e">
        <v>#VALUE!</v>
      </c>
      <c r="M407" s="15" t="e">
        <v>#VALUE!</v>
      </c>
      <c r="N407" s="15" t="e">
        <v>#VALUE!</v>
      </c>
      <c r="O407" s="15" t="e">
        <v>#VALUE!</v>
      </c>
      <c r="P407" s="15" t="e">
        <v>#VALUE!</v>
      </c>
      <c r="Q407" s="15" t="e">
        <v>#VALUE!</v>
      </c>
      <c r="R407" s="15" t="e">
        <v>#VALUE!</v>
      </c>
      <c r="S407" s="15" t="e">
        <v>#VALUE!</v>
      </c>
      <c r="T407" s="129">
        <v>0.17125401263779666</v>
      </c>
      <c r="U407" s="130" t="e">
        <f t="shared" si="27"/>
        <v>#VALUE!</v>
      </c>
      <c r="V407" s="129">
        <v>0.16801128607715723</v>
      </c>
      <c r="W407" s="130" t="e">
        <f t="shared" si="24"/>
        <v>#VALUE!</v>
      </c>
      <c r="X407" s="129">
        <v>0.16801128607715723</v>
      </c>
      <c r="Y407" s="130" t="e">
        <f t="shared" si="25"/>
        <v>#VALUE!</v>
      </c>
      <c r="Z407" s="129">
        <v>0.16801128607715723</v>
      </c>
      <c r="AA407" s="130" t="e">
        <f t="shared" si="26"/>
        <v>#VALUE!</v>
      </c>
    </row>
    <row r="408" spans="1:27" x14ac:dyDescent="0.3">
      <c r="A408">
        <v>100700</v>
      </c>
      <c r="B408">
        <v>17031100700</v>
      </c>
      <c r="C408">
        <v>17031</v>
      </c>
      <c r="D408">
        <v>2010</v>
      </c>
      <c r="E408">
        <v>10</v>
      </c>
      <c r="F408">
        <v>13049253.5876146</v>
      </c>
      <c r="G408" s="43">
        <v>0.46807756498273212</v>
      </c>
      <c r="H408" s="58" t="str">
        <f>_xlfn.IFNA(
INDEX(CA!B$2:B$78,MATCH($E408,CA!$A$2:$A$78,0)),
"")</f>
        <v>NORWOOD PARK</v>
      </c>
      <c r="I408" s="60" t="str">
        <f>_xlfn.IFNA(
INDEX(CA!C$2:C$78,MATCH($E408,CA!$A$2:$A$78,0)),
"")</f>
        <v>2-C</v>
      </c>
      <c r="J408" s="60">
        <f>_xlfn.IFNA(
INDEX(CA!D$2:D$78,MATCH($E408,CA!$A$2:$A$78,0)),
"")</f>
        <v>2</v>
      </c>
      <c r="K408" s="58" t="str">
        <f>_xlfn.IFNA(
INDEX(CA!E$2:E$78,MATCH($E408,CA!$A$2:$A$78,0)),
"")</f>
        <v>NORTHWEST</v>
      </c>
      <c r="L408" s="15" t="e">
        <v>#VALUE!</v>
      </c>
      <c r="M408" s="15" t="e">
        <v>#VALUE!</v>
      </c>
      <c r="N408" s="15" t="e">
        <v>#VALUE!</v>
      </c>
      <c r="O408" s="15" t="e">
        <v>#VALUE!</v>
      </c>
      <c r="P408" s="15" t="e">
        <v>#VALUE!</v>
      </c>
      <c r="Q408" s="15" t="e">
        <v>#VALUE!</v>
      </c>
      <c r="R408" s="15" t="e">
        <v>#VALUE!</v>
      </c>
      <c r="S408" s="15" t="e">
        <v>#VALUE!</v>
      </c>
      <c r="T408" s="129">
        <v>0.18296919545035906</v>
      </c>
      <c r="U408" s="130" t="e">
        <f t="shared" si="27"/>
        <v>#VALUE!</v>
      </c>
      <c r="V408" s="129">
        <v>0</v>
      </c>
      <c r="W408" s="130" t="e">
        <f t="shared" si="24"/>
        <v>#VALUE!</v>
      </c>
      <c r="X408" s="129">
        <v>0</v>
      </c>
      <c r="Y408" s="130" t="e">
        <f t="shared" si="25"/>
        <v>#VALUE!</v>
      </c>
      <c r="Z408" s="129">
        <v>0</v>
      </c>
      <c r="AA408" s="130" t="e">
        <f t="shared" si="26"/>
        <v>#VALUE!</v>
      </c>
    </row>
    <row r="409" spans="1:27" x14ac:dyDescent="0.3">
      <c r="A409">
        <v>100200</v>
      </c>
      <c r="B409">
        <v>17031100200</v>
      </c>
      <c r="C409">
        <v>17031</v>
      </c>
      <c r="D409">
        <v>2010</v>
      </c>
      <c r="E409">
        <v>10</v>
      </c>
      <c r="F409">
        <v>22416872.864476901</v>
      </c>
      <c r="G409" s="43">
        <v>0.80409467058643613</v>
      </c>
      <c r="H409" s="58" t="str">
        <f>_xlfn.IFNA(
INDEX(CA!B$2:B$78,MATCH($E409,CA!$A$2:$A$78,0)),
"")</f>
        <v>NORWOOD PARK</v>
      </c>
      <c r="I409" s="60" t="str">
        <f>_xlfn.IFNA(
INDEX(CA!C$2:C$78,MATCH($E409,CA!$A$2:$A$78,0)),
"")</f>
        <v>2-C</v>
      </c>
      <c r="J409" s="60">
        <f>_xlfn.IFNA(
INDEX(CA!D$2:D$78,MATCH($E409,CA!$A$2:$A$78,0)),
"")</f>
        <v>2</v>
      </c>
      <c r="K409" s="58" t="str">
        <f>_xlfn.IFNA(
INDEX(CA!E$2:E$78,MATCH($E409,CA!$A$2:$A$78,0)),
"")</f>
        <v>NORTHWEST</v>
      </c>
      <c r="L409" s="15" t="e">
        <v>#VALUE!</v>
      </c>
      <c r="M409" s="15" t="e">
        <v>#VALUE!</v>
      </c>
      <c r="N409" s="15" t="e">
        <v>#VALUE!</v>
      </c>
      <c r="O409" s="15" t="e">
        <v>#VALUE!</v>
      </c>
      <c r="P409" s="15" t="e">
        <v>#VALUE!</v>
      </c>
      <c r="Q409" s="15" t="e">
        <v>#VALUE!</v>
      </c>
      <c r="R409" s="15" t="e">
        <v>#VALUE!</v>
      </c>
      <c r="S409" s="15" t="e">
        <v>#VALUE!</v>
      </c>
      <c r="T409" s="129">
        <v>0.80336705780804496</v>
      </c>
      <c r="U409" s="130" t="e">
        <f t="shared" si="27"/>
        <v>#VALUE!</v>
      </c>
      <c r="V409" s="129">
        <v>0.80336705780804496</v>
      </c>
      <c r="W409" s="130" t="e">
        <f t="shared" si="24"/>
        <v>#VALUE!</v>
      </c>
      <c r="X409" s="129">
        <v>0.80336705780804496</v>
      </c>
      <c r="Y409" s="130" t="e">
        <f t="shared" si="25"/>
        <v>#VALUE!</v>
      </c>
      <c r="Z409" s="129">
        <v>0.80336705780804496</v>
      </c>
      <c r="AA409" s="130" t="e">
        <f t="shared" si="26"/>
        <v>#VALUE!</v>
      </c>
    </row>
    <row r="410" spans="1:27" x14ac:dyDescent="0.3">
      <c r="A410">
        <v>100400</v>
      </c>
      <c r="B410">
        <v>17031100400</v>
      </c>
      <c r="C410">
        <v>17031</v>
      </c>
      <c r="D410">
        <v>2010</v>
      </c>
      <c r="E410">
        <v>10</v>
      </c>
      <c r="F410">
        <v>10454152.1117457</v>
      </c>
      <c r="G410" s="43">
        <v>0.37499110823238424</v>
      </c>
      <c r="H410" s="58" t="str">
        <f>_xlfn.IFNA(
INDEX(CA!B$2:B$78,MATCH($E410,CA!$A$2:$A$78,0)),
"")</f>
        <v>NORWOOD PARK</v>
      </c>
      <c r="I410" s="60" t="str">
        <f>_xlfn.IFNA(
INDEX(CA!C$2:C$78,MATCH($E410,CA!$A$2:$A$78,0)),
"")</f>
        <v>2-C</v>
      </c>
      <c r="J410" s="60">
        <f>_xlfn.IFNA(
INDEX(CA!D$2:D$78,MATCH($E410,CA!$A$2:$A$78,0)),
"")</f>
        <v>2</v>
      </c>
      <c r="K410" s="58" t="str">
        <f>_xlfn.IFNA(
INDEX(CA!E$2:E$78,MATCH($E410,CA!$A$2:$A$78,0)),
"")</f>
        <v>NORTHWEST</v>
      </c>
      <c r="L410" s="15" t="e">
        <v>#VALUE!</v>
      </c>
      <c r="M410" s="15" t="e">
        <v>#VALUE!</v>
      </c>
      <c r="N410" s="15" t="e">
        <v>#VALUE!</v>
      </c>
      <c r="O410" s="15" t="e">
        <v>#VALUE!</v>
      </c>
      <c r="P410" s="15" t="e">
        <v>#VALUE!</v>
      </c>
      <c r="Q410" s="15" t="e">
        <v>#VALUE!</v>
      </c>
      <c r="R410" s="15" t="e">
        <v>#VALUE!</v>
      </c>
      <c r="S410" s="15" t="e">
        <v>#VALUE!</v>
      </c>
      <c r="T410" s="129">
        <v>2.7779695354037428E-2</v>
      </c>
      <c r="U410" s="130" t="e">
        <f t="shared" si="27"/>
        <v>#VALUE!</v>
      </c>
      <c r="V410" s="129">
        <v>4.1934140920037019E-3</v>
      </c>
      <c r="W410" s="130" t="e">
        <f t="shared" si="24"/>
        <v>#VALUE!</v>
      </c>
      <c r="X410" s="129">
        <v>4.1934140920037019E-3</v>
      </c>
      <c r="Y410" s="130" t="e">
        <f t="shared" si="25"/>
        <v>#VALUE!</v>
      </c>
      <c r="Z410" s="129">
        <v>4.1934140920037019E-3</v>
      </c>
      <c r="AA410" s="130" t="e">
        <f t="shared" si="26"/>
        <v>#VALUE!</v>
      </c>
    </row>
    <row r="411" spans="1:27" x14ac:dyDescent="0.3">
      <c r="A411">
        <v>100100</v>
      </c>
      <c r="B411">
        <v>17031100100</v>
      </c>
      <c r="C411">
        <v>17031</v>
      </c>
      <c r="D411">
        <v>2010</v>
      </c>
      <c r="E411">
        <v>10</v>
      </c>
      <c r="F411">
        <v>12727393.2273477</v>
      </c>
      <c r="G411" s="43">
        <v>0.45653241317104643</v>
      </c>
      <c r="H411" s="58" t="str">
        <f>_xlfn.IFNA(
INDEX(CA!B$2:B$78,MATCH($E411,CA!$A$2:$A$78,0)),
"")</f>
        <v>NORWOOD PARK</v>
      </c>
      <c r="I411" s="60" t="str">
        <f>_xlfn.IFNA(
INDEX(CA!C$2:C$78,MATCH($E411,CA!$A$2:$A$78,0)),
"")</f>
        <v>2-C</v>
      </c>
      <c r="J411" s="60">
        <f>_xlfn.IFNA(
INDEX(CA!D$2:D$78,MATCH($E411,CA!$A$2:$A$78,0)),
"")</f>
        <v>2</v>
      </c>
      <c r="K411" s="58" t="str">
        <f>_xlfn.IFNA(
INDEX(CA!E$2:E$78,MATCH($E411,CA!$A$2:$A$78,0)),
"")</f>
        <v>NORTHWEST</v>
      </c>
      <c r="L411" s="15" t="e">
        <v>#VALUE!</v>
      </c>
      <c r="M411" s="15" t="e">
        <v>#VALUE!</v>
      </c>
      <c r="N411" s="15" t="e">
        <v>#VALUE!</v>
      </c>
      <c r="O411" s="15" t="e">
        <v>#VALUE!</v>
      </c>
      <c r="P411" s="15" t="e">
        <v>#VALUE!</v>
      </c>
      <c r="Q411" s="15" t="e">
        <v>#VALUE!</v>
      </c>
      <c r="R411" s="15" t="e">
        <v>#VALUE!</v>
      </c>
      <c r="S411" s="15" t="e">
        <v>#VALUE!</v>
      </c>
      <c r="T411" s="129">
        <v>0.45653241216513857</v>
      </c>
      <c r="U411" s="130" t="e">
        <f t="shared" si="27"/>
        <v>#VALUE!</v>
      </c>
      <c r="V411" s="129">
        <v>0.45653241216513857</v>
      </c>
      <c r="W411" s="130" t="e">
        <f t="shared" si="24"/>
        <v>#VALUE!</v>
      </c>
      <c r="X411" s="129">
        <v>0.45653241216513857</v>
      </c>
      <c r="Y411" s="130" t="e">
        <f t="shared" si="25"/>
        <v>#VALUE!</v>
      </c>
      <c r="Z411" s="129">
        <v>0.45653241216513857</v>
      </c>
      <c r="AA411" s="130" t="e">
        <f t="shared" si="26"/>
        <v>#VALUE!</v>
      </c>
    </row>
    <row r="412" spans="1:27" x14ac:dyDescent="0.3">
      <c r="A412">
        <v>100300</v>
      </c>
      <c r="B412">
        <v>17031100300</v>
      </c>
      <c r="C412">
        <v>17031</v>
      </c>
      <c r="D412">
        <v>2010</v>
      </c>
      <c r="E412">
        <v>10</v>
      </c>
      <c r="F412">
        <v>24612044.0925931</v>
      </c>
      <c r="G412" s="43">
        <v>0.88283560364271618</v>
      </c>
      <c r="H412" s="58" t="str">
        <f>_xlfn.IFNA(
INDEX(CA!B$2:B$78,MATCH($E412,CA!$A$2:$A$78,0)),
"")</f>
        <v>NORWOOD PARK</v>
      </c>
      <c r="I412" s="60" t="str">
        <f>_xlfn.IFNA(
INDEX(CA!C$2:C$78,MATCH($E412,CA!$A$2:$A$78,0)),
"")</f>
        <v>2-C</v>
      </c>
      <c r="J412" s="60">
        <f>_xlfn.IFNA(
INDEX(CA!D$2:D$78,MATCH($E412,CA!$A$2:$A$78,0)),
"")</f>
        <v>2</v>
      </c>
      <c r="K412" s="58" t="str">
        <f>_xlfn.IFNA(
INDEX(CA!E$2:E$78,MATCH($E412,CA!$A$2:$A$78,0)),
"")</f>
        <v>NORTHWEST</v>
      </c>
      <c r="L412" s="15" t="e">
        <v>#VALUE!</v>
      </c>
      <c r="M412" s="15" t="e">
        <v>#VALUE!</v>
      </c>
      <c r="N412" s="15" t="e">
        <v>#VALUE!</v>
      </c>
      <c r="O412" s="15" t="e">
        <v>#VALUE!</v>
      </c>
      <c r="P412" s="15" t="e">
        <v>#VALUE!</v>
      </c>
      <c r="Q412" s="15" t="e">
        <v>#VALUE!</v>
      </c>
      <c r="R412" s="15" t="e">
        <v>#VALUE!</v>
      </c>
      <c r="S412" s="15" t="e">
        <v>#VALUE!</v>
      </c>
      <c r="T412" s="129">
        <v>0.64321428530690072</v>
      </c>
      <c r="U412" s="130" t="e">
        <f t="shared" si="27"/>
        <v>#VALUE!</v>
      </c>
      <c r="V412" s="129">
        <v>0.64044590761607201</v>
      </c>
      <c r="W412" s="130" t="e">
        <f t="shared" si="24"/>
        <v>#VALUE!</v>
      </c>
      <c r="X412" s="129">
        <v>0.64044590761607201</v>
      </c>
      <c r="Y412" s="130" t="e">
        <f t="shared" si="25"/>
        <v>#VALUE!</v>
      </c>
      <c r="Z412" s="129">
        <v>0.64044590761607201</v>
      </c>
      <c r="AA412" s="130" t="e">
        <f t="shared" si="26"/>
        <v>#VALUE!</v>
      </c>
    </row>
    <row r="413" spans="1:27" x14ac:dyDescent="0.3">
      <c r="A413">
        <v>100600</v>
      </c>
      <c r="B413">
        <v>17031100600</v>
      </c>
      <c r="C413">
        <v>17031</v>
      </c>
      <c r="D413">
        <v>2010</v>
      </c>
      <c r="E413">
        <v>10</v>
      </c>
      <c r="F413">
        <v>13799416.5578133</v>
      </c>
      <c r="G413" s="43">
        <v>0.49498595894360148</v>
      </c>
      <c r="H413" s="58" t="str">
        <f>_xlfn.IFNA(
INDEX(CA!B$2:B$78,MATCH($E413,CA!$A$2:$A$78,0)),
"")</f>
        <v>NORWOOD PARK</v>
      </c>
      <c r="I413" s="60" t="str">
        <f>_xlfn.IFNA(
INDEX(CA!C$2:C$78,MATCH($E413,CA!$A$2:$A$78,0)),
"")</f>
        <v>2-C</v>
      </c>
      <c r="J413" s="60">
        <f>_xlfn.IFNA(
INDEX(CA!D$2:D$78,MATCH($E413,CA!$A$2:$A$78,0)),
"")</f>
        <v>2</v>
      </c>
      <c r="K413" s="58" t="str">
        <f>_xlfn.IFNA(
INDEX(CA!E$2:E$78,MATCH($E413,CA!$A$2:$A$78,0)),
"")</f>
        <v>NORTHWEST</v>
      </c>
      <c r="L413" s="15" t="e">
        <v>#VALUE!</v>
      </c>
      <c r="M413" s="15" t="e">
        <v>#VALUE!</v>
      </c>
      <c r="N413" s="15" t="e">
        <v>#VALUE!</v>
      </c>
      <c r="O413" s="15" t="e">
        <v>#VALUE!</v>
      </c>
      <c r="P413" s="15" t="e">
        <v>#VALUE!</v>
      </c>
      <c r="Q413" s="15" t="e">
        <v>#VALUE!</v>
      </c>
      <c r="R413" s="15" t="e">
        <v>#VALUE!</v>
      </c>
      <c r="S413" s="15" t="e">
        <v>#VALUE!</v>
      </c>
      <c r="T413" s="129">
        <v>0.11106160448185512</v>
      </c>
      <c r="U413" s="130" t="e">
        <f t="shared" si="27"/>
        <v>#VALUE!</v>
      </c>
      <c r="V413" s="129">
        <v>0.11105765295410712</v>
      </c>
      <c r="W413" s="130" t="e">
        <f t="shared" si="24"/>
        <v>#VALUE!</v>
      </c>
      <c r="X413" s="129">
        <v>0.11105765295410712</v>
      </c>
      <c r="Y413" s="130" t="e">
        <f t="shared" si="25"/>
        <v>#VALUE!</v>
      </c>
      <c r="Z413" s="129">
        <v>0.11105765295410712</v>
      </c>
      <c r="AA413" s="130" t="e">
        <f t="shared" si="26"/>
        <v>#VALUE!</v>
      </c>
    </row>
    <row r="414" spans="1:27" x14ac:dyDescent="0.3">
      <c r="A414">
        <v>100500</v>
      </c>
      <c r="B414">
        <v>17031100500</v>
      </c>
      <c r="C414">
        <v>17031</v>
      </c>
      <c r="D414">
        <v>2010</v>
      </c>
      <c r="E414">
        <v>10</v>
      </c>
      <c r="F414">
        <v>21200183.887222901</v>
      </c>
      <c r="G414" s="43">
        <v>0.76045195876459559</v>
      </c>
      <c r="H414" s="58" t="str">
        <f>_xlfn.IFNA(
INDEX(CA!B$2:B$78,MATCH($E414,CA!$A$2:$A$78,0)),
"")</f>
        <v>NORWOOD PARK</v>
      </c>
      <c r="I414" s="60" t="str">
        <f>_xlfn.IFNA(
INDEX(CA!C$2:C$78,MATCH($E414,CA!$A$2:$A$78,0)),
"")</f>
        <v>2-C</v>
      </c>
      <c r="J414" s="60">
        <f>_xlfn.IFNA(
INDEX(CA!D$2:D$78,MATCH($E414,CA!$A$2:$A$78,0)),
"")</f>
        <v>2</v>
      </c>
      <c r="K414" s="58" t="str">
        <f>_xlfn.IFNA(
INDEX(CA!E$2:E$78,MATCH($E414,CA!$A$2:$A$78,0)),
"")</f>
        <v>NORTHWEST</v>
      </c>
      <c r="L414" s="15" t="e">
        <v>#VALUE!</v>
      </c>
      <c r="M414" s="15" t="e">
        <v>#VALUE!</v>
      </c>
      <c r="N414" s="15" t="e">
        <v>#VALUE!</v>
      </c>
      <c r="O414" s="15" t="e">
        <v>#VALUE!</v>
      </c>
      <c r="P414" s="15" t="e">
        <v>#VALUE!</v>
      </c>
      <c r="Q414" s="15" t="e">
        <v>#VALUE!</v>
      </c>
      <c r="R414" s="15" t="e">
        <v>#VALUE!</v>
      </c>
      <c r="S414" s="15" t="e">
        <v>#VALUE!</v>
      </c>
      <c r="T414" s="129">
        <v>0</v>
      </c>
      <c r="U414" s="130" t="e">
        <f t="shared" si="27"/>
        <v>#VALUE!</v>
      </c>
      <c r="V414" s="129">
        <v>0</v>
      </c>
      <c r="W414" s="130" t="e">
        <f t="shared" si="24"/>
        <v>#VALUE!</v>
      </c>
      <c r="X414" s="129">
        <v>0</v>
      </c>
      <c r="Y414" s="130" t="e">
        <f t="shared" si="25"/>
        <v>#VALUE!</v>
      </c>
      <c r="Z414" s="129">
        <v>0</v>
      </c>
      <c r="AA414" s="130" t="e">
        <f t="shared" si="26"/>
        <v>#VALUE!</v>
      </c>
    </row>
    <row r="415" spans="1:27" x14ac:dyDescent="0.3">
      <c r="A415">
        <v>81500</v>
      </c>
      <c r="B415">
        <v>17031081500</v>
      </c>
      <c r="C415">
        <v>17031</v>
      </c>
      <c r="D415">
        <v>2010</v>
      </c>
      <c r="E415">
        <v>8</v>
      </c>
      <c r="F415">
        <v>3238174.8392809001</v>
      </c>
      <c r="G415" s="43">
        <v>0.1161535396321489</v>
      </c>
      <c r="H415" s="58" t="str">
        <f>_xlfn.IFNA(
INDEX(CA!B$2:B$78,MATCH($E415,CA!$A$2:$A$78,0)),
"")</f>
        <v>NEAR NORTH SIDE</v>
      </c>
      <c r="I415" s="60">
        <f>_xlfn.IFNA(
INDEX(CA!C$2:C$78,MATCH($E415,CA!$A$2:$A$78,0)),
"")</f>
        <v>7</v>
      </c>
      <c r="J415" s="60">
        <f>_xlfn.IFNA(
INDEX(CA!D$2:D$78,MATCH($E415,CA!$A$2:$A$78,0)),
"")</f>
        <v>7</v>
      </c>
      <c r="K415" s="58" t="str">
        <f>_xlfn.IFNA(
INDEX(CA!E$2:E$78,MATCH($E415,CA!$A$2:$A$78,0)),
"")</f>
        <v>CENTRAL</v>
      </c>
      <c r="L415" s="15" t="e">
        <v>#VALUE!</v>
      </c>
      <c r="M415" s="15" t="e">
        <v>#VALUE!</v>
      </c>
      <c r="N415" s="15" t="e">
        <v>#VALUE!</v>
      </c>
      <c r="O415" s="15" t="e">
        <v>#VALUE!</v>
      </c>
      <c r="P415" s="15" t="e">
        <v>#VALUE!</v>
      </c>
      <c r="Q415" s="15" t="e">
        <v>#VALUE!</v>
      </c>
      <c r="R415" s="15" t="e">
        <v>#VALUE!</v>
      </c>
      <c r="S415" s="15" t="e">
        <v>#VALUE!</v>
      </c>
      <c r="T415" s="129">
        <v>0.11615353845627546</v>
      </c>
      <c r="U415" s="130" t="e">
        <f t="shared" si="27"/>
        <v>#VALUE!</v>
      </c>
      <c r="V415" s="129">
        <v>0.11615353845627546</v>
      </c>
      <c r="W415" s="130" t="e">
        <f t="shared" si="24"/>
        <v>#VALUE!</v>
      </c>
      <c r="X415" s="129">
        <v>0.11615353845627546</v>
      </c>
      <c r="Y415" s="130" t="e">
        <f t="shared" si="25"/>
        <v>#VALUE!</v>
      </c>
      <c r="Z415" s="129">
        <v>0.11615353845627546</v>
      </c>
      <c r="AA415" s="130" t="e">
        <f t="shared" si="26"/>
        <v>#VALUE!</v>
      </c>
    </row>
    <row r="416" spans="1:27" x14ac:dyDescent="0.3">
      <c r="A416">
        <v>842200</v>
      </c>
      <c r="B416">
        <v>17031842200</v>
      </c>
      <c r="C416">
        <v>17031</v>
      </c>
      <c r="D416">
        <v>2010</v>
      </c>
      <c r="E416">
        <v>8</v>
      </c>
      <c r="F416">
        <v>16881208.933193799</v>
      </c>
      <c r="G416" s="43">
        <v>0.60553004954351031</v>
      </c>
      <c r="H416" s="58" t="str">
        <f>_xlfn.IFNA(
INDEX(CA!B$2:B$78,MATCH($E416,CA!$A$2:$A$78,0)),
"")</f>
        <v>NEAR NORTH SIDE</v>
      </c>
      <c r="I416" s="60">
        <f>_xlfn.IFNA(
INDEX(CA!C$2:C$78,MATCH($E416,CA!$A$2:$A$78,0)),
"")</f>
        <v>7</v>
      </c>
      <c r="J416" s="60">
        <f>_xlfn.IFNA(
INDEX(CA!D$2:D$78,MATCH($E416,CA!$A$2:$A$78,0)),
"")</f>
        <v>7</v>
      </c>
      <c r="K416" s="58" t="str">
        <f>_xlfn.IFNA(
INDEX(CA!E$2:E$78,MATCH($E416,CA!$A$2:$A$78,0)),
"")</f>
        <v>CENTRAL</v>
      </c>
      <c r="L416" s="15" t="e">
        <v>#VALUE!</v>
      </c>
      <c r="M416" s="15" t="e">
        <v>#VALUE!</v>
      </c>
      <c r="N416" s="15" t="e">
        <v>#VALUE!</v>
      </c>
      <c r="O416" s="15" t="e">
        <v>#VALUE!</v>
      </c>
      <c r="P416" s="15" t="e">
        <v>#VALUE!</v>
      </c>
      <c r="Q416" s="15" t="e">
        <v>#VALUE!</v>
      </c>
      <c r="R416" s="15" t="e">
        <v>#VALUE!</v>
      </c>
      <c r="S416" s="15" t="e">
        <v>#VALUE!</v>
      </c>
      <c r="T416" s="129">
        <v>0.6055300478794049</v>
      </c>
      <c r="U416" s="130" t="e">
        <f t="shared" si="27"/>
        <v>#VALUE!</v>
      </c>
      <c r="V416" s="129">
        <v>0.6055300478794049</v>
      </c>
      <c r="W416" s="130" t="e">
        <f t="shared" si="24"/>
        <v>#VALUE!</v>
      </c>
      <c r="X416" s="129">
        <v>0.6055300478794049</v>
      </c>
      <c r="Y416" s="130" t="e">
        <f t="shared" si="25"/>
        <v>#VALUE!</v>
      </c>
      <c r="Z416" s="129">
        <v>0.6055300478794049</v>
      </c>
      <c r="AA416" s="130" t="e">
        <f t="shared" si="26"/>
        <v>#VALUE!</v>
      </c>
    </row>
    <row r="417" spans="1:27" x14ac:dyDescent="0.3">
      <c r="A417">
        <v>80202</v>
      </c>
      <c r="B417">
        <v>17031080202</v>
      </c>
      <c r="C417">
        <v>17031</v>
      </c>
      <c r="D417">
        <v>2010</v>
      </c>
      <c r="E417">
        <v>8</v>
      </c>
      <c r="F417">
        <v>1639913.6963164399</v>
      </c>
      <c r="G417" s="43">
        <v>5.8823809699137683E-2</v>
      </c>
      <c r="H417" s="58" t="str">
        <f>_xlfn.IFNA(
INDEX(CA!B$2:B$78,MATCH($E417,CA!$A$2:$A$78,0)),
"")</f>
        <v>NEAR NORTH SIDE</v>
      </c>
      <c r="I417" s="60">
        <f>_xlfn.IFNA(
INDEX(CA!C$2:C$78,MATCH($E417,CA!$A$2:$A$78,0)),
"")</f>
        <v>7</v>
      </c>
      <c r="J417" s="60">
        <f>_xlfn.IFNA(
INDEX(CA!D$2:D$78,MATCH($E417,CA!$A$2:$A$78,0)),
"")</f>
        <v>7</v>
      </c>
      <c r="K417" s="58" t="str">
        <f>_xlfn.IFNA(
INDEX(CA!E$2:E$78,MATCH($E417,CA!$A$2:$A$78,0)),
"")</f>
        <v>CENTRAL</v>
      </c>
      <c r="L417" s="15" t="e">
        <v>#VALUE!</v>
      </c>
      <c r="M417" s="15" t="e">
        <v>#VALUE!</v>
      </c>
      <c r="N417" s="15" t="e">
        <v>#VALUE!</v>
      </c>
      <c r="O417" s="15" t="e">
        <v>#VALUE!</v>
      </c>
      <c r="P417" s="15" t="e">
        <v>#VALUE!</v>
      </c>
      <c r="Q417" s="15" t="e">
        <v>#VALUE!</v>
      </c>
      <c r="R417" s="15" t="e">
        <v>#VALUE!</v>
      </c>
      <c r="S417" s="15" t="e">
        <v>#VALUE!</v>
      </c>
      <c r="T417" s="129">
        <v>5.8823808518451204E-2</v>
      </c>
      <c r="U417" s="130" t="e">
        <f t="shared" si="27"/>
        <v>#VALUE!</v>
      </c>
      <c r="V417" s="129">
        <v>5.8823808518451204E-2</v>
      </c>
      <c r="W417" s="130" t="e">
        <f t="shared" si="24"/>
        <v>#VALUE!</v>
      </c>
      <c r="X417" s="129">
        <v>5.8823808518451204E-2</v>
      </c>
      <c r="Y417" s="130" t="e">
        <f t="shared" si="25"/>
        <v>#VALUE!</v>
      </c>
      <c r="Z417" s="129">
        <v>5.8823808518451204E-2</v>
      </c>
      <c r="AA417" s="130" t="e">
        <f t="shared" si="26"/>
        <v>#VALUE!</v>
      </c>
    </row>
    <row r="418" spans="1:27" x14ac:dyDescent="0.3">
      <c r="A418">
        <v>80201</v>
      </c>
      <c r="B418">
        <v>17031080201</v>
      </c>
      <c r="C418">
        <v>17031</v>
      </c>
      <c r="D418">
        <v>2010</v>
      </c>
      <c r="E418">
        <v>8</v>
      </c>
      <c r="F418">
        <v>1432669.88891239</v>
      </c>
      <c r="G418" s="43">
        <v>5.1389961006097551E-2</v>
      </c>
      <c r="H418" s="58" t="str">
        <f>_xlfn.IFNA(
INDEX(CA!B$2:B$78,MATCH($E418,CA!$A$2:$A$78,0)),
"")</f>
        <v>NEAR NORTH SIDE</v>
      </c>
      <c r="I418" s="60">
        <f>_xlfn.IFNA(
INDEX(CA!C$2:C$78,MATCH($E418,CA!$A$2:$A$78,0)),
"")</f>
        <v>7</v>
      </c>
      <c r="J418" s="60">
        <f>_xlfn.IFNA(
INDEX(CA!D$2:D$78,MATCH($E418,CA!$A$2:$A$78,0)),
"")</f>
        <v>7</v>
      </c>
      <c r="K418" s="58" t="str">
        <f>_xlfn.IFNA(
INDEX(CA!E$2:E$78,MATCH($E418,CA!$A$2:$A$78,0)),
"")</f>
        <v>CENTRAL</v>
      </c>
      <c r="L418" s="15" t="e">
        <v>#VALUE!</v>
      </c>
      <c r="M418" s="15" t="e">
        <v>#VALUE!</v>
      </c>
      <c r="N418" s="15" t="e">
        <v>#VALUE!</v>
      </c>
      <c r="O418" s="15" t="e">
        <v>#VALUE!</v>
      </c>
      <c r="P418" s="15" t="e">
        <v>#VALUE!</v>
      </c>
      <c r="Q418" s="15" t="e">
        <v>#VALUE!</v>
      </c>
      <c r="R418" s="15" t="e">
        <v>#VALUE!</v>
      </c>
      <c r="S418" s="15" t="e">
        <v>#VALUE!</v>
      </c>
      <c r="T418" s="129">
        <v>5.1389959566657699E-2</v>
      </c>
      <c r="U418" s="130" t="e">
        <f t="shared" si="27"/>
        <v>#VALUE!</v>
      </c>
      <c r="V418" s="129">
        <v>5.1389959566657699E-2</v>
      </c>
      <c r="W418" s="130" t="e">
        <f t="shared" si="24"/>
        <v>#VALUE!</v>
      </c>
      <c r="X418" s="129">
        <v>5.1389959566657699E-2</v>
      </c>
      <c r="Y418" s="130" t="e">
        <f t="shared" si="25"/>
        <v>#VALUE!</v>
      </c>
      <c r="Z418" s="129">
        <v>5.1389959566657699E-2</v>
      </c>
      <c r="AA418" s="130" t="e">
        <f t="shared" si="26"/>
        <v>#VALUE!</v>
      </c>
    </row>
    <row r="419" spans="1:27" x14ac:dyDescent="0.3">
      <c r="A419">
        <v>81202</v>
      </c>
      <c r="B419">
        <v>17031081202</v>
      </c>
      <c r="C419">
        <v>17031</v>
      </c>
      <c r="D419">
        <v>2010</v>
      </c>
      <c r="E419">
        <v>8</v>
      </c>
      <c r="F419">
        <v>2290766.4349548002</v>
      </c>
      <c r="G419" s="43">
        <v>8.2169939270359857E-2</v>
      </c>
      <c r="H419" s="58" t="str">
        <f>_xlfn.IFNA(
INDEX(CA!B$2:B$78,MATCH($E419,CA!$A$2:$A$78,0)),
"")</f>
        <v>NEAR NORTH SIDE</v>
      </c>
      <c r="I419" s="60">
        <f>_xlfn.IFNA(
INDEX(CA!C$2:C$78,MATCH($E419,CA!$A$2:$A$78,0)),
"")</f>
        <v>7</v>
      </c>
      <c r="J419" s="60">
        <f>_xlfn.IFNA(
INDEX(CA!D$2:D$78,MATCH($E419,CA!$A$2:$A$78,0)),
"")</f>
        <v>7</v>
      </c>
      <c r="K419" s="58" t="str">
        <f>_xlfn.IFNA(
INDEX(CA!E$2:E$78,MATCH($E419,CA!$A$2:$A$78,0)),
"")</f>
        <v>CENTRAL</v>
      </c>
      <c r="L419" s="15" t="e">
        <v>#VALUE!</v>
      </c>
      <c r="M419" s="15" t="e">
        <v>#VALUE!</v>
      </c>
      <c r="N419" s="15" t="e">
        <v>#VALUE!</v>
      </c>
      <c r="O419" s="15" t="e">
        <v>#VALUE!</v>
      </c>
      <c r="P419" s="15" t="e">
        <v>#VALUE!</v>
      </c>
      <c r="Q419" s="15" t="e">
        <v>#VALUE!</v>
      </c>
      <c r="R419" s="15" t="e">
        <v>#VALUE!</v>
      </c>
      <c r="S419" s="15" t="e">
        <v>#VALUE!</v>
      </c>
      <c r="T419" s="129">
        <v>8.2169936285969428E-2</v>
      </c>
      <c r="U419" s="130" t="e">
        <f t="shared" si="27"/>
        <v>#VALUE!</v>
      </c>
      <c r="V419" s="129">
        <v>8.2169936285969428E-2</v>
      </c>
      <c r="W419" s="130" t="e">
        <f t="shared" si="24"/>
        <v>#VALUE!</v>
      </c>
      <c r="X419" s="129">
        <v>8.2169936285969428E-2</v>
      </c>
      <c r="Y419" s="130" t="e">
        <f t="shared" si="25"/>
        <v>#VALUE!</v>
      </c>
      <c r="Z419" s="129">
        <v>8.2169936285969428E-2</v>
      </c>
      <c r="AA419" s="130" t="e">
        <f t="shared" si="26"/>
        <v>#VALUE!</v>
      </c>
    </row>
    <row r="420" spans="1:27" x14ac:dyDescent="0.3">
      <c r="A420">
        <v>81600</v>
      </c>
      <c r="B420">
        <v>17031081600</v>
      </c>
      <c r="C420">
        <v>17031</v>
      </c>
      <c r="D420">
        <v>2010</v>
      </c>
      <c r="E420">
        <v>8</v>
      </c>
      <c r="F420">
        <v>1440447.9026999699</v>
      </c>
      <c r="G420" s="43">
        <v>5.1668958860622199E-2</v>
      </c>
      <c r="H420" s="58" t="str">
        <f>_xlfn.IFNA(
INDEX(CA!B$2:B$78,MATCH($E420,CA!$A$2:$A$78,0)),
"")</f>
        <v>NEAR NORTH SIDE</v>
      </c>
      <c r="I420" s="60">
        <f>_xlfn.IFNA(
INDEX(CA!C$2:C$78,MATCH($E420,CA!$A$2:$A$78,0)),
"")</f>
        <v>7</v>
      </c>
      <c r="J420" s="60">
        <f>_xlfn.IFNA(
INDEX(CA!D$2:D$78,MATCH($E420,CA!$A$2:$A$78,0)),
"")</f>
        <v>7</v>
      </c>
      <c r="K420" s="58" t="str">
        <f>_xlfn.IFNA(
INDEX(CA!E$2:E$78,MATCH($E420,CA!$A$2:$A$78,0)),
"")</f>
        <v>CENTRAL</v>
      </c>
      <c r="L420" s="15" t="e">
        <v>#VALUE!</v>
      </c>
      <c r="M420" s="15" t="e">
        <v>#VALUE!</v>
      </c>
      <c r="N420" s="15" t="e">
        <v>#VALUE!</v>
      </c>
      <c r="O420" s="15" t="e">
        <v>#VALUE!</v>
      </c>
      <c r="P420" s="15" t="e">
        <v>#VALUE!</v>
      </c>
      <c r="Q420" s="15" t="e">
        <v>#VALUE!</v>
      </c>
      <c r="R420" s="15" t="e">
        <v>#VALUE!</v>
      </c>
      <c r="S420" s="15" t="e">
        <v>#VALUE!</v>
      </c>
      <c r="T420" s="129">
        <v>5.1668958502061456E-2</v>
      </c>
      <c r="U420" s="130" t="e">
        <f t="shared" si="27"/>
        <v>#VALUE!</v>
      </c>
      <c r="V420" s="129">
        <v>5.1668958502061456E-2</v>
      </c>
      <c r="W420" s="130" t="e">
        <f t="shared" si="24"/>
        <v>#VALUE!</v>
      </c>
      <c r="X420" s="129">
        <v>5.1668958502061456E-2</v>
      </c>
      <c r="Y420" s="130" t="e">
        <f t="shared" si="25"/>
        <v>#VALUE!</v>
      </c>
      <c r="Z420" s="129">
        <v>5.1668958502061456E-2</v>
      </c>
      <c r="AA420" s="130" t="e">
        <f t="shared" si="26"/>
        <v>#VALUE!</v>
      </c>
    </row>
    <row r="421" spans="1:27" x14ac:dyDescent="0.3">
      <c r="A421">
        <v>81401</v>
      </c>
      <c r="B421">
        <v>17031081401</v>
      </c>
      <c r="C421">
        <v>17031</v>
      </c>
      <c r="D421">
        <v>2010</v>
      </c>
      <c r="E421">
        <v>8</v>
      </c>
      <c r="F421">
        <v>3037767.7074859999</v>
      </c>
      <c r="G421" s="43">
        <v>0.10896492293266472</v>
      </c>
      <c r="H421" s="58" t="str">
        <f>_xlfn.IFNA(
INDEX(CA!B$2:B$78,MATCH($E421,CA!$A$2:$A$78,0)),
"")</f>
        <v>NEAR NORTH SIDE</v>
      </c>
      <c r="I421" s="60">
        <f>_xlfn.IFNA(
INDEX(CA!C$2:C$78,MATCH($E421,CA!$A$2:$A$78,0)),
"")</f>
        <v>7</v>
      </c>
      <c r="J421" s="60">
        <f>_xlfn.IFNA(
INDEX(CA!D$2:D$78,MATCH($E421,CA!$A$2:$A$78,0)),
"")</f>
        <v>7</v>
      </c>
      <c r="K421" s="58" t="str">
        <f>_xlfn.IFNA(
INDEX(CA!E$2:E$78,MATCH($E421,CA!$A$2:$A$78,0)),
"")</f>
        <v>CENTRAL</v>
      </c>
      <c r="L421" s="15" t="e">
        <v>#VALUE!</v>
      </c>
      <c r="M421" s="15" t="e">
        <v>#VALUE!</v>
      </c>
      <c r="N421" s="15" t="e">
        <v>#VALUE!</v>
      </c>
      <c r="O421" s="15" t="e">
        <v>#VALUE!</v>
      </c>
      <c r="P421" s="15" t="e">
        <v>#VALUE!</v>
      </c>
      <c r="Q421" s="15" t="e">
        <v>#VALUE!</v>
      </c>
      <c r="R421" s="15" t="e">
        <v>#VALUE!</v>
      </c>
      <c r="S421" s="15" t="e">
        <v>#VALUE!</v>
      </c>
      <c r="T421" s="129">
        <v>0.10896491888590737</v>
      </c>
      <c r="U421" s="130" t="e">
        <f t="shared" si="27"/>
        <v>#VALUE!</v>
      </c>
      <c r="V421" s="129">
        <v>0.10896491888590737</v>
      </c>
      <c r="W421" s="130" t="e">
        <f t="shared" si="24"/>
        <v>#VALUE!</v>
      </c>
      <c r="X421" s="129">
        <v>0.10896491888590737</v>
      </c>
      <c r="Y421" s="130" t="e">
        <f t="shared" si="25"/>
        <v>#VALUE!</v>
      </c>
      <c r="Z421" s="129">
        <v>0.10896491888590737</v>
      </c>
      <c r="AA421" s="130" t="e">
        <f t="shared" si="26"/>
        <v>#VALUE!</v>
      </c>
    </row>
    <row r="422" spans="1:27" x14ac:dyDescent="0.3">
      <c r="A422">
        <v>80100</v>
      </c>
      <c r="B422">
        <v>17031080100</v>
      </c>
      <c r="C422">
        <v>17031</v>
      </c>
      <c r="D422">
        <v>2010</v>
      </c>
      <c r="E422">
        <v>8</v>
      </c>
      <c r="F422">
        <v>3062233.7871721201</v>
      </c>
      <c r="G422" s="43">
        <v>0.10984252278366477</v>
      </c>
      <c r="H422" s="58" t="str">
        <f>_xlfn.IFNA(
INDEX(CA!B$2:B$78,MATCH($E422,CA!$A$2:$A$78,0)),
"")</f>
        <v>NEAR NORTH SIDE</v>
      </c>
      <c r="I422" s="60">
        <f>_xlfn.IFNA(
INDEX(CA!C$2:C$78,MATCH($E422,CA!$A$2:$A$78,0)),
"")</f>
        <v>7</v>
      </c>
      <c r="J422" s="60">
        <f>_xlfn.IFNA(
INDEX(CA!D$2:D$78,MATCH($E422,CA!$A$2:$A$78,0)),
"")</f>
        <v>7</v>
      </c>
      <c r="K422" s="58" t="str">
        <f>_xlfn.IFNA(
INDEX(CA!E$2:E$78,MATCH($E422,CA!$A$2:$A$78,0)),
"")</f>
        <v>CENTRAL</v>
      </c>
      <c r="L422" s="15" t="e">
        <v>#VALUE!</v>
      </c>
      <c r="M422" s="15" t="e">
        <v>#VALUE!</v>
      </c>
      <c r="N422" s="15" t="e">
        <v>#VALUE!</v>
      </c>
      <c r="O422" s="15" t="e">
        <v>#VALUE!</v>
      </c>
      <c r="P422" s="15" t="e">
        <v>#VALUE!</v>
      </c>
      <c r="Q422" s="15" t="e">
        <v>#VALUE!</v>
      </c>
      <c r="R422" s="15" t="e">
        <v>#VALUE!</v>
      </c>
      <c r="S422" s="15" t="e">
        <v>#VALUE!</v>
      </c>
      <c r="T422" s="129">
        <v>0.10984252723330859</v>
      </c>
      <c r="U422" s="130" t="e">
        <f t="shared" si="27"/>
        <v>#VALUE!</v>
      </c>
      <c r="V422" s="129">
        <v>0.10984252723330859</v>
      </c>
      <c r="W422" s="130" t="e">
        <f t="shared" si="24"/>
        <v>#VALUE!</v>
      </c>
      <c r="X422" s="129">
        <v>0.10984252723330859</v>
      </c>
      <c r="Y422" s="130" t="e">
        <f t="shared" si="25"/>
        <v>#VALUE!</v>
      </c>
      <c r="Z422" s="129">
        <v>0.10984252723330859</v>
      </c>
      <c r="AA422" s="130" t="e">
        <f t="shared" si="26"/>
        <v>#VALUE!</v>
      </c>
    </row>
    <row r="423" spans="1:27" x14ac:dyDescent="0.3">
      <c r="A423">
        <v>81700</v>
      </c>
      <c r="B423">
        <v>17031081700</v>
      </c>
      <c r="C423">
        <v>17031</v>
      </c>
      <c r="D423">
        <v>2010</v>
      </c>
      <c r="E423">
        <v>8</v>
      </c>
      <c r="F423">
        <v>4020280.8166871602</v>
      </c>
      <c r="G423" s="43">
        <v>0.14420773131482295</v>
      </c>
      <c r="H423" s="58" t="str">
        <f>_xlfn.IFNA(
INDEX(CA!B$2:B$78,MATCH($E423,CA!$A$2:$A$78,0)),
"")</f>
        <v>NEAR NORTH SIDE</v>
      </c>
      <c r="I423" s="60">
        <f>_xlfn.IFNA(
INDEX(CA!C$2:C$78,MATCH($E423,CA!$A$2:$A$78,0)),
"")</f>
        <v>7</v>
      </c>
      <c r="J423" s="60">
        <f>_xlfn.IFNA(
INDEX(CA!D$2:D$78,MATCH($E423,CA!$A$2:$A$78,0)),
"")</f>
        <v>7</v>
      </c>
      <c r="K423" s="58" t="str">
        <f>_xlfn.IFNA(
INDEX(CA!E$2:E$78,MATCH($E423,CA!$A$2:$A$78,0)),
"")</f>
        <v>CENTRAL</v>
      </c>
      <c r="L423" s="15" t="e">
        <v>#VALUE!</v>
      </c>
      <c r="M423" s="15" t="e">
        <v>#VALUE!</v>
      </c>
      <c r="N423" s="15" t="e">
        <v>#VALUE!</v>
      </c>
      <c r="O423" s="15" t="e">
        <v>#VALUE!</v>
      </c>
      <c r="P423" s="15" t="e">
        <v>#VALUE!</v>
      </c>
      <c r="Q423" s="15" t="e">
        <v>#VALUE!</v>
      </c>
      <c r="R423" s="15" t="e">
        <v>#VALUE!</v>
      </c>
      <c r="S423" s="15" t="e">
        <v>#VALUE!</v>
      </c>
      <c r="T423" s="129">
        <v>0.14420773570609577</v>
      </c>
      <c r="U423" s="130" t="e">
        <f t="shared" si="27"/>
        <v>#VALUE!</v>
      </c>
      <c r="V423" s="129">
        <v>0.14420773570609577</v>
      </c>
      <c r="W423" s="130" t="e">
        <f t="shared" si="24"/>
        <v>#VALUE!</v>
      </c>
      <c r="X423" s="129">
        <v>0.14420773570609577</v>
      </c>
      <c r="Y423" s="130" t="e">
        <f t="shared" si="25"/>
        <v>#VALUE!</v>
      </c>
      <c r="Z423" s="129">
        <v>0.14420773570609577</v>
      </c>
      <c r="AA423" s="130" t="e">
        <f t="shared" si="26"/>
        <v>#VALUE!</v>
      </c>
    </row>
    <row r="424" spans="1:27" x14ac:dyDescent="0.3">
      <c r="A424">
        <v>81201</v>
      </c>
      <c r="B424">
        <v>17031081201</v>
      </c>
      <c r="C424">
        <v>17031</v>
      </c>
      <c r="D424">
        <v>2010</v>
      </c>
      <c r="E424">
        <v>8</v>
      </c>
      <c r="F424">
        <v>1994468.65934495</v>
      </c>
      <c r="G424" s="43">
        <v>7.1541719013463831E-2</v>
      </c>
      <c r="H424" s="58" t="str">
        <f>_xlfn.IFNA(
INDEX(CA!B$2:B$78,MATCH($E424,CA!$A$2:$A$78,0)),
"")</f>
        <v>NEAR NORTH SIDE</v>
      </c>
      <c r="I424" s="60">
        <f>_xlfn.IFNA(
INDEX(CA!C$2:C$78,MATCH($E424,CA!$A$2:$A$78,0)),
"")</f>
        <v>7</v>
      </c>
      <c r="J424" s="60">
        <f>_xlfn.IFNA(
INDEX(CA!D$2:D$78,MATCH($E424,CA!$A$2:$A$78,0)),
"")</f>
        <v>7</v>
      </c>
      <c r="K424" s="58" t="str">
        <f>_xlfn.IFNA(
INDEX(CA!E$2:E$78,MATCH($E424,CA!$A$2:$A$78,0)),
"")</f>
        <v>CENTRAL</v>
      </c>
      <c r="L424" s="15" t="e">
        <v>#VALUE!</v>
      </c>
      <c r="M424" s="15" t="e">
        <v>#VALUE!</v>
      </c>
      <c r="N424" s="15" t="e">
        <v>#VALUE!</v>
      </c>
      <c r="O424" s="15" t="e">
        <v>#VALUE!</v>
      </c>
      <c r="P424" s="15" t="e">
        <v>#VALUE!</v>
      </c>
      <c r="Q424" s="15" t="e">
        <v>#VALUE!</v>
      </c>
      <c r="R424" s="15" t="e">
        <v>#VALUE!</v>
      </c>
      <c r="S424" s="15" t="e">
        <v>#VALUE!</v>
      </c>
      <c r="T424" s="129">
        <v>7.1541718979336325E-2</v>
      </c>
      <c r="U424" s="130" t="e">
        <f t="shared" si="27"/>
        <v>#VALUE!</v>
      </c>
      <c r="V424" s="129">
        <v>7.1541718979336325E-2</v>
      </c>
      <c r="W424" s="130" t="e">
        <f t="shared" si="24"/>
        <v>#VALUE!</v>
      </c>
      <c r="X424" s="129">
        <v>7.1541718979336325E-2</v>
      </c>
      <c r="Y424" s="130" t="e">
        <f t="shared" si="25"/>
        <v>#VALUE!</v>
      </c>
      <c r="Z424" s="129">
        <v>7.1541718979336325E-2</v>
      </c>
      <c r="AA424" s="130" t="e">
        <f t="shared" si="26"/>
        <v>#VALUE!</v>
      </c>
    </row>
    <row r="425" spans="1:27" x14ac:dyDescent="0.3">
      <c r="A425">
        <v>81300</v>
      </c>
      <c r="B425">
        <v>17031081300</v>
      </c>
      <c r="C425">
        <v>17031</v>
      </c>
      <c r="D425">
        <v>2010</v>
      </c>
      <c r="E425">
        <v>8</v>
      </c>
      <c r="F425">
        <v>2174040.3975888598</v>
      </c>
      <c r="G425" s="43">
        <v>7.79829688069925E-2</v>
      </c>
      <c r="H425" s="58" t="str">
        <f>_xlfn.IFNA(
INDEX(CA!B$2:B$78,MATCH($E425,CA!$A$2:$A$78,0)),
"")</f>
        <v>NEAR NORTH SIDE</v>
      </c>
      <c r="I425" s="60">
        <f>_xlfn.IFNA(
INDEX(CA!C$2:C$78,MATCH($E425,CA!$A$2:$A$78,0)),
"")</f>
        <v>7</v>
      </c>
      <c r="J425" s="60">
        <f>_xlfn.IFNA(
INDEX(CA!D$2:D$78,MATCH($E425,CA!$A$2:$A$78,0)),
"")</f>
        <v>7</v>
      </c>
      <c r="K425" s="58" t="str">
        <f>_xlfn.IFNA(
INDEX(CA!E$2:E$78,MATCH($E425,CA!$A$2:$A$78,0)),
"")</f>
        <v>CENTRAL</v>
      </c>
      <c r="L425" s="15" t="e">
        <v>#VALUE!</v>
      </c>
      <c r="M425" s="15" t="e">
        <v>#VALUE!</v>
      </c>
      <c r="N425" s="15" t="e">
        <v>#VALUE!</v>
      </c>
      <c r="O425" s="15" t="e">
        <v>#VALUE!</v>
      </c>
      <c r="P425" s="15" t="e">
        <v>#VALUE!</v>
      </c>
      <c r="Q425" s="15" t="e">
        <v>#VALUE!</v>
      </c>
      <c r="R425" s="15" t="e">
        <v>#VALUE!</v>
      </c>
      <c r="S425" s="15" t="e">
        <v>#VALUE!</v>
      </c>
      <c r="T425" s="129">
        <v>7.7982972725501823E-2</v>
      </c>
      <c r="U425" s="130" t="e">
        <f t="shared" si="27"/>
        <v>#VALUE!</v>
      </c>
      <c r="V425" s="129">
        <v>7.7982972725501823E-2</v>
      </c>
      <c r="W425" s="130" t="e">
        <f t="shared" si="24"/>
        <v>#VALUE!</v>
      </c>
      <c r="X425" s="129">
        <v>7.7982972725501823E-2</v>
      </c>
      <c r="Y425" s="130" t="e">
        <f t="shared" si="25"/>
        <v>#VALUE!</v>
      </c>
      <c r="Z425" s="129">
        <v>7.7982972725501823E-2</v>
      </c>
      <c r="AA425" s="130" t="e">
        <f t="shared" si="26"/>
        <v>#VALUE!</v>
      </c>
    </row>
    <row r="426" spans="1:27" x14ac:dyDescent="0.3">
      <c r="A426">
        <v>838300</v>
      </c>
      <c r="B426">
        <v>17031838300</v>
      </c>
      <c r="C426">
        <v>17031</v>
      </c>
      <c r="D426">
        <v>2010</v>
      </c>
      <c r="E426">
        <v>8</v>
      </c>
      <c r="F426">
        <v>3747469.2832193598</v>
      </c>
      <c r="G426" s="43">
        <v>0.13442196407323806</v>
      </c>
      <c r="H426" s="58" t="str">
        <f>_xlfn.IFNA(
INDEX(CA!B$2:B$78,MATCH($E426,CA!$A$2:$A$78,0)),
"")</f>
        <v>NEAR NORTH SIDE</v>
      </c>
      <c r="I426" s="60">
        <f>_xlfn.IFNA(
INDEX(CA!C$2:C$78,MATCH($E426,CA!$A$2:$A$78,0)),
"")</f>
        <v>7</v>
      </c>
      <c r="J426" s="60">
        <f>_xlfn.IFNA(
INDEX(CA!D$2:D$78,MATCH($E426,CA!$A$2:$A$78,0)),
"")</f>
        <v>7</v>
      </c>
      <c r="K426" s="58" t="str">
        <f>_xlfn.IFNA(
INDEX(CA!E$2:E$78,MATCH($E426,CA!$A$2:$A$78,0)),
"")</f>
        <v>CENTRAL</v>
      </c>
      <c r="L426" s="15" t="e">
        <v>#VALUE!</v>
      </c>
      <c r="M426" s="15" t="e">
        <v>#VALUE!</v>
      </c>
      <c r="N426" s="15" t="e">
        <v>#VALUE!</v>
      </c>
      <c r="O426" s="15" t="e">
        <v>#VALUE!</v>
      </c>
      <c r="P426" s="15" t="e">
        <v>#VALUE!</v>
      </c>
      <c r="Q426" s="15" t="e">
        <v>#VALUE!</v>
      </c>
      <c r="R426" s="15" t="e">
        <v>#VALUE!</v>
      </c>
      <c r="S426" s="15" t="e">
        <v>#VALUE!</v>
      </c>
      <c r="T426" s="129">
        <v>0.13442196660116076</v>
      </c>
      <c r="U426" s="130" t="e">
        <f t="shared" si="27"/>
        <v>#VALUE!</v>
      </c>
      <c r="V426" s="129">
        <v>0.13442196660116076</v>
      </c>
      <c r="W426" s="130" t="e">
        <f t="shared" si="24"/>
        <v>#VALUE!</v>
      </c>
      <c r="X426" s="129">
        <v>0.13442196660116076</v>
      </c>
      <c r="Y426" s="130" t="e">
        <f t="shared" si="25"/>
        <v>#VALUE!</v>
      </c>
      <c r="Z426" s="129">
        <v>0.13442196660116076</v>
      </c>
      <c r="AA426" s="130" t="e">
        <f t="shared" si="26"/>
        <v>#VALUE!</v>
      </c>
    </row>
    <row r="427" spans="1:27" x14ac:dyDescent="0.3">
      <c r="A427">
        <v>80400</v>
      </c>
      <c r="B427">
        <v>17031080400</v>
      </c>
      <c r="C427">
        <v>17031</v>
      </c>
      <c r="D427">
        <v>2010</v>
      </c>
      <c r="E427">
        <v>8</v>
      </c>
      <c r="F427">
        <v>3524104.0600677999</v>
      </c>
      <c r="G427" s="43">
        <v>0.12640983916106377</v>
      </c>
      <c r="H427" s="58" t="str">
        <f>_xlfn.IFNA(
INDEX(CA!B$2:B$78,MATCH($E427,CA!$A$2:$A$78,0)),
"")</f>
        <v>NEAR NORTH SIDE</v>
      </c>
      <c r="I427" s="60">
        <f>_xlfn.IFNA(
INDEX(CA!C$2:C$78,MATCH($E427,CA!$A$2:$A$78,0)),
"")</f>
        <v>7</v>
      </c>
      <c r="J427" s="60">
        <f>_xlfn.IFNA(
INDEX(CA!D$2:D$78,MATCH($E427,CA!$A$2:$A$78,0)),
"")</f>
        <v>7</v>
      </c>
      <c r="K427" s="58" t="str">
        <f>_xlfn.IFNA(
INDEX(CA!E$2:E$78,MATCH($E427,CA!$A$2:$A$78,0)),
"")</f>
        <v>CENTRAL</v>
      </c>
      <c r="L427" s="15" t="e">
        <v>#VALUE!</v>
      </c>
      <c r="M427" s="15" t="e">
        <v>#VALUE!</v>
      </c>
      <c r="N427" s="15" t="e">
        <v>#VALUE!</v>
      </c>
      <c r="O427" s="15" t="e">
        <v>#VALUE!</v>
      </c>
      <c r="P427" s="15" t="e">
        <v>#VALUE!</v>
      </c>
      <c r="Q427" s="15" t="e">
        <v>#VALUE!</v>
      </c>
      <c r="R427" s="15" t="e">
        <v>#VALUE!</v>
      </c>
      <c r="S427" s="15" t="e">
        <v>#VALUE!</v>
      </c>
      <c r="T427" s="129">
        <v>0.12640984029695931</v>
      </c>
      <c r="U427" s="130" t="e">
        <f t="shared" si="27"/>
        <v>#VALUE!</v>
      </c>
      <c r="V427" s="129">
        <v>0.12640984029695931</v>
      </c>
      <c r="W427" s="130" t="e">
        <f t="shared" si="24"/>
        <v>#VALUE!</v>
      </c>
      <c r="X427" s="129">
        <v>0.12640984029695931</v>
      </c>
      <c r="Y427" s="130" t="e">
        <f t="shared" si="25"/>
        <v>#VALUE!</v>
      </c>
      <c r="Z427" s="129">
        <v>0.12640984029695931</v>
      </c>
      <c r="AA427" s="130" t="e">
        <f t="shared" si="26"/>
        <v>#VALUE!</v>
      </c>
    </row>
    <row r="428" spans="1:27" x14ac:dyDescent="0.3">
      <c r="A428">
        <v>81000</v>
      </c>
      <c r="B428">
        <v>17031081000</v>
      </c>
      <c r="C428">
        <v>17031</v>
      </c>
      <c r="D428">
        <v>2010</v>
      </c>
      <c r="E428">
        <v>8</v>
      </c>
      <c r="F428">
        <v>3216685.6809852901</v>
      </c>
      <c r="G428" s="43">
        <v>0.11538272214278043</v>
      </c>
      <c r="H428" s="58" t="str">
        <f>_xlfn.IFNA(
INDEX(CA!B$2:B$78,MATCH($E428,CA!$A$2:$A$78,0)),
"")</f>
        <v>NEAR NORTH SIDE</v>
      </c>
      <c r="I428" s="60">
        <f>_xlfn.IFNA(
INDEX(CA!C$2:C$78,MATCH($E428,CA!$A$2:$A$78,0)),
"")</f>
        <v>7</v>
      </c>
      <c r="J428" s="60">
        <f>_xlfn.IFNA(
INDEX(CA!D$2:D$78,MATCH($E428,CA!$A$2:$A$78,0)),
"")</f>
        <v>7</v>
      </c>
      <c r="K428" s="58" t="str">
        <f>_xlfn.IFNA(
INDEX(CA!E$2:E$78,MATCH($E428,CA!$A$2:$A$78,0)),
"")</f>
        <v>CENTRAL</v>
      </c>
      <c r="L428" s="15" t="e">
        <v>#VALUE!</v>
      </c>
      <c r="M428" s="15" t="e">
        <v>#VALUE!</v>
      </c>
      <c r="N428" s="15" t="e">
        <v>#VALUE!</v>
      </c>
      <c r="O428" s="15" t="e">
        <v>#VALUE!</v>
      </c>
      <c r="P428" s="15" t="e">
        <v>#VALUE!</v>
      </c>
      <c r="Q428" s="15" t="e">
        <v>#VALUE!</v>
      </c>
      <c r="R428" s="15" t="e">
        <v>#VALUE!</v>
      </c>
      <c r="S428" s="15" t="e">
        <v>#VALUE!</v>
      </c>
      <c r="T428" s="129">
        <v>0.11538272343123278</v>
      </c>
      <c r="U428" s="130" t="e">
        <f t="shared" si="27"/>
        <v>#VALUE!</v>
      </c>
      <c r="V428" s="129">
        <v>0.11538272343123278</v>
      </c>
      <c r="W428" s="130" t="e">
        <f t="shared" si="24"/>
        <v>#VALUE!</v>
      </c>
      <c r="X428" s="129">
        <v>0.11538272343123278</v>
      </c>
      <c r="Y428" s="130" t="e">
        <f t="shared" si="25"/>
        <v>#VALUE!</v>
      </c>
      <c r="Z428" s="129">
        <v>0.11538272343123278</v>
      </c>
      <c r="AA428" s="130" t="e">
        <f t="shared" si="26"/>
        <v>#VALUE!</v>
      </c>
    </row>
    <row r="429" spans="1:27" x14ac:dyDescent="0.3">
      <c r="A429">
        <v>81800</v>
      </c>
      <c r="B429">
        <v>17031081800</v>
      </c>
      <c r="C429">
        <v>17031</v>
      </c>
      <c r="D429">
        <v>2010</v>
      </c>
      <c r="E429">
        <v>8</v>
      </c>
      <c r="F429">
        <v>8165038.24893759</v>
      </c>
      <c r="G429" s="43">
        <v>0.29288044683115205</v>
      </c>
      <c r="H429" s="58" t="str">
        <f>_xlfn.IFNA(
INDEX(CA!B$2:B$78,MATCH($E429,CA!$A$2:$A$78,0)),
"")</f>
        <v>NEAR NORTH SIDE</v>
      </c>
      <c r="I429" s="60">
        <f>_xlfn.IFNA(
INDEX(CA!C$2:C$78,MATCH($E429,CA!$A$2:$A$78,0)),
"")</f>
        <v>7</v>
      </c>
      <c r="J429" s="60">
        <f>_xlfn.IFNA(
INDEX(CA!D$2:D$78,MATCH($E429,CA!$A$2:$A$78,0)),
"")</f>
        <v>7</v>
      </c>
      <c r="K429" s="58" t="str">
        <f>_xlfn.IFNA(
INDEX(CA!E$2:E$78,MATCH($E429,CA!$A$2:$A$78,0)),
"")</f>
        <v>CENTRAL</v>
      </c>
      <c r="L429" s="15" t="e">
        <v>#VALUE!</v>
      </c>
      <c r="M429" s="15" t="e">
        <v>#VALUE!</v>
      </c>
      <c r="N429" s="15" t="e">
        <v>#VALUE!</v>
      </c>
      <c r="O429" s="15" t="e">
        <v>#VALUE!</v>
      </c>
      <c r="P429" s="15" t="e">
        <v>#VALUE!</v>
      </c>
      <c r="Q429" s="15" t="e">
        <v>#VALUE!</v>
      </c>
      <c r="R429" s="15" t="e">
        <v>#VALUE!</v>
      </c>
      <c r="S429" s="15" t="e">
        <v>#VALUE!</v>
      </c>
      <c r="T429" s="129">
        <v>0.29288044191963669</v>
      </c>
      <c r="U429" s="130" t="e">
        <f t="shared" si="27"/>
        <v>#VALUE!</v>
      </c>
      <c r="V429" s="129">
        <v>0.29288044191963669</v>
      </c>
      <c r="W429" s="130" t="e">
        <f t="shared" si="24"/>
        <v>#VALUE!</v>
      </c>
      <c r="X429" s="129">
        <v>0.29288044191963669</v>
      </c>
      <c r="Y429" s="130" t="e">
        <f t="shared" si="25"/>
        <v>#VALUE!</v>
      </c>
      <c r="Z429" s="129">
        <v>0.29288044191963669</v>
      </c>
      <c r="AA429" s="130" t="e">
        <f t="shared" si="26"/>
        <v>#VALUE!</v>
      </c>
    </row>
    <row r="430" spans="1:27" x14ac:dyDescent="0.3">
      <c r="A430">
        <v>80300</v>
      </c>
      <c r="B430">
        <v>17031080300</v>
      </c>
      <c r="C430">
        <v>17031</v>
      </c>
      <c r="D430">
        <v>2010</v>
      </c>
      <c r="E430">
        <v>8</v>
      </c>
      <c r="F430">
        <v>3946952.2864674502</v>
      </c>
      <c r="G430" s="43">
        <v>0.14157743222234598</v>
      </c>
      <c r="H430" s="58" t="str">
        <f>_xlfn.IFNA(
INDEX(CA!B$2:B$78,MATCH($E430,CA!$A$2:$A$78,0)),
"")</f>
        <v>NEAR NORTH SIDE</v>
      </c>
      <c r="I430" s="60">
        <f>_xlfn.IFNA(
INDEX(CA!C$2:C$78,MATCH($E430,CA!$A$2:$A$78,0)),
"")</f>
        <v>7</v>
      </c>
      <c r="J430" s="60">
        <f>_xlfn.IFNA(
INDEX(CA!D$2:D$78,MATCH($E430,CA!$A$2:$A$78,0)),
"")</f>
        <v>7</v>
      </c>
      <c r="K430" s="58" t="str">
        <f>_xlfn.IFNA(
INDEX(CA!E$2:E$78,MATCH($E430,CA!$A$2:$A$78,0)),
"")</f>
        <v>CENTRAL</v>
      </c>
      <c r="L430" s="15" t="e">
        <v>#VALUE!</v>
      </c>
      <c r="M430" s="15" t="e">
        <v>#VALUE!</v>
      </c>
      <c r="N430" s="15" t="e">
        <v>#VALUE!</v>
      </c>
      <c r="O430" s="15" t="e">
        <v>#VALUE!</v>
      </c>
      <c r="P430" s="15" t="e">
        <v>#VALUE!</v>
      </c>
      <c r="Q430" s="15" t="e">
        <v>#VALUE!</v>
      </c>
      <c r="R430" s="15" t="e">
        <v>#VALUE!</v>
      </c>
      <c r="S430" s="15" t="e">
        <v>#VALUE!</v>
      </c>
      <c r="T430" s="129">
        <v>0.14157743456736757</v>
      </c>
      <c r="U430" s="130" t="e">
        <f t="shared" si="27"/>
        <v>#VALUE!</v>
      </c>
      <c r="V430" s="129">
        <v>0.14157743456736757</v>
      </c>
      <c r="W430" s="130" t="e">
        <f t="shared" si="24"/>
        <v>#VALUE!</v>
      </c>
      <c r="X430" s="129">
        <v>0.14157743456736757</v>
      </c>
      <c r="Y430" s="130" t="e">
        <f t="shared" si="25"/>
        <v>#VALUE!</v>
      </c>
      <c r="Z430" s="129">
        <v>0.14157743456736757</v>
      </c>
      <c r="AA430" s="130" t="e">
        <f t="shared" si="26"/>
        <v>#VALUE!</v>
      </c>
    </row>
    <row r="431" spans="1:27" x14ac:dyDescent="0.3">
      <c r="A431">
        <v>81900</v>
      </c>
      <c r="B431">
        <v>17031081900</v>
      </c>
      <c r="C431">
        <v>17031</v>
      </c>
      <c r="D431">
        <v>2010</v>
      </c>
      <c r="E431">
        <v>8</v>
      </c>
      <c r="F431">
        <v>1482398.41963938</v>
      </c>
      <c r="G431" s="43">
        <v>5.3173726599782624E-2</v>
      </c>
      <c r="H431" s="58" t="str">
        <f>_xlfn.IFNA(
INDEX(CA!B$2:B$78,MATCH($E431,CA!$A$2:$A$78,0)),
"")</f>
        <v>NEAR NORTH SIDE</v>
      </c>
      <c r="I431" s="60">
        <f>_xlfn.IFNA(
INDEX(CA!C$2:C$78,MATCH($E431,CA!$A$2:$A$78,0)),
"")</f>
        <v>7</v>
      </c>
      <c r="J431" s="60">
        <f>_xlfn.IFNA(
INDEX(CA!D$2:D$78,MATCH($E431,CA!$A$2:$A$78,0)),
"")</f>
        <v>7</v>
      </c>
      <c r="K431" s="58" t="str">
        <f>_xlfn.IFNA(
INDEX(CA!E$2:E$78,MATCH($E431,CA!$A$2:$A$78,0)),
"")</f>
        <v>CENTRAL</v>
      </c>
      <c r="L431" s="15" t="e">
        <v>#VALUE!</v>
      </c>
      <c r="M431" s="15" t="e">
        <v>#VALUE!</v>
      </c>
      <c r="N431" s="15" t="e">
        <v>#VALUE!</v>
      </c>
      <c r="O431" s="15" t="e">
        <v>#VALUE!</v>
      </c>
      <c r="P431" s="15" t="e">
        <v>#VALUE!</v>
      </c>
      <c r="Q431" s="15" t="e">
        <v>#VALUE!</v>
      </c>
      <c r="R431" s="15" t="e">
        <v>#VALUE!</v>
      </c>
      <c r="S431" s="15" t="e">
        <v>#VALUE!</v>
      </c>
      <c r="T431" s="129">
        <v>5.3173724083251911E-2</v>
      </c>
      <c r="U431" s="130" t="e">
        <f t="shared" si="27"/>
        <v>#VALUE!</v>
      </c>
      <c r="V431" s="129">
        <v>5.3173724083251911E-2</v>
      </c>
      <c r="W431" s="130" t="e">
        <f t="shared" si="24"/>
        <v>#VALUE!</v>
      </c>
      <c r="X431" s="129">
        <v>5.3173724083251911E-2</v>
      </c>
      <c r="Y431" s="130" t="e">
        <f t="shared" si="25"/>
        <v>#VALUE!</v>
      </c>
      <c r="Z431" s="129">
        <v>5.3173724083251911E-2</v>
      </c>
      <c r="AA431" s="130" t="e">
        <f t="shared" si="26"/>
        <v>#VALUE!</v>
      </c>
    </row>
    <row r="432" spans="1:27" x14ac:dyDescent="0.3">
      <c r="A432">
        <v>81100</v>
      </c>
      <c r="B432">
        <v>17031081100</v>
      </c>
      <c r="C432">
        <v>17031</v>
      </c>
      <c r="D432">
        <v>2010</v>
      </c>
      <c r="E432">
        <v>8</v>
      </c>
      <c r="F432">
        <v>1108624.35282145</v>
      </c>
      <c r="G432" s="43">
        <v>3.9766426797142235E-2</v>
      </c>
      <c r="H432" s="58" t="str">
        <f>_xlfn.IFNA(
INDEX(CA!B$2:B$78,MATCH($E432,CA!$A$2:$A$78,0)),
"")</f>
        <v>NEAR NORTH SIDE</v>
      </c>
      <c r="I432" s="60">
        <f>_xlfn.IFNA(
INDEX(CA!C$2:C$78,MATCH($E432,CA!$A$2:$A$78,0)),
"")</f>
        <v>7</v>
      </c>
      <c r="J432" s="60">
        <f>_xlfn.IFNA(
INDEX(CA!D$2:D$78,MATCH($E432,CA!$A$2:$A$78,0)),
"")</f>
        <v>7</v>
      </c>
      <c r="K432" s="58" t="str">
        <f>_xlfn.IFNA(
INDEX(CA!E$2:E$78,MATCH($E432,CA!$A$2:$A$78,0)),
"")</f>
        <v>CENTRAL</v>
      </c>
      <c r="L432" s="15" t="e">
        <v>#VALUE!</v>
      </c>
      <c r="M432" s="15" t="e">
        <v>#VALUE!</v>
      </c>
      <c r="N432" s="15" t="e">
        <v>#VALUE!</v>
      </c>
      <c r="O432" s="15" t="e">
        <v>#VALUE!</v>
      </c>
      <c r="P432" s="15" t="e">
        <v>#VALUE!</v>
      </c>
      <c r="Q432" s="15" t="e">
        <v>#VALUE!</v>
      </c>
      <c r="R432" s="15" t="e">
        <v>#VALUE!</v>
      </c>
      <c r="S432" s="15" t="e">
        <v>#VALUE!</v>
      </c>
      <c r="T432" s="129">
        <v>3.9766428572697861E-2</v>
      </c>
      <c r="U432" s="130" t="e">
        <f t="shared" si="27"/>
        <v>#VALUE!</v>
      </c>
      <c r="V432" s="129">
        <v>3.9766428572697861E-2</v>
      </c>
      <c r="W432" s="130" t="e">
        <f t="shared" si="24"/>
        <v>#VALUE!</v>
      </c>
      <c r="X432" s="129">
        <v>3.9766428572697861E-2</v>
      </c>
      <c r="Y432" s="130" t="e">
        <f t="shared" si="25"/>
        <v>#VALUE!</v>
      </c>
      <c r="Z432" s="129">
        <v>3.9766428572697861E-2</v>
      </c>
      <c r="AA432" s="130" t="e">
        <f t="shared" si="26"/>
        <v>#VALUE!</v>
      </c>
    </row>
    <row r="433" spans="1:27" x14ac:dyDescent="0.3">
      <c r="A433">
        <v>839000</v>
      </c>
      <c r="B433">
        <v>17031839000</v>
      </c>
      <c r="C433">
        <v>17031</v>
      </c>
      <c r="D433">
        <v>2010</v>
      </c>
      <c r="E433">
        <v>32</v>
      </c>
      <c r="F433">
        <v>5518630.5459914897</v>
      </c>
      <c r="G433" s="43">
        <v>0.19795363241762404</v>
      </c>
      <c r="H433" s="58" t="str">
        <f>_xlfn.IFNA(
INDEX(CA!B$2:B$78,MATCH($E433,CA!$A$2:$A$78,0)),
"")</f>
        <v>LOOP</v>
      </c>
      <c r="I433" s="60">
        <f>_xlfn.IFNA(
INDEX(CA!C$2:C$78,MATCH($E433,CA!$A$2:$A$78,0)),
"")</f>
        <v>7</v>
      </c>
      <c r="J433" s="60">
        <f>_xlfn.IFNA(
INDEX(CA!D$2:D$78,MATCH($E433,CA!$A$2:$A$78,0)),
"")</f>
        <v>7</v>
      </c>
      <c r="K433" s="58" t="str">
        <f>_xlfn.IFNA(
INDEX(CA!E$2:E$78,MATCH($E433,CA!$A$2:$A$78,0)),
"")</f>
        <v>CENTRAL</v>
      </c>
      <c r="L433" s="15" t="e">
        <v>#VALUE!</v>
      </c>
      <c r="M433" s="15" t="e">
        <v>#VALUE!</v>
      </c>
      <c r="N433" s="15" t="e">
        <v>#VALUE!</v>
      </c>
      <c r="O433" s="15" t="e">
        <v>#VALUE!</v>
      </c>
      <c r="P433" s="15" t="e">
        <v>#VALUE!</v>
      </c>
      <c r="Q433" s="15" t="e">
        <v>#VALUE!</v>
      </c>
      <c r="R433" s="15" t="e">
        <v>#VALUE!</v>
      </c>
      <c r="S433" s="15" t="e">
        <v>#VALUE!</v>
      </c>
      <c r="T433" s="129">
        <v>0.19795363849691267</v>
      </c>
      <c r="U433" s="130" t="e">
        <f t="shared" si="27"/>
        <v>#VALUE!</v>
      </c>
      <c r="V433" s="129">
        <v>0.19795363849691267</v>
      </c>
      <c r="W433" s="130" t="e">
        <f t="shared" si="24"/>
        <v>#VALUE!</v>
      </c>
      <c r="X433" s="129">
        <v>0.19795363849691267</v>
      </c>
      <c r="Y433" s="130" t="e">
        <f t="shared" si="25"/>
        <v>#VALUE!</v>
      </c>
      <c r="Z433" s="129">
        <v>0.19795363849691267</v>
      </c>
      <c r="AA433" s="130" t="e">
        <f t="shared" si="26"/>
        <v>#VALUE!</v>
      </c>
    </row>
    <row r="434" spans="1:27" x14ac:dyDescent="0.3">
      <c r="A434">
        <v>839100</v>
      </c>
      <c r="B434">
        <v>17031839100</v>
      </c>
      <c r="C434">
        <v>17031</v>
      </c>
      <c r="D434">
        <v>2010</v>
      </c>
      <c r="E434">
        <v>32</v>
      </c>
      <c r="F434">
        <v>12699764.098030301</v>
      </c>
      <c r="G434" s="43">
        <v>0.45554135452645422</v>
      </c>
      <c r="H434" s="58" t="str">
        <f>_xlfn.IFNA(
INDEX(CA!B$2:B$78,MATCH($E434,CA!$A$2:$A$78,0)),
"")</f>
        <v>LOOP</v>
      </c>
      <c r="I434" s="60">
        <f>_xlfn.IFNA(
INDEX(CA!C$2:C$78,MATCH($E434,CA!$A$2:$A$78,0)),
"")</f>
        <v>7</v>
      </c>
      <c r="J434" s="60">
        <f>_xlfn.IFNA(
INDEX(CA!D$2:D$78,MATCH($E434,CA!$A$2:$A$78,0)),
"")</f>
        <v>7</v>
      </c>
      <c r="K434" s="58" t="str">
        <f>_xlfn.IFNA(
INDEX(CA!E$2:E$78,MATCH($E434,CA!$A$2:$A$78,0)),
"")</f>
        <v>CENTRAL</v>
      </c>
      <c r="L434" s="15" t="e">
        <v>#VALUE!</v>
      </c>
      <c r="M434" s="15" t="e">
        <v>#VALUE!</v>
      </c>
      <c r="N434" s="15" t="e">
        <v>#VALUE!</v>
      </c>
      <c r="O434" s="15" t="e">
        <v>#VALUE!</v>
      </c>
      <c r="P434" s="15" t="e">
        <v>#VALUE!</v>
      </c>
      <c r="Q434" s="15" t="e">
        <v>#VALUE!</v>
      </c>
      <c r="R434" s="15" t="e">
        <v>#VALUE!</v>
      </c>
      <c r="S434" s="15" t="e">
        <v>#VALUE!</v>
      </c>
      <c r="T434" s="129">
        <v>0.45554134844668992</v>
      </c>
      <c r="U434" s="130" t="e">
        <f t="shared" si="27"/>
        <v>#VALUE!</v>
      </c>
      <c r="V434" s="129">
        <v>0.45554134844668992</v>
      </c>
      <c r="W434" s="130" t="e">
        <f t="shared" si="24"/>
        <v>#VALUE!</v>
      </c>
      <c r="X434" s="129">
        <v>0.45554134844668992</v>
      </c>
      <c r="Y434" s="130" t="e">
        <f t="shared" si="25"/>
        <v>#VALUE!</v>
      </c>
      <c r="Z434" s="129">
        <v>0.45554134844668992</v>
      </c>
      <c r="AA434" s="130" t="e">
        <f t="shared" si="26"/>
        <v>#VALUE!</v>
      </c>
    </row>
    <row r="435" spans="1:27" x14ac:dyDescent="0.3">
      <c r="A435">
        <v>320600</v>
      </c>
      <c r="B435">
        <v>17031320600</v>
      </c>
      <c r="C435">
        <v>17031</v>
      </c>
      <c r="D435">
        <v>2010</v>
      </c>
      <c r="E435">
        <v>32</v>
      </c>
      <c r="F435">
        <v>6703631.6998948203</v>
      </c>
      <c r="G435" s="43">
        <v>0.24045969997900957</v>
      </c>
      <c r="H435" s="58" t="str">
        <f>_xlfn.IFNA(
INDEX(CA!B$2:B$78,MATCH($E435,CA!$A$2:$A$78,0)),
"")</f>
        <v>LOOP</v>
      </c>
      <c r="I435" s="60">
        <f>_xlfn.IFNA(
INDEX(CA!C$2:C$78,MATCH($E435,CA!$A$2:$A$78,0)),
"")</f>
        <v>7</v>
      </c>
      <c r="J435" s="60">
        <f>_xlfn.IFNA(
INDEX(CA!D$2:D$78,MATCH($E435,CA!$A$2:$A$78,0)),
"")</f>
        <v>7</v>
      </c>
      <c r="K435" s="58" t="str">
        <f>_xlfn.IFNA(
INDEX(CA!E$2:E$78,MATCH($E435,CA!$A$2:$A$78,0)),
"")</f>
        <v>CENTRAL</v>
      </c>
      <c r="L435" s="15" t="e">
        <v>#VALUE!</v>
      </c>
      <c r="M435" s="15" t="e">
        <v>#VALUE!</v>
      </c>
      <c r="N435" s="15" t="e">
        <v>#VALUE!</v>
      </c>
      <c r="O435" s="15" t="e">
        <v>#VALUE!</v>
      </c>
      <c r="P435" s="15" t="e">
        <v>#VALUE!</v>
      </c>
      <c r="Q435" s="15" t="e">
        <v>#VALUE!</v>
      </c>
      <c r="R435" s="15" t="e">
        <v>#VALUE!</v>
      </c>
      <c r="S435" s="15" t="e">
        <v>#VALUE!</v>
      </c>
      <c r="T435" s="129">
        <v>0.24045969995092112</v>
      </c>
      <c r="U435" s="130" t="e">
        <f t="shared" si="27"/>
        <v>#VALUE!</v>
      </c>
      <c r="V435" s="129">
        <v>0.24045969995092112</v>
      </c>
      <c r="W435" s="130" t="e">
        <f t="shared" si="24"/>
        <v>#VALUE!</v>
      </c>
      <c r="X435" s="129">
        <v>0.24045969995092112</v>
      </c>
      <c r="Y435" s="130" t="e">
        <f t="shared" si="25"/>
        <v>#VALUE!</v>
      </c>
      <c r="Z435" s="129">
        <v>0.24045969995092112</v>
      </c>
      <c r="AA435" s="130" t="e">
        <f t="shared" si="26"/>
        <v>#VALUE!</v>
      </c>
    </row>
    <row r="436" spans="1:27" x14ac:dyDescent="0.3">
      <c r="A436">
        <v>320100</v>
      </c>
      <c r="B436">
        <v>17031320100</v>
      </c>
      <c r="C436">
        <v>17031</v>
      </c>
      <c r="D436">
        <v>2010</v>
      </c>
      <c r="E436">
        <v>32</v>
      </c>
      <c r="F436">
        <v>9617561.4044997394</v>
      </c>
      <c r="G436" s="43">
        <v>0.3449825457881277</v>
      </c>
      <c r="H436" s="58" t="str">
        <f>_xlfn.IFNA(
INDEX(CA!B$2:B$78,MATCH($E436,CA!$A$2:$A$78,0)),
"")</f>
        <v>LOOP</v>
      </c>
      <c r="I436" s="60">
        <f>_xlfn.IFNA(
INDEX(CA!C$2:C$78,MATCH($E436,CA!$A$2:$A$78,0)),
"")</f>
        <v>7</v>
      </c>
      <c r="J436" s="60">
        <f>_xlfn.IFNA(
INDEX(CA!D$2:D$78,MATCH($E436,CA!$A$2:$A$78,0)),
"")</f>
        <v>7</v>
      </c>
      <c r="K436" s="58" t="str">
        <f>_xlfn.IFNA(
INDEX(CA!E$2:E$78,MATCH($E436,CA!$A$2:$A$78,0)),
"")</f>
        <v>CENTRAL</v>
      </c>
      <c r="L436" s="15" t="e">
        <v>#VALUE!</v>
      </c>
      <c r="M436" s="15" t="e">
        <v>#VALUE!</v>
      </c>
      <c r="N436" s="15" t="e">
        <v>#VALUE!</v>
      </c>
      <c r="O436" s="15" t="e">
        <v>#VALUE!</v>
      </c>
      <c r="P436" s="15" t="e">
        <v>#VALUE!</v>
      </c>
      <c r="Q436" s="15" t="e">
        <v>#VALUE!</v>
      </c>
      <c r="R436" s="15" t="e">
        <v>#VALUE!</v>
      </c>
      <c r="S436" s="15" t="e">
        <v>#VALUE!</v>
      </c>
      <c r="T436" s="129">
        <v>0.34498254769711173</v>
      </c>
      <c r="U436" s="130" t="e">
        <f t="shared" si="27"/>
        <v>#VALUE!</v>
      </c>
      <c r="V436" s="129">
        <v>0.34498254769711173</v>
      </c>
      <c r="W436" s="130" t="e">
        <f t="shared" si="24"/>
        <v>#VALUE!</v>
      </c>
      <c r="X436" s="129">
        <v>0.34498254769711173</v>
      </c>
      <c r="Y436" s="130" t="e">
        <f t="shared" si="25"/>
        <v>#VALUE!</v>
      </c>
      <c r="Z436" s="129">
        <v>0.34498254769711173</v>
      </c>
      <c r="AA436" s="130" t="e">
        <f t="shared" si="26"/>
        <v>#VALUE!</v>
      </c>
    </row>
    <row r="437" spans="1:27" x14ac:dyDescent="0.3">
      <c r="A437">
        <v>320400</v>
      </c>
      <c r="B437">
        <v>17031320400</v>
      </c>
      <c r="C437">
        <v>17031</v>
      </c>
      <c r="D437">
        <v>2010</v>
      </c>
      <c r="E437">
        <v>32</v>
      </c>
      <c r="F437">
        <v>8668560.9628725909</v>
      </c>
      <c r="G437" s="43">
        <v>0.31094183894601524</v>
      </c>
      <c r="H437" s="58" t="str">
        <f>_xlfn.IFNA(
INDEX(CA!B$2:B$78,MATCH($E437,CA!$A$2:$A$78,0)),
"")</f>
        <v>LOOP</v>
      </c>
      <c r="I437" s="60">
        <f>_xlfn.IFNA(
INDEX(CA!C$2:C$78,MATCH($E437,CA!$A$2:$A$78,0)),
"")</f>
        <v>7</v>
      </c>
      <c r="J437" s="60">
        <f>_xlfn.IFNA(
INDEX(CA!D$2:D$78,MATCH($E437,CA!$A$2:$A$78,0)),
"")</f>
        <v>7</v>
      </c>
      <c r="K437" s="58" t="str">
        <f>_xlfn.IFNA(
INDEX(CA!E$2:E$78,MATCH($E437,CA!$A$2:$A$78,0)),
"")</f>
        <v>CENTRAL</v>
      </c>
      <c r="L437" s="15" t="e">
        <v>#VALUE!</v>
      </c>
      <c r="M437" s="15" t="e">
        <v>#VALUE!</v>
      </c>
      <c r="N437" s="15" t="e">
        <v>#VALUE!</v>
      </c>
      <c r="O437" s="15" t="e">
        <v>#VALUE!</v>
      </c>
      <c r="P437" s="15" t="e">
        <v>#VALUE!</v>
      </c>
      <c r="Q437" s="15" t="e">
        <v>#VALUE!</v>
      </c>
      <c r="R437" s="15" t="e">
        <v>#VALUE!</v>
      </c>
      <c r="S437" s="15" t="e">
        <v>#VALUE!</v>
      </c>
      <c r="T437" s="129">
        <v>0.31094183580701584</v>
      </c>
      <c r="U437" s="130" t="e">
        <f t="shared" si="27"/>
        <v>#VALUE!</v>
      </c>
      <c r="V437" s="129">
        <v>0.31094183580701584</v>
      </c>
      <c r="W437" s="130" t="e">
        <f t="shared" si="24"/>
        <v>#VALUE!</v>
      </c>
      <c r="X437" s="129">
        <v>0.31094183580701584</v>
      </c>
      <c r="Y437" s="130" t="e">
        <f t="shared" si="25"/>
        <v>#VALUE!</v>
      </c>
      <c r="Z437" s="129">
        <v>0.31094183580701584</v>
      </c>
      <c r="AA437" s="130" t="e">
        <f t="shared" si="26"/>
        <v>#VALUE!</v>
      </c>
    </row>
    <row r="438" spans="1:27" x14ac:dyDescent="0.3">
      <c r="A438">
        <v>834200</v>
      </c>
      <c r="B438">
        <v>17031834200</v>
      </c>
      <c r="C438">
        <v>17031</v>
      </c>
      <c r="D438">
        <v>2010</v>
      </c>
      <c r="E438">
        <v>43</v>
      </c>
      <c r="F438">
        <v>10498808.2480214</v>
      </c>
      <c r="G438" s="43">
        <v>0.37659292671105227</v>
      </c>
      <c r="H438" s="58" t="str">
        <f>_xlfn.IFNA(
INDEX(CA!B$2:B$78,MATCH($E438,CA!$A$2:$A$78,0)),
"")</f>
        <v>SOUTH SHORE</v>
      </c>
      <c r="I438" s="60" t="str">
        <f>_xlfn.IFNA(
INDEX(CA!C$2:C$78,MATCH($E438,CA!$A$2:$A$78,0)),
"")</f>
        <v>6-B</v>
      </c>
      <c r="J438" s="60">
        <f>_xlfn.IFNA(
INDEX(CA!D$2:D$78,MATCH($E438,CA!$A$2:$A$78,0)),
"")</f>
        <v>6</v>
      </c>
      <c r="K438" s="58" t="str">
        <f>_xlfn.IFNA(
INDEX(CA!E$2:E$78,MATCH($E438,CA!$A$2:$A$78,0)),
"")</f>
        <v>SOUTH</v>
      </c>
      <c r="L438" s="15" t="e">
        <v>#VALUE!</v>
      </c>
      <c r="M438" s="15" t="e">
        <v>#VALUE!</v>
      </c>
      <c r="N438" s="15" t="e">
        <v>#VALUE!</v>
      </c>
      <c r="O438" s="15" t="e">
        <v>#VALUE!</v>
      </c>
      <c r="P438" s="15" t="e">
        <v>#VALUE!</v>
      </c>
      <c r="Q438" s="15" t="e">
        <v>#VALUE!</v>
      </c>
      <c r="R438" s="15" t="e">
        <v>#VALUE!</v>
      </c>
      <c r="S438" s="15" t="e">
        <v>#VALUE!</v>
      </c>
      <c r="T438" s="129">
        <v>0.3668492460682285</v>
      </c>
      <c r="U438" s="130" t="e">
        <f t="shared" si="27"/>
        <v>#VALUE!</v>
      </c>
      <c r="V438" s="129">
        <v>0.3668492460682285</v>
      </c>
      <c r="W438" s="130" t="e">
        <f t="shared" si="24"/>
        <v>#VALUE!</v>
      </c>
      <c r="X438" s="129">
        <v>0.3668492460682285</v>
      </c>
      <c r="Y438" s="130" t="e">
        <f t="shared" si="25"/>
        <v>#VALUE!</v>
      </c>
      <c r="Z438" s="129">
        <v>0.3668492460682285</v>
      </c>
      <c r="AA438" s="130" t="e">
        <f t="shared" si="26"/>
        <v>#VALUE!</v>
      </c>
    </row>
    <row r="439" spans="1:27" x14ac:dyDescent="0.3">
      <c r="A439">
        <v>430600</v>
      </c>
      <c r="B439">
        <v>17031430600</v>
      </c>
      <c r="C439">
        <v>17031</v>
      </c>
      <c r="D439">
        <v>2010</v>
      </c>
      <c r="E439">
        <v>43</v>
      </c>
      <c r="F439">
        <v>3481796.4749015602</v>
      </c>
      <c r="G439" s="43">
        <v>0.1248922633616549</v>
      </c>
      <c r="H439" s="58" t="str">
        <f>_xlfn.IFNA(
INDEX(CA!B$2:B$78,MATCH($E439,CA!$A$2:$A$78,0)),
"")</f>
        <v>SOUTH SHORE</v>
      </c>
      <c r="I439" s="60" t="str">
        <f>_xlfn.IFNA(
INDEX(CA!C$2:C$78,MATCH($E439,CA!$A$2:$A$78,0)),
"")</f>
        <v>6-B</v>
      </c>
      <c r="J439" s="60">
        <f>_xlfn.IFNA(
INDEX(CA!D$2:D$78,MATCH($E439,CA!$A$2:$A$78,0)),
"")</f>
        <v>6</v>
      </c>
      <c r="K439" s="58" t="str">
        <f>_xlfn.IFNA(
INDEX(CA!E$2:E$78,MATCH($E439,CA!$A$2:$A$78,0)),
"")</f>
        <v>SOUTH</v>
      </c>
      <c r="L439" s="15" t="e">
        <v>#VALUE!</v>
      </c>
      <c r="M439" s="15" t="e">
        <v>#VALUE!</v>
      </c>
      <c r="N439" s="15" t="e">
        <v>#VALUE!</v>
      </c>
      <c r="O439" s="15" t="e">
        <v>#VALUE!</v>
      </c>
      <c r="P439" s="15" t="e">
        <v>#VALUE!</v>
      </c>
      <c r="Q439" s="15" t="e">
        <v>#VALUE!</v>
      </c>
      <c r="R439" s="15" t="e">
        <v>#VALUE!</v>
      </c>
      <c r="S439" s="15" t="e">
        <v>#VALUE!</v>
      </c>
      <c r="T439" s="129">
        <v>0.1137578123896149</v>
      </c>
      <c r="U439" s="130" t="e">
        <f t="shared" si="27"/>
        <v>#VALUE!</v>
      </c>
      <c r="V439" s="129">
        <v>0.1137578123896149</v>
      </c>
      <c r="W439" s="130" t="e">
        <f t="shared" si="24"/>
        <v>#VALUE!</v>
      </c>
      <c r="X439" s="129">
        <v>0.1137578123896149</v>
      </c>
      <c r="Y439" s="130" t="e">
        <f t="shared" si="25"/>
        <v>#VALUE!</v>
      </c>
      <c r="Z439" s="129">
        <v>0.1137578123896149</v>
      </c>
      <c r="AA439" s="130" t="e">
        <f t="shared" si="26"/>
        <v>#VALUE!</v>
      </c>
    </row>
    <row r="440" spans="1:27" x14ac:dyDescent="0.3">
      <c r="A440">
        <v>431302</v>
      </c>
      <c r="B440">
        <v>17031431302</v>
      </c>
      <c r="C440">
        <v>17031</v>
      </c>
      <c r="D440">
        <v>2010</v>
      </c>
      <c r="E440">
        <v>43</v>
      </c>
      <c r="F440">
        <v>4657199.4317799797</v>
      </c>
      <c r="G440" s="43">
        <v>0.16705404297879289</v>
      </c>
      <c r="H440" s="58" t="str">
        <f>_xlfn.IFNA(
INDEX(CA!B$2:B$78,MATCH($E440,CA!$A$2:$A$78,0)),
"")</f>
        <v>SOUTH SHORE</v>
      </c>
      <c r="I440" s="60" t="str">
        <f>_xlfn.IFNA(
INDEX(CA!C$2:C$78,MATCH($E440,CA!$A$2:$A$78,0)),
"")</f>
        <v>6-B</v>
      </c>
      <c r="J440" s="60">
        <f>_xlfn.IFNA(
INDEX(CA!D$2:D$78,MATCH($E440,CA!$A$2:$A$78,0)),
"")</f>
        <v>6</v>
      </c>
      <c r="K440" s="58" t="str">
        <f>_xlfn.IFNA(
INDEX(CA!E$2:E$78,MATCH($E440,CA!$A$2:$A$78,0)),
"")</f>
        <v>SOUTH</v>
      </c>
      <c r="L440" s="15" t="e">
        <v>#VALUE!</v>
      </c>
      <c r="M440" s="15" t="e">
        <v>#VALUE!</v>
      </c>
      <c r="N440" s="15" t="e">
        <v>#VALUE!</v>
      </c>
      <c r="O440" s="15" t="e">
        <v>#VALUE!</v>
      </c>
      <c r="P440" s="15" t="e">
        <v>#VALUE!</v>
      </c>
      <c r="Q440" s="15" t="e">
        <v>#VALUE!</v>
      </c>
      <c r="R440" s="15" t="e">
        <v>#VALUE!</v>
      </c>
      <c r="S440" s="15" t="e">
        <v>#VALUE!</v>
      </c>
      <c r="T440" s="129">
        <v>0.15782842986518775</v>
      </c>
      <c r="U440" s="130" t="e">
        <f t="shared" si="27"/>
        <v>#VALUE!</v>
      </c>
      <c r="V440" s="129">
        <v>0.15782842986518775</v>
      </c>
      <c r="W440" s="130" t="e">
        <f t="shared" si="24"/>
        <v>#VALUE!</v>
      </c>
      <c r="X440" s="129">
        <v>0.15782842986518775</v>
      </c>
      <c r="Y440" s="130" t="e">
        <f t="shared" si="25"/>
        <v>#VALUE!</v>
      </c>
      <c r="Z440" s="129">
        <v>0.15782842986518775</v>
      </c>
      <c r="AA440" s="130" t="e">
        <f t="shared" si="26"/>
        <v>#VALUE!</v>
      </c>
    </row>
    <row r="441" spans="1:27" x14ac:dyDescent="0.3">
      <c r="A441">
        <v>430101</v>
      </c>
      <c r="B441">
        <v>17031430101</v>
      </c>
      <c r="C441">
        <v>17031</v>
      </c>
      <c r="D441">
        <v>2010</v>
      </c>
      <c r="E441">
        <v>43</v>
      </c>
      <c r="F441">
        <v>3587566.1781517402</v>
      </c>
      <c r="G441" s="43">
        <v>0.12868622941602603</v>
      </c>
      <c r="H441" s="58" t="str">
        <f>_xlfn.IFNA(
INDEX(CA!B$2:B$78,MATCH($E441,CA!$A$2:$A$78,0)),
"")</f>
        <v>SOUTH SHORE</v>
      </c>
      <c r="I441" s="60" t="str">
        <f>_xlfn.IFNA(
INDEX(CA!C$2:C$78,MATCH($E441,CA!$A$2:$A$78,0)),
"")</f>
        <v>6-B</v>
      </c>
      <c r="J441" s="60">
        <f>_xlfn.IFNA(
INDEX(CA!D$2:D$78,MATCH($E441,CA!$A$2:$A$78,0)),
"")</f>
        <v>6</v>
      </c>
      <c r="K441" s="58" t="str">
        <f>_xlfn.IFNA(
INDEX(CA!E$2:E$78,MATCH($E441,CA!$A$2:$A$78,0)),
"")</f>
        <v>SOUTH</v>
      </c>
      <c r="L441" s="15" t="e">
        <v>#VALUE!</v>
      </c>
      <c r="M441" s="15" t="e">
        <v>#VALUE!</v>
      </c>
      <c r="N441" s="15" t="e">
        <v>#VALUE!</v>
      </c>
      <c r="O441" s="15" t="e">
        <v>#VALUE!</v>
      </c>
      <c r="P441" s="15" t="e">
        <v>#VALUE!</v>
      </c>
      <c r="Q441" s="15" t="e">
        <v>#VALUE!</v>
      </c>
      <c r="R441" s="15" t="e">
        <v>#VALUE!</v>
      </c>
      <c r="S441" s="15" t="e">
        <v>#VALUE!</v>
      </c>
      <c r="T441" s="129">
        <v>0.12612152306927443</v>
      </c>
      <c r="U441" s="130" t="e">
        <f t="shared" si="27"/>
        <v>#VALUE!</v>
      </c>
      <c r="V441" s="129">
        <v>0.12612152306927443</v>
      </c>
      <c r="W441" s="130" t="e">
        <f t="shared" si="24"/>
        <v>#VALUE!</v>
      </c>
      <c r="X441" s="129">
        <v>0.12612152306927443</v>
      </c>
      <c r="Y441" s="130" t="e">
        <f t="shared" si="25"/>
        <v>#VALUE!</v>
      </c>
      <c r="Z441" s="129">
        <v>0.12612152306927443</v>
      </c>
      <c r="AA441" s="130" t="e">
        <f t="shared" si="26"/>
        <v>#VALUE!</v>
      </c>
    </row>
    <row r="442" spans="1:27" x14ac:dyDescent="0.3">
      <c r="A442">
        <v>430900</v>
      </c>
      <c r="B442">
        <v>17031430900</v>
      </c>
      <c r="C442">
        <v>17031</v>
      </c>
      <c r="D442">
        <v>2010</v>
      </c>
      <c r="E442">
        <v>43</v>
      </c>
      <c r="F442">
        <v>3622329.5771603598</v>
      </c>
      <c r="G442" s="43">
        <v>0.12993319477302714</v>
      </c>
      <c r="H442" s="58" t="str">
        <f>_xlfn.IFNA(
INDEX(CA!B$2:B$78,MATCH($E442,CA!$A$2:$A$78,0)),
"")</f>
        <v>SOUTH SHORE</v>
      </c>
      <c r="I442" s="60" t="str">
        <f>_xlfn.IFNA(
INDEX(CA!C$2:C$78,MATCH($E442,CA!$A$2:$A$78,0)),
"")</f>
        <v>6-B</v>
      </c>
      <c r="J442" s="60">
        <f>_xlfn.IFNA(
INDEX(CA!D$2:D$78,MATCH($E442,CA!$A$2:$A$78,0)),
"")</f>
        <v>6</v>
      </c>
      <c r="K442" s="58" t="str">
        <f>_xlfn.IFNA(
INDEX(CA!E$2:E$78,MATCH($E442,CA!$A$2:$A$78,0)),
"")</f>
        <v>SOUTH</v>
      </c>
      <c r="L442" s="15" t="e">
        <v>#VALUE!</v>
      </c>
      <c r="M442" s="15" t="e">
        <v>#VALUE!</v>
      </c>
      <c r="N442" s="15" t="e">
        <v>#VALUE!</v>
      </c>
      <c r="O442" s="15" t="e">
        <v>#VALUE!</v>
      </c>
      <c r="P442" s="15" t="e">
        <v>#VALUE!</v>
      </c>
      <c r="Q442" s="15" t="e">
        <v>#VALUE!</v>
      </c>
      <c r="R442" s="15" t="e">
        <v>#VALUE!</v>
      </c>
      <c r="S442" s="15" t="e">
        <v>#VALUE!</v>
      </c>
      <c r="T442" s="129">
        <v>0.12029672733814638</v>
      </c>
      <c r="U442" s="130" t="e">
        <f t="shared" si="27"/>
        <v>#VALUE!</v>
      </c>
      <c r="V442" s="129">
        <v>0.12029672733814638</v>
      </c>
      <c r="W442" s="130" t="e">
        <f t="shared" si="24"/>
        <v>#VALUE!</v>
      </c>
      <c r="X442" s="129">
        <v>0.12029672733814638</v>
      </c>
      <c r="Y442" s="130" t="e">
        <f t="shared" si="25"/>
        <v>#VALUE!</v>
      </c>
      <c r="Z442" s="129">
        <v>0.12029672733814638</v>
      </c>
      <c r="AA442" s="130" t="e">
        <f t="shared" si="26"/>
        <v>#VALUE!</v>
      </c>
    </row>
    <row r="443" spans="1:27" x14ac:dyDescent="0.3">
      <c r="A443">
        <v>431200</v>
      </c>
      <c r="B443">
        <v>17031431200</v>
      </c>
      <c r="C443">
        <v>17031</v>
      </c>
      <c r="D443">
        <v>2010</v>
      </c>
      <c r="E443">
        <v>43</v>
      </c>
      <c r="F443">
        <v>7054090.54404952</v>
      </c>
      <c r="G443" s="43">
        <v>0.25303068124603706</v>
      </c>
      <c r="H443" s="58" t="str">
        <f>_xlfn.IFNA(
INDEX(CA!B$2:B$78,MATCH($E443,CA!$A$2:$A$78,0)),
"")</f>
        <v>SOUTH SHORE</v>
      </c>
      <c r="I443" s="60" t="str">
        <f>_xlfn.IFNA(
INDEX(CA!C$2:C$78,MATCH($E443,CA!$A$2:$A$78,0)),
"")</f>
        <v>6-B</v>
      </c>
      <c r="J443" s="60">
        <f>_xlfn.IFNA(
INDEX(CA!D$2:D$78,MATCH($E443,CA!$A$2:$A$78,0)),
"")</f>
        <v>6</v>
      </c>
      <c r="K443" s="58" t="str">
        <f>_xlfn.IFNA(
INDEX(CA!E$2:E$78,MATCH($E443,CA!$A$2:$A$78,0)),
"")</f>
        <v>SOUTH</v>
      </c>
      <c r="L443" s="15" t="e">
        <v>#VALUE!</v>
      </c>
      <c r="M443" s="15" t="e">
        <v>#VALUE!</v>
      </c>
      <c r="N443" s="15" t="e">
        <v>#VALUE!</v>
      </c>
      <c r="O443" s="15" t="e">
        <v>#VALUE!</v>
      </c>
      <c r="P443" s="15" t="e">
        <v>#VALUE!</v>
      </c>
      <c r="Q443" s="15" t="e">
        <v>#VALUE!</v>
      </c>
      <c r="R443" s="15" t="e">
        <v>#VALUE!</v>
      </c>
      <c r="S443" s="15" t="e">
        <v>#VALUE!</v>
      </c>
      <c r="T443" s="129">
        <v>2.5746063857773043E-2</v>
      </c>
      <c r="U443" s="130" t="e">
        <f t="shared" si="27"/>
        <v>#VALUE!</v>
      </c>
      <c r="V443" s="129">
        <v>2.5746063857773043E-2</v>
      </c>
      <c r="W443" s="130" t="e">
        <f t="shared" si="24"/>
        <v>#VALUE!</v>
      </c>
      <c r="X443" s="129">
        <v>2.5746063857773043E-2</v>
      </c>
      <c r="Y443" s="130" t="e">
        <f t="shared" si="25"/>
        <v>#VALUE!</v>
      </c>
      <c r="Z443" s="129">
        <v>2.5746063857773043E-2</v>
      </c>
      <c r="AA443" s="130" t="e">
        <f t="shared" si="26"/>
        <v>#VALUE!</v>
      </c>
    </row>
    <row r="444" spans="1:27" x14ac:dyDescent="0.3">
      <c r="A444">
        <v>431400</v>
      </c>
      <c r="B444">
        <v>17031431400</v>
      </c>
      <c r="C444">
        <v>17031</v>
      </c>
      <c r="D444">
        <v>2010</v>
      </c>
      <c r="E444">
        <v>43</v>
      </c>
      <c r="F444">
        <v>11406665.9812604</v>
      </c>
      <c r="G444" s="43">
        <v>0.40915784195866334</v>
      </c>
      <c r="H444" s="58" t="str">
        <f>_xlfn.IFNA(
INDEX(CA!B$2:B$78,MATCH($E444,CA!$A$2:$A$78,0)),
"")</f>
        <v>SOUTH SHORE</v>
      </c>
      <c r="I444" s="60" t="str">
        <f>_xlfn.IFNA(
INDEX(CA!C$2:C$78,MATCH($E444,CA!$A$2:$A$78,0)),
"")</f>
        <v>6-B</v>
      </c>
      <c r="J444" s="60">
        <f>_xlfn.IFNA(
INDEX(CA!D$2:D$78,MATCH($E444,CA!$A$2:$A$78,0)),
"")</f>
        <v>6</v>
      </c>
      <c r="K444" s="58" t="str">
        <f>_xlfn.IFNA(
INDEX(CA!E$2:E$78,MATCH($E444,CA!$A$2:$A$78,0)),
"")</f>
        <v>SOUTH</v>
      </c>
      <c r="L444" s="15" t="e">
        <v>#VALUE!</v>
      </c>
      <c r="M444" s="15" t="e">
        <v>#VALUE!</v>
      </c>
      <c r="N444" s="15" t="e">
        <v>#VALUE!</v>
      </c>
      <c r="O444" s="15" t="e">
        <v>#VALUE!</v>
      </c>
      <c r="P444" s="15" t="e">
        <v>#VALUE!</v>
      </c>
      <c r="Q444" s="15" t="e">
        <v>#VALUE!</v>
      </c>
      <c r="R444" s="15" t="e">
        <v>#VALUE!</v>
      </c>
      <c r="S444" s="15" t="e">
        <v>#VALUE!</v>
      </c>
      <c r="T444" s="129">
        <v>0.40491297165856721</v>
      </c>
      <c r="U444" s="130" t="e">
        <f t="shared" si="27"/>
        <v>#VALUE!</v>
      </c>
      <c r="V444" s="129">
        <v>0.40491297165856721</v>
      </c>
      <c r="W444" s="130" t="e">
        <f t="shared" si="24"/>
        <v>#VALUE!</v>
      </c>
      <c r="X444" s="129">
        <v>0.40491297165856721</v>
      </c>
      <c r="Y444" s="130" t="e">
        <f t="shared" si="25"/>
        <v>#VALUE!</v>
      </c>
      <c r="Z444" s="129">
        <v>0.40491297165856721</v>
      </c>
      <c r="AA444" s="130" t="e">
        <f t="shared" si="26"/>
        <v>#VALUE!</v>
      </c>
    </row>
    <row r="445" spans="1:27" x14ac:dyDescent="0.3">
      <c r="A445">
        <v>430500</v>
      </c>
      <c r="B445">
        <v>17031430500</v>
      </c>
      <c r="C445">
        <v>17031</v>
      </c>
      <c r="D445">
        <v>2010</v>
      </c>
      <c r="E445">
        <v>43</v>
      </c>
      <c r="F445">
        <v>3549856.22469434</v>
      </c>
      <c r="G445" s="43">
        <v>0.12733357096154513</v>
      </c>
      <c r="H445" s="58" t="str">
        <f>_xlfn.IFNA(
INDEX(CA!B$2:B$78,MATCH($E445,CA!$A$2:$A$78,0)),
"")</f>
        <v>SOUTH SHORE</v>
      </c>
      <c r="I445" s="60" t="str">
        <f>_xlfn.IFNA(
INDEX(CA!C$2:C$78,MATCH($E445,CA!$A$2:$A$78,0)),
"")</f>
        <v>6-B</v>
      </c>
      <c r="J445" s="60">
        <f>_xlfn.IFNA(
INDEX(CA!D$2:D$78,MATCH($E445,CA!$A$2:$A$78,0)),
"")</f>
        <v>6</v>
      </c>
      <c r="K445" s="58" t="str">
        <f>_xlfn.IFNA(
INDEX(CA!E$2:E$78,MATCH($E445,CA!$A$2:$A$78,0)),
"")</f>
        <v>SOUTH</v>
      </c>
      <c r="L445" s="15" t="e">
        <v>#VALUE!</v>
      </c>
      <c r="M445" s="15" t="e">
        <v>#VALUE!</v>
      </c>
      <c r="N445" s="15" t="e">
        <v>#VALUE!</v>
      </c>
      <c r="O445" s="15" t="e">
        <v>#VALUE!</v>
      </c>
      <c r="P445" s="15" t="e">
        <v>#VALUE!</v>
      </c>
      <c r="Q445" s="15" t="e">
        <v>#VALUE!</v>
      </c>
      <c r="R445" s="15" t="e">
        <v>#VALUE!</v>
      </c>
      <c r="S445" s="15" t="e">
        <v>#VALUE!</v>
      </c>
      <c r="T445" s="129">
        <v>7.6462758270746514E-2</v>
      </c>
      <c r="U445" s="130" t="e">
        <f t="shared" si="27"/>
        <v>#VALUE!</v>
      </c>
      <c r="V445" s="129">
        <v>7.6462758270746514E-2</v>
      </c>
      <c r="W445" s="130" t="e">
        <f t="shared" si="24"/>
        <v>#VALUE!</v>
      </c>
      <c r="X445" s="129">
        <v>7.6462758270746514E-2</v>
      </c>
      <c r="Y445" s="130" t="e">
        <f t="shared" si="25"/>
        <v>#VALUE!</v>
      </c>
      <c r="Z445" s="129">
        <v>7.6462758270746514E-2</v>
      </c>
      <c r="AA445" s="130" t="e">
        <f t="shared" si="26"/>
        <v>#VALUE!</v>
      </c>
    </row>
    <row r="446" spans="1:27" x14ac:dyDescent="0.3">
      <c r="A446">
        <v>430800</v>
      </c>
      <c r="B446">
        <v>17031430800</v>
      </c>
      <c r="C446">
        <v>17031</v>
      </c>
      <c r="D446">
        <v>2010</v>
      </c>
      <c r="E446">
        <v>43</v>
      </c>
      <c r="F446">
        <v>3531335.1189786801</v>
      </c>
      <c r="G446" s="43">
        <v>0.12666921770900338</v>
      </c>
      <c r="H446" s="58" t="str">
        <f>_xlfn.IFNA(
INDEX(CA!B$2:B$78,MATCH($E446,CA!$A$2:$A$78,0)),
"")</f>
        <v>SOUTH SHORE</v>
      </c>
      <c r="I446" s="60" t="str">
        <f>_xlfn.IFNA(
INDEX(CA!C$2:C$78,MATCH($E446,CA!$A$2:$A$78,0)),
"")</f>
        <v>6-B</v>
      </c>
      <c r="J446" s="60">
        <f>_xlfn.IFNA(
INDEX(CA!D$2:D$78,MATCH($E446,CA!$A$2:$A$78,0)),
"")</f>
        <v>6</v>
      </c>
      <c r="K446" s="58" t="str">
        <f>_xlfn.IFNA(
INDEX(CA!E$2:E$78,MATCH($E446,CA!$A$2:$A$78,0)),
"")</f>
        <v>SOUTH</v>
      </c>
      <c r="L446" s="15" t="e">
        <v>#VALUE!</v>
      </c>
      <c r="M446" s="15" t="e">
        <v>#VALUE!</v>
      </c>
      <c r="N446" s="15" t="e">
        <v>#VALUE!</v>
      </c>
      <c r="O446" s="15" t="e">
        <v>#VALUE!</v>
      </c>
      <c r="P446" s="15" t="e">
        <v>#VALUE!</v>
      </c>
      <c r="Q446" s="15" t="e">
        <v>#VALUE!</v>
      </c>
      <c r="R446" s="15" t="e">
        <v>#VALUE!</v>
      </c>
      <c r="S446" s="15" t="e">
        <v>#VALUE!</v>
      </c>
      <c r="T446" s="129">
        <v>6.8123021283641103E-2</v>
      </c>
      <c r="U446" s="130" t="e">
        <f t="shared" si="27"/>
        <v>#VALUE!</v>
      </c>
      <c r="V446" s="129">
        <v>6.8123021283641103E-2</v>
      </c>
      <c r="W446" s="130" t="e">
        <f t="shared" si="24"/>
        <v>#VALUE!</v>
      </c>
      <c r="X446" s="129">
        <v>6.8123021283641103E-2</v>
      </c>
      <c r="Y446" s="130" t="e">
        <f t="shared" si="25"/>
        <v>#VALUE!</v>
      </c>
      <c r="Z446" s="129">
        <v>6.8123021283641103E-2</v>
      </c>
      <c r="AA446" s="130" t="e">
        <f t="shared" si="26"/>
        <v>#VALUE!</v>
      </c>
    </row>
    <row r="447" spans="1:27" x14ac:dyDescent="0.3">
      <c r="A447">
        <v>430200</v>
      </c>
      <c r="B447">
        <v>17031430200</v>
      </c>
      <c r="C447">
        <v>17031</v>
      </c>
      <c r="D447">
        <v>2010</v>
      </c>
      <c r="E447">
        <v>43</v>
      </c>
      <c r="F447">
        <v>7260195.1495246002</v>
      </c>
      <c r="G447" s="43">
        <v>0.26042366669265815</v>
      </c>
      <c r="H447" s="58" t="str">
        <f>_xlfn.IFNA(
INDEX(CA!B$2:B$78,MATCH($E447,CA!$A$2:$A$78,0)),
"")</f>
        <v>SOUTH SHORE</v>
      </c>
      <c r="I447" s="60" t="str">
        <f>_xlfn.IFNA(
INDEX(CA!C$2:C$78,MATCH($E447,CA!$A$2:$A$78,0)),
"")</f>
        <v>6-B</v>
      </c>
      <c r="J447" s="60">
        <f>_xlfn.IFNA(
INDEX(CA!D$2:D$78,MATCH($E447,CA!$A$2:$A$78,0)),
"")</f>
        <v>6</v>
      </c>
      <c r="K447" s="58" t="str">
        <f>_xlfn.IFNA(
INDEX(CA!E$2:E$78,MATCH($E447,CA!$A$2:$A$78,0)),
"")</f>
        <v>SOUTH</v>
      </c>
      <c r="L447" s="15" t="e">
        <v>#VALUE!</v>
      </c>
      <c r="M447" s="15" t="e">
        <v>#VALUE!</v>
      </c>
      <c r="N447" s="15" t="e">
        <v>#VALUE!</v>
      </c>
      <c r="O447" s="15" t="e">
        <v>#VALUE!</v>
      </c>
      <c r="P447" s="15" t="e">
        <v>#VALUE!</v>
      </c>
      <c r="Q447" s="15" t="e">
        <v>#VALUE!</v>
      </c>
      <c r="R447" s="15" t="e">
        <v>#VALUE!</v>
      </c>
      <c r="S447" s="15" t="e">
        <v>#VALUE!</v>
      </c>
      <c r="T447" s="129">
        <v>0.17276962639657584</v>
      </c>
      <c r="U447" s="130" t="e">
        <f t="shared" si="27"/>
        <v>#VALUE!</v>
      </c>
      <c r="V447" s="129">
        <v>0.17276962639657584</v>
      </c>
      <c r="W447" s="130" t="e">
        <f t="shared" si="24"/>
        <v>#VALUE!</v>
      </c>
      <c r="X447" s="129">
        <v>0.17276962639657584</v>
      </c>
      <c r="Y447" s="130" t="e">
        <f t="shared" si="25"/>
        <v>#VALUE!</v>
      </c>
      <c r="Z447" s="129">
        <v>0.17276962639657584</v>
      </c>
      <c r="AA447" s="130" t="e">
        <f t="shared" si="26"/>
        <v>#VALUE!</v>
      </c>
    </row>
    <row r="448" spans="1:27" x14ac:dyDescent="0.3">
      <c r="A448">
        <v>431301</v>
      </c>
      <c r="B448">
        <v>17031431301</v>
      </c>
      <c r="C448">
        <v>17031</v>
      </c>
      <c r="D448">
        <v>2010</v>
      </c>
      <c r="E448">
        <v>43</v>
      </c>
      <c r="F448">
        <v>4348237.1367496001</v>
      </c>
      <c r="G448" s="43">
        <v>0.15597154559621787</v>
      </c>
      <c r="H448" s="58" t="str">
        <f>_xlfn.IFNA(
INDEX(CA!B$2:B$78,MATCH($E448,CA!$A$2:$A$78,0)),
"")</f>
        <v>SOUTH SHORE</v>
      </c>
      <c r="I448" s="60" t="str">
        <f>_xlfn.IFNA(
INDEX(CA!C$2:C$78,MATCH($E448,CA!$A$2:$A$78,0)),
"")</f>
        <v>6-B</v>
      </c>
      <c r="J448" s="60">
        <f>_xlfn.IFNA(
INDEX(CA!D$2:D$78,MATCH($E448,CA!$A$2:$A$78,0)),
"")</f>
        <v>6</v>
      </c>
      <c r="K448" s="58" t="str">
        <f>_xlfn.IFNA(
INDEX(CA!E$2:E$78,MATCH($E448,CA!$A$2:$A$78,0)),
"")</f>
        <v>SOUTH</v>
      </c>
      <c r="L448" s="15" t="e">
        <v>#VALUE!</v>
      </c>
      <c r="M448" s="15" t="e">
        <v>#VALUE!</v>
      </c>
      <c r="N448" s="15" t="e">
        <v>#VALUE!</v>
      </c>
      <c r="O448" s="15" t="e">
        <v>#VALUE!</v>
      </c>
      <c r="P448" s="15" t="e">
        <v>#VALUE!</v>
      </c>
      <c r="Q448" s="15" t="e">
        <v>#VALUE!</v>
      </c>
      <c r="R448" s="15" t="e">
        <v>#VALUE!</v>
      </c>
      <c r="S448" s="15" t="e">
        <v>#VALUE!</v>
      </c>
      <c r="T448" s="129">
        <v>0.10329554628549127</v>
      </c>
      <c r="U448" s="130" t="e">
        <f t="shared" si="27"/>
        <v>#VALUE!</v>
      </c>
      <c r="V448" s="129">
        <v>0.10329554628549127</v>
      </c>
      <c r="W448" s="130" t="e">
        <f t="shared" si="24"/>
        <v>#VALUE!</v>
      </c>
      <c r="X448" s="129">
        <v>0.10329554628549127</v>
      </c>
      <c r="Y448" s="130" t="e">
        <f t="shared" si="25"/>
        <v>#VALUE!</v>
      </c>
      <c r="Z448" s="129">
        <v>0.10329554628549127</v>
      </c>
      <c r="AA448" s="130" t="e">
        <f t="shared" si="26"/>
        <v>#VALUE!</v>
      </c>
    </row>
    <row r="449" spans="1:27" x14ac:dyDescent="0.3">
      <c r="A449">
        <v>430700</v>
      </c>
      <c r="B449">
        <v>17031430700</v>
      </c>
      <c r="C449">
        <v>17031</v>
      </c>
      <c r="D449">
        <v>2010</v>
      </c>
      <c r="E449">
        <v>43</v>
      </c>
      <c r="F449">
        <v>2046756.3123401201</v>
      </c>
      <c r="G449" s="43">
        <v>7.3417280487406741E-2</v>
      </c>
      <c r="H449" s="58" t="str">
        <f>_xlfn.IFNA(
INDEX(CA!B$2:B$78,MATCH($E449,CA!$A$2:$A$78,0)),
"")</f>
        <v>SOUTH SHORE</v>
      </c>
      <c r="I449" s="60" t="str">
        <f>_xlfn.IFNA(
INDEX(CA!C$2:C$78,MATCH($E449,CA!$A$2:$A$78,0)),
"")</f>
        <v>6-B</v>
      </c>
      <c r="J449" s="60">
        <f>_xlfn.IFNA(
INDEX(CA!D$2:D$78,MATCH($E449,CA!$A$2:$A$78,0)),
"")</f>
        <v>6</v>
      </c>
      <c r="K449" s="58" t="str">
        <f>_xlfn.IFNA(
INDEX(CA!E$2:E$78,MATCH($E449,CA!$A$2:$A$78,0)),
"")</f>
        <v>SOUTH</v>
      </c>
      <c r="L449" s="15" t="e">
        <v>#VALUE!</v>
      </c>
      <c r="M449" s="15" t="e">
        <v>#VALUE!</v>
      </c>
      <c r="N449" s="15" t="e">
        <v>#VALUE!</v>
      </c>
      <c r="O449" s="15" t="e">
        <v>#VALUE!</v>
      </c>
      <c r="P449" s="15" t="e">
        <v>#VALUE!</v>
      </c>
      <c r="Q449" s="15" t="e">
        <v>#VALUE!</v>
      </c>
      <c r="R449" s="15" t="e">
        <v>#VALUE!</v>
      </c>
      <c r="S449" s="15" t="e">
        <v>#VALUE!</v>
      </c>
      <c r="T449" s="129">
        <v>7.341727907217882E-2</v>
      </c>
      <c r="U449" s="130" t="e">
        <f t="shared" si="27"/>
        <v>#VALUE!</v>
      </c>
      <c r="V449" s="129">
        <v>7.341727907217882E-2</v>
      </c>
      <c r="W449" s="130" t="e">
        <f t="shared" si="24"/>
        <v>#VALUE!</v>
      </c>
      <c r="X449" s="129">
        <v>7.341727907217882E-2</v>
      </c>
      <c r="Y449" s="130" t="e">
        <f t="shared" si="25"/>
        <v>#VALUE!</v>
      </c>
      <c r="Z449" s="129">
        <v>7.341727907217882E-2</v>
      </c>
      <c r="AA449" s="130" t="e">
        <f t="shared" si="26"/>
        <v>#VALUE!</v>
      </c>
    </row>
    <row r="450" spans="1:27" x14ac:dyDescent="0.3">
      <c r="A450">
        <v>430300</v>
      </c>
      <c r="B450">
        <v>17031430300</v>
      </c>
      <c r="C450">
        <v>17031</v>
      </c>
      <c r="D450">
        <v>2010</v>
      </c>
      <c r="E450">
        <v>43</v>
      </c>
      <c r="F450">
        <v>4404676.8118453799</v>
      </c>
      <c r="G450" s="43">
        <v>0.15799604036979811</v>
      </c>
      <c r="H450" s="58" t="str">
        <f>_xlfn.IFNA(
INDEX(CA!B$2:B$78,MATCH($E450,CA!$A$2:$A$78,0)),
"")</f>
        <v>SOUTH SHORE</v>
      </c>
      <c r="I450" s="60" t="str">
        <f>_xlfn.IFNA(
INDEX(CA!C$2:C$78,MATCH($E450,CA!$A$2:$A$78,0)),
"")</f>
        <v>6-B</v>
      </c>
      <c r="J450" s="60">
        <f>_xlfn.IFNA(
INDEX(CA!D$2:D$78,MATCH($E450,CA!$A$2:$A$78,0)),
"")</f>
        <v>6</v>
      </c>
      <c r="K450" s="58" t="str">
        <f>_xlfn.IFNA(
INDEX(CA!E$2:E$78,MATCH($E450,CA!$A$2:$A$78,0)),
"")</f>
        <v>SOUTH</v>
      </c>
      <c r="L450" s="15" t="e">
        <v>#VALUE!</v>
      </c>
      <c r="M450" s="15" t="e">
        <v>#VALUE!</v>
      </c>
      <c r="N450" s="15" t="e">
        <v>#VALUE!</v>
      </c>
      <c r="O450" s="15" t="e">
        <v>#VALUE!</v>
      </c>
      <c r="P450" s="15" t="e">
        <v>#VALUE!</v>
      </c>
      <c r="Q450" s="15" t="e">
        <v>#VALUE!</v>
      </c>
      <c r="R450" s="15" t="e">
        <v>#VALUE!</v>
      </c>
      <c r="S450" s="15" t="e">
        <v>#VALUE!</v>
      </c>
      <c r="T450" s="129">
        <v>0.11792511127936789</v>
      </c>
      <c r="U450" s="130" t="e">
        <f t="shared" si="27"/>
        <v>#VALUE!</v>
      </c>
      <c r="V450" s="129">
        <v>0.11792511127936789</v>
      </c>
      <c r="W450" s="130" t="e">
        <f t="shared" si="24"/>
        <v>#VALUE!</v>
      </c>
      <c r="X450" s="129">
        <v>0.11792511127936789</v>
      </c>
      <c r="Y450" s="130" t="e">
        <f t="shared" si="25"/>
        <v>#VALUE!</v>
      </c>
      <c r="Z450" s="129">
        <v>0.11792511127936789</v>
      </c>
      <c r="AA450" s="130" t="e">
        <f t="shared" si="26"/>
        <v>#VALUE!</v>
      </c>
    </row>
    <row r="451" spans="1:27" x14ac:dyDescent="0.3">
      <c r="A451">
        <v>430102</v>
      </c>
      <c r="B451">
        <v>17031430102</v>
      </c>
      <c r="C451">
        <v>17031</v>
      </c>
      <c r="D451">
        <v>2010</v>
      </c>
      <c r="E451">
        <v>43</v>
      </c>
      <c r="F451">
        <v>4810032.5558020603</v>
      </c>
      <c r="G451" s="43">
        <v>0.17253617696144902</v>
      </c>
      <c r="H451" s="58" t="str">
        <f>_xlfn.IFNA(
INDEX(CA!B$2:B$78,MATCH($E451,CA!$A$2:$A$78,0)),
"")</f>
        <v>SOUTH SHORE</v>
      </c>
      <c r="I451" s="60" t="str">
        <f>_xlfn.IFNA(
INDEX(CA!C$2:C$78,MATCH($E451,CA!$A$2:$A$78,0)),
"")</f>
        <v>6-B</v>
      </c>
      <c r="J451" s="60">
        <f>_xlfn.IFNA(
INDEX(CA!D$2:D$78,MATCH($E451,CA!$A$2:$A$78,0)),
"")</f>
        <v>6</v>
      </c>
      <c r="K451" s="58" t="str">
        <f>_xlfn.IFNA(
INDEX(CA!E$2:E$78,MATCH($E451,CA!$A$2:$A$78,0)),
"")</f>
        <v>SOUTH</v>
      </c>
      <c r="L451" s="15" t="e">
        <v>#VALUE!</v>
      </c>
      <c r="M451" s="15" t="e">
        <v>#VALUE!</v>
      </c>
      <c r="N451" s="15" t="e">
        <v>#VALUE!</v>
      </c>
      <c r="O451" s="15" t="e">
        <v>#VALUE!</v>
      </c>
      <c r="P451" s="15" t="e">
        <v>#VALUE!</v>
      </c>
      <c r="Q451" s="15" t="e">
        <v>#VALUE!</v>
      </c>
      <c r="R451" s="15" t="e">
        <v>#VALUE!</v>
      </c>
      <c r="S451" s="15" t="e">
        <v>#VALUE!</v>
      </c>
      <c r="T451" s="129">
        <v>0.17253617725102696</v>
      </c>
      <c r="U451" s="130" t="e">
        <f t="shared" si="27"/>
        <v>#VALUE!</v>
      </c>
      <c r="V451" s="129">
        <v>0.17253617725102696</v>
      </c>
      <c r="W451" s="130" t="e">
        <f t="shared" si="24"/>
        <v>#VALUE!</v>
      </c>
      <c r="X451" s="129">
        <v>0.17253617725102696</v>
      </c>
      <c r="Y451" s="130" t="e">
        <f t="shared" si="25"/>
        <v>#VALUE!</v>
      </c>
      <c r="Z451" s="129">
        <v>0.17253617725102696</v>
      </c>
      <c r="AA451" s="130" t="e">
        <f t="shared" si="26"/>
        <v>#VALUE!</v>
      </c>
    </row>
    <row r="452" spans="1:27" x14ac:dyDescent="0.3">
      <c r="A452">
        <v>440600</v>
      </c>
      <c r="B452">
        <v>17031440600</v>
      </c>
      <c r="C452">
        <v>17031</v>
      </c>
      <c r="D452">
        <v>2010</v>
      </c>
      <c r="E452">
        <v>44</v>
      </c>
      <c r="F452">
        <v>7168783.9985540798</v>
      </c>
      <c r="G452" s="43">
        <v>0.25714474283151401</v>
      </c>
      <c r="H452" s="58" t="str">
        <f>_xlfn.IFNA(
INDEX(CA!B$2:B$78,MATCH($E452,CA!$A$2:$A$78,0)),
"")</f>
        <v>CHATHAM</v>
      </c>
      <c r="I452" s="60" t="str">
        <f>_xlfn.IFNA(
INDEX(CA!C$2:C$78,MATCH($E452,CA!$A$2:$A$78,0)),
"")</f>
        <v>6-C</v>
      </c>
      <c r="J452" s="60">
        <f>_xlfn.IFNA(
INDEX(CA!D$2:D$78,MATCH($E452,CA!$A$2:$A$78,0)),
"")</f>
        <v>6</v>
      </c>
      <c r="K452" s="58" t="str">
        <f>_xlfn.IFNA(
INDEX(CA!E$2:E$78,MATCH($E452,CA!$A$2:$A$78,0)),
"")</f>
        <v>SOUTH</v>
      </c>
      <c r="L452" s="15" t="e">
        <v>#VALUE!</v>
      </c>
      <c r="M452" s="15" t="e">
        <v>#VALUE!</v>
      </c>
      <c r="N452" s="15" t="e">
        <v>#VALUE!</v>
      </c>
      <c r="O452" s="15" t="e">
        <v>#VALUE!</v>
      </c>
      <c r="P452" s="15" t="e">
        <v>#VALUE!</v>
      </c>
      <c r="Q452" s="15" t="e">
        <v>#VALUE!</v>
      </c>
      <c r="R452" s="15" t="e">
        <v>#VALUE!</v>
      </c>
      <c r="S452" s="15" t="e">
        <v>#VALUE!</v>
      </c>
      <c r="T452" s="129">
        <v>0</v>
      </c>
      <c r="U452" s="130" t="e">
        <f t="shared" si="27"/>
        <v>#VALUE!</v>
      </c>
      <c r="V452" s="129">
        <v>0</v>
      </c>
      <c r="W452" s="130" t="e">
        <f t="shared" si="24"/>
        <v>#VALUE!</v>
      </c>
      <c r="X452" s="129">
        <v>0</v>
      </c>
      <c r="Y452" s="130" t="e">
        <f t="shared" si="25"/>
        <v>#VALUE!</v>
      </c>
      <c r="Z452" s="129">
        <v>0</v>
      </c>
      <c r="AA452" s="130" t="e">
        <f t="shared" si="26"/>
        <v>#VALUE!</v>
      </c>
    </row>
    <row r="453" spans="1:27" x14ac:dyDescent="0.3">
      <c r="A453">
        <v>440300</v>
      </c>
      <c r="B453">
        <v>17031440300</v>
      </c>
      <c r="C453">
        <v>17031</v>
      </c>
      <c r="D453">
        <v>2010</v>
      </c>
      <c r="E453">
        <v>44</v>
      </c>
      <c r="F453">
        <v>13939421.574078601</v>
      </c>
      <c r="G453" s="43">
        <v>0.50000794787644198</v>
      </c>
      <c r="H453" s="58" t="str">
        <f>_xlfn.IFNA(
INDEX(CA!B$2:B$78,MATCH($E453,CA!$A$2:$A$78,0)),
"")</f>
        <v>CHATHAM</v>
      </c>
      <c r="I453" s="60" t="str">
        <f>_xlfn.IFNA(
INDEX(CA!C$2:C$78,MATCH($E453,CA!$A$2:$A$78,0)),
"")</f>
        <v>6-C</v>
      </c>
      <c r="J453" s="60">
        <f>_xlfn.IFNA(
INDEX(CA!D$2:D$78,MATCH($E453,CA!$A$2:$A$78,0)),
"")</f>
        <v>6</v>
      </c>
      <c r="K453" s="58" t="str">
        <f>_xlfn.IFNA(
INDEX(CA!E$2:E$78,MATCH($E453,CA!$A$2:$A$78,0)),
"")</f>
        <v>SOUTH</v>
      </c>
      <c r="L453" s="15" t="e">
        <v>#VALUE!</v>
      </c>
      <c r="M453" s="15" t="e">
        <v>#VALUE!</v>
      </c>
      <c r="N453" s="15" t="e">
        <v>#VALUE!</v>
      </c>
      <c r="O453" s="15" t="e">
        <v>#VALUE!</v>
      </c>
      <c r="P453" s="15" t="e">
        <v>#VALUE!</v>
      </c>
      <c r="Q453" s="15" t="e">
        <v>#VALUE!</v>
      </c>
      <c r="R453" s="15" t="e">
        <v>#VALUE!</v>
      </c>
      <c r="S453" s="15" t="e">
        <v>#VALUE!</v>
      </c>
      <c r="T453" s="129">
        <v>0.49762164392453301</v>
      </c>
      <c r="U453" s="130" t="e">
        <f t="shared" si="27"/>
        <v>#VALUE!</v>
      </c>
      <c r="V453" s="129">
        <v>0.49762159716121446</v>
      </c>
      <c r="W453" s="130" t="e">
        <f t="shared" si="24"/>
        <v>#VALUE!</v>
      </c>
      <c r="X453" s="129">
        <v>0.49762159716121446</v>
      </c>
      <c r="Y453" s="130" t="e">
        <f t="shared" si="25"/>
        <v>#VALUE!</v>
      </c>
      <c r="Z453" s="129">
        <v>0.49762159716121446</v>
      </c>
      <c r="AA453" s="130" t="e">
        <f t="shared" si="26"/>
        <v>#VALUE!</v>
      </c>
    </row>
    <row r="454" spans="1:27" x14ac:dyDescent="0.3">
      <c r="A454">
        <v>440201</v>
      </c>
      <c r="B454">
        <v>17031440201</v>
      </c>
      <c r="C454">
        <v>17031</v>
      </c>
      <c r="D454">
        <v>2010</v>
      </c>
      <c r="E454">
        <v>44</v>
      </c>
      <c r="F454">
        <v>5721998.9432097897</v>
      </c>
      <c r="G454" s="43">
        <v>0.2052484698981932</v>
      </c>
      <c r="H454" s="58" t="str">
        <f>_xlfn.IFNA(
INDEX(CA!B$2:B$78,MATCH($E454,CA!$A$2:$A$78,0)),
"")</f>
        <v>CHATHAM</v>
      </c>
      <c r="I454" s="60" t="str">
        <f>_xlfn.IFNA(
INDEX(CA!C$2:C$78,MATCH($E454,CA!$A$2:$A$78,0)),
"")</f>
        <v>6-C</v>
      </c>
      <c r="J454" s="60">
        <f>_xlfn.IFNA(
INDEX(CA!D$2:D$78,MATCH($E454,CA!$A$2:$A$78,0)),
"")</f>
        <v>6</v>
      </c>
      <c r="K454" s="58" t="str">
        <f>_xlfn.IFNA(
INDEX(CA!E$2:E$78,MATCH($E454,CA!$A$2:$A$78,0)),
"")</f>
        <v>SOUTH</v>
      </c>
      <c r="L454" s="15" t="e">
        <v>#VALUE!</v>
      </c>
      <c r="M454" s="15" t="e">
        <v>#VALUE!</v>
      </c>
      <c r="N454" s="15" t="e">
        <v>#VALUE!</v>
      </c>
      <c r="O454" s="15" t="e">
        <v>#VALUE!</v>
      </c>
      <c r="P454" s="15" t="e">
        <v>#VALUE!</v>
      </c>
      <c r="Q454" s="15" t="e">
        <v>#VALUE!</v>
      </c>
      <c r="R454" s="15" t="e">
        <v>#VALUE!</v>
      </c>
      <c r="S454" s="15" t="e">
        <v>#VALUE!</v>
      </c>
      <c r="T454" s="129">
        <v>0.20292173420968027</v>
      </c>
      <c r="U454" s="130" t="e">
        <f t="shared" si="27"/>
        <v>#VALUE!</v>
      </c>
      <c r="V454" s="129">
        <v>0.18699610915785445</v>
      </c>
      <c r="W454" s="130" t="e">
        <f t="shared" ref="W454:W517" si="28">(V454/$G454)*$L454</f>
        <v>#VALUE!</v>
      </c>
      <c r="X454" s="129">
        <v>0.18699610915785445</v>
      </c>
      <c r="Y454" s="130" t="e">
        <f t="shared" ref="Y454:Y517" si="29">(X454/$G454)*$L454</f>
        <v>#VALUE!</v>
      </c>
      <c r="Z454" s="129">
        <v>0.18699610915785445</v>
      </c>
      <c r="AA454" s="130" t="e">
        <f t="shared" ref="AA454:AA517" si="30">(Z454/$G454)*$L454</f>
        <v>#VALUE!</v>
      </c>
    </row>
    <row r="455" spans="1:27" x14ac:dyDescent="0.3">
      <c r="A455">
        <v>440900</v>
      </c>
      <c r="B455">
        <v>17031440900</v>
      </c>
      <c r="C455">
        <v>17031</v>
      </c>
      <c r="D455">
        <v>2010</v>
      </c>
      <c r="E455">
        <v>44</v>
      </c>
      <c r="F455">
        <v>7994026.9193182504</v>
      </c>
      <c r="G455" s="43">
        <v>0.28674625944524257</v>
      </c>
      <c r="H455" s="58" t="str">
        <f>_xlfn.IFNA(
INDEX(CA!B$2:B$78,MATCH($E455,CA!$A$2:$A$78,0)),
"")</f>
        <v>CHATHAM</v>
      </c>
      <c r="I455" s="60" t="str">
        <f>_xlfn.IFNA(
INDEX(CA!C$2:C$78,MATCH($E455,CA!$A$2:$A$78,0)),
"")</f>
        <v>6-C</v>
      </c>
      <c r="J455" s="60">
        <f>_xlfn.IFNA(
INDEX(CA!D$2:D$78,MATCH($E455,CA!$A$2:$A$78,0)),
"")</f>
        <v>6</v>
      </c>
      <c r="K455" s="58" t="str">
        <f>_xlfn.IFNA(
INDEX(CA!E$2:E$78,MATCH($E455,CA!$A$2:$A$78,0)),
"")</f>
        <v>SOUTH</v>
      </c>
      <c r="L455" s="15" t="e">
        <v>#VALUE!</v>
      </c>
      <c r="M455" s="15" t="e">
        <v>#VALUE!</v>
      </c>
      <c r="N455" s="15" t="e">
        <v>#VALUE!</v>
      </c>
      <c r="O455" s="15" t="e">
        <v>#VALUE!</v>
      </c>
      <c r="P455" s="15" t="e">
        <v>#VALUE!</v>
      </c>
      <c r="Q455" s="15" t="e">
        <v>#VALUE!</v>
      </c>
      <c r="R455" s="15" t="e">
        <v>#VALUE!</v>
      </c>
      <c r="S455" s="15" t="e">
        <v>#VALUE!</v>
      </c>
      <c r="T455" s="129">
        <v>0.23138886036821049</v>
      </c>
      <c r="U455" s="130" t="e">
        <f t="shared" ref="U455:U518" si="31">(T455/$G455)*$L455</f>
        <v>#VALUE!</v>
      </c>
      <c r="V455" s="129">
        <v>0.11571441075582817</v>
      </c>
      <c r="W455" s="130" t="e">
        <f t="shared" si="28"/>
        <v>#VALUE!</v>
      </c>
      <c r="X455" s="129">
        <v>0.11571441075582817</v>
      </c>
      <c r="Y455" s="130" t="e">
        <f t="shared" si="29"/>
        <v>#VALUE!</v>
      </c>
      <c r="Z455" s="129">
        <v>0.11571441075582817</v>
      </c>
      <c r="AA455" s="130" t="e">
        <f t="shared" si="30"/>
        <v>#VALUE!</v>
      </c>
    </row>
    <row r="456" spans="1:27" x14ac:dyDescent="0.3">
      <c r="A456">
        <v>842400</v>
      </c>
      <c r="B456">
        <v>17031842400</v>
      </c>
      <c r="C456">
        <v>17031</v>
      </c>
      <c r="D456">
        <v>2010</v>
      </c>
      <c r="E456">
        <v>44</v>
      </c>
      <c r="F456">
        <v>21183101.245430201</v>
      </c>
      <c r="G456" s="43">
        <v>0.75983920330543364</v>
      </c>
      <c r="H456" s="58" t="str">
        <f>_xlfn.IFNA(
INDEX(CA!B$2:B$78,MATCH($E456,CA!$A$2:$A$78,0)),
"")</f>
        <v>CHATHAM</v>
      </c>
      <c r="I456" s="60" t="str">
        <f>_xlfn.IFNA(
INDEX(CA!C$2:C$78,MATCH($E456,CA!$A$2:$A$78,0)),
"")</f>
        <v>6-C</v>
      </c>
      <c r="J456" s="60">
        <f>_xlfn.IFNA(
INDEX(CA!D$2:D$78,MATCH($E456,CA!$A$2:$A$78,0)),
"")</f>
        <v>6</v>
      </c>
      <c r="K456" s="58" t="str">
        <f>_xlfn.IFNA(
INDEX(CA!E$2:E$78,MATCH($E456,CA!$A$2:$A$78,0)),
"")</f>
        <v>SOUTH</v>
      </c>
      <c r="L456" s="15" t="e">
        <v>#VALUE!</v>
      </c>
      <c r="M456" s="15" t="e">
        <v>#VALUE!</v>
      </c>
      <c r="N456" s="15" t="e">
        <v>#VALUE!</v>
      </c>
      <c r="O456" s="15" t="e">
        <v>#VALUE!</v>
      </c>
      <c r="P456" s="15" t="e">
        <v>#VALUE!</v>
      </c>
      <c r="Q456" s="15" t="e">
        <v>#VALUE!</v>
      </c>
      <c r="R456" s="15" t="e">
        <v>#VALUE!</v>
      </c>
      <c r="S456" s="15" t="e">
        <v>#VALUE!</v>
      </c>
      <c r="T456" s="129">
        <v>0.62882998890562947</v>
      </c>
      <c r="U456" s="130" t="e">
        <f t="shared" si="31"/>
        <v>#VALUE!</v>
      </c>
      <c r="V456" s="129">
        <v>0.62882998890562947</v>
      </c>
      <c r="W456" s="130" t="e">
        <f t="shared" si="28"/>
        <v>#VALUE!</v>
      </c>
      <c r="X456" s="129">
        <v>0.62882998890562947</v>
      </c>
      <c r="Y456" s="130" t="e">
        <f t="shared" si="29"/>
        <v>#VALUE!</v>
      </c>
      <c r="Z456" s="129">
        <v>0.62882998890562947</v>
      </c>
      <c r="AA456" s="130" t="e">
        <f t="shared" si="30"/>
        <v>#VALUE!</v>
      </c>
    </row>
    <row r="457" spans="1:27" x14ac:dyDescent="0.3">
      <c r="A457">
        <v>440700</v>
      </c>
      <c r="B457">
        <v>17031440700</v>
      </c>
      <c r="C457">
        <v>17031</v>
      </c>
      <c r="D457">
        <v>2010</v>
      </c>
      <c r="E457">
        <v>44</v>
      </c>
      <c r="F457">
        <v>3524765.7823505099</v>
      </c>
      <c r="G457" s="43">
        <v>0.1264335751818795</v>
      </c>
      <c r="H457" s="58" t="str">
        <f>_xlfn.IFNA(
INDEX(CA!B$2:B$78,MATCH($E457,CA!$A$2:$A$78,0)),
"")</f>
        <v>CHATHAM</v>
      </c>
      <c r="I457" s="60" t="str">
        <f>_xlfn.IFNA(
INDEX(CA!C$2:C$78,MATCH($E457,CA!$A$2:$A$78,0)),
"")</f>
        <v>6-C</v>
      </c>
      <c r="J457" s="60">
        <f>_xlfn.IFNA(
INDEX(CA!D$2:D$78,MATCH($E457,CA!$A$2:$A$78,0)),
"")</f>
        <v>6</v>
      </c>
      <c r="K457" s="58" t="str">
        <f>_xlfn.IFNA(
INDEX(CA!E$2:E$78,MATCH($E457,CA!$A$2:$A$78,0)),
"")</f>
        <v>SOUTH</v>
      </c>
      <c r="L457" s="15" t="e">
        <v>#VALUE!</v>
      </c>
      <c r="M457" s="15" t="e">
        <v>#VALUE!</v>
      </c>
      <c r="N457" s="15" t="e">
        <v>#VALUE!</v>
      </c>
      <c r="O457" s="15" t="e">
        <v>#VALUE!</v>
      </c>
      <c r="P457" s="15" t="e">
        <v>#VALUE!</v>
      </c>
      <c r="Q457" s="15" t="e">
        <v>#VALUE!</v>
      </c>
      <c r="R457" s="15" t="e">
        <v>#VALUE!</v>
      </c>
      <c r="S457" s="15" t="e">
        <v>#VALUE!</v>
      </c>
      <c r="T457" s="129">
        <v>0</v>
      </c>
      <c r="U457" s="130" t="e">
        <f t="shared" si="31"/>
        <v>#VALUE!</v>
      </c>
      <c r="V457" s="129">
        <v>0</v>
      </c>
      <c r="W457" s="130" t="e">
        <f t="shared" si="28"/>
        <v>#VALUE!</v>
      </c>
      <c r="X457" s="129">
        <v>0</v>
      </c>
      <c r="Y457" s="130" t="e">
        <f t="shared" si="29"/>
        <v>#VALUE!</v>
      </c>
      <c r="Z457" s="129">
        <v>0</v>
      </c>
      <c r="AA457" s="130" t="e">
        <f t="shared" si="30"/>
        <v>#VALUE!</v>
      </c>
    </row>
    <row r="458" spans="1:27" x14ac:dyDescent="0.3">
      <c r="A458">
        <v>440800</v>
      </c>
      <c r="B458">
        <v>17031440800</v>
      </c>
      <c r="C458">
        <v>17031</v>
      </c>
      <c r="D458">
        <v>2010</v>
      </c>
      <c r="E458">
        <v>44</v>
      </c>
      <c r="F458">
        <v>3084746.87559812</v>
      </c>
      <c r="G458" s="43">
        <v>0.1106500687126277</v>
      </c>
      <c r="H458" s="58" t="str">
        <f>_xlfn.IFNA(
INDEX(CA!B$2:B$78,MATCH($E458,CA!$A$2:$A$78,0)),
"")</f>
        <v>CHATHAM</v>
      </c>
      <c r="I458" s="60" t="str">
        <f>_xlfn.IFNA(
INDEX(CA!C$2:C$78,MATCH($E458,CA!$A$2:$A$78,0)),
"")</f>
        <v>6-C</v>
      </c>
      <c r="J458" s="60">
        <f>_xlfn.IFNA(
INDEX(CA!D$2:D$78,MATCH($E458,CA!$A$2:$A$78,0)),
"")</f>
        <v>6</v>
      </c>
      <c r="K458" s="58" t="str">
        <f>_xlfn.IFNA(
INDEX(CA!E$2:E$78,MATCH($E458,CA!$A$2:$A$78,0)),
"")</f>
        <v>SOUTH</v>
      </c>
      <c r="L458" s="15" t="e">
        <v>#VALUE!</v>
      </c>
      <c r="M458" s="15" t="e">
        <v>#VALUE!</v>
      </c>
      <c r="N458" s="15" t="e">
        <v>#VALUE!</v>
      </c>
      <c r="O458" s="15" t="e">
        <v>#VALUE!</v>
      </c>
      <c r="P458" s="15" t="e">
        <v>#VALUE!</v>
      </c>
      <c r="Q458" s="15" t="e">
        <v>#VALUE!</v>
      </c>
      <c r="R458" s="15" t="e">
        <v>#VALUE!</v>
      </c>
      <c r="S458" s="15" t="e">
        <v>#VALUE!</v>
      </c>
      <c r="T458" s="129">
        <v>5.7089936418232755E-2</v>
      </c>
      <c r="U458" s="130" t="e">
        <f t="shared" si="31"/>
        <v>#VALUE!</v>
      </c>
      <c r="V458" s="129">
        <v>2.8657758836835974E-2</v>
      </c>
      <c r="W458" s="130" t="e">
        <f t="shared" si="28"/>
        <v>#VALUE!</v>
      </c>
      <c r="X458" s="129">
        <v>2.8657758836835974E-2</v>
      </c>
      <c r="Y458" s="130" t="e">
        <f t="shared" si="29"/>
        <v>#VALUE!</v>
      </c>
      <c r="Z458" s="129">
        <v>2.8657758836835974E-2</v>
      </c>
      <c r="AA458" s="130" t="e">
        <f t="shared" si="30"/>
        <v>#VALUE!</v>
      </c>
    </row>
    <row r="459" spans="1:27" x14ac:dyDescent="0.3">
      <c r="A459">
        <v>440102</v>
      </c>
      <c r="B459">
        <v>17031440102</v>
      </c>
      <c r="C459">
        <v>17031</v>
      </c>
      <c r="D459">
        <v>2010</v>
      </c>
      <c r="E459">
        <v>44</v>
      </c>
      <c r="F459">
        <v>6890051.9794719499</v>
      </c>
      <c r="G459" s="43">
        <v>0.24714660739037927</v>
      </c>
      <c r="H459" s="58" t="str">
        <f>_xlfn.IFNA(
INDEX(CA!B$2:B$78,MATCH($E459,CA!$A$2:$A$78,0)),
"")</f>
        <v>CHATHAM</v>
      </c>
      <c r="I459" s="60" t="str">
        <f>_xlfn.IFNA(
INDEX(CA!C$2:C$78,MATCH($E459,CA!$A$2:$A$78,0)),
"")</f>
        <v>6-C</v>
      </c>
      <c r="J459" s="60">
        <f>_xlfn.IFNA(
INDEX(CA!D$2:D$78,MATCH($E459,CA!$A$2:$A$78,0)),
"")</f>
        <v>6</v>
      </c>
      <c r="K459" s="58" t="str">
        <f>_xlfn.IFNA(
INDEX(CA!E$2:E$78,MATCH($E459,CA!$A$2:$A$78,0)),
"")</f>
        <v>SOUTH</v>
      </c>
      <c r="L459" s="15" t="e">
        <v>#VALUE!</v>
      </c>
      <c r="M459" s="15" t="e">
        <v>#VALUE!</v>
      </c>
      <c r="N459" s="15" t="e">
        <v>#VALUE!</v>
      </c>
      <c r="O459" s="15" t="e">
        <v>#VALUE!</v>
      </c>
      <c r="P459" s="15" t="e">
        <v>#VALUE!</v>
      </c>
      <c r="Q459" s="15" t="e">
        <v>#VALUE!</v>
      </c>
      <c r="R459" s="15" t="e">
        <v>#VALUE!</v>
      </c>
      <c r="S459" s="15" t="e">
        <v>#VALUE!</v>
      </c>
      <c r="T459" s="129">
        <v>0.24471891200086124</v>
      </c>
      <c r="U459" s="130" t="e">
        <f t="shared" si="31"/>
        <v>#VALUE!</v>
      </c>
      <c r="V459" s="129">
        <v>0.24462144362013602</v>
      </c>
      <c r="W459" s="130" t="e">
        <f t="shared" si="28"/>
        <v>#VALUE!</v>
      </c>
      <c r="X459" s="129">
        <v>0.24462144362013602</v>
      </c>
      <c r="Y459" s="130" t="e">
        <f t="shared" si="29"/>
        <v>#VALUE!</v>
      </c>
      <c r="Z459" s="129">
        <v>0.24462144362013602</v>
      </c>
      <c r="AA459" s="130" t="e">
        <f t="shared" si="30"/>
        <v>#VALUE!</v>
      </c>
    </row>
    <row r="460" spans="1:27" x14ac:dyDescent="0.3">
      <c r="A460">
        <v>440101</v>
      </c>
      <c r="B460">
        <v>17031440101</v>
      </c>
      <c r="C460">
        <v>17031</v>
      </c>
      <c r="D460">
        <v>2010</v>
      </c>
      <c r="E460">
        <v>44</v>
      </c>
      <c r="F460">
        <v>4209378.94701037</v>
      </c>
      <c r="G460" s="43">
        <v>0.15099069340458454</v>
      </c>
      <c r="H460" s="58" t="str">
        <f>_xlfn.IFNA(
INDEX(CA!B$2:B$78,MATCH($E460,CA!$A$2:$A$78,0)),
"")</f>
        <v>CHATHAM</v>
      </c>
      <c r="I460" s="60" t="str">
        <f>_xlfn.IFNA(
INDEX(CA!C$2:C$78,MATCH($E460,CA!$A$2:$A$78,0)),
"")</f>
        <v>6-C</v>
      </c>
      <c r="J460" s="60">
        <f>_xlfn.IFNA(
INDEX(CA!D$2:D$78,MATCH($E460,CA!$A$2:$A$78,0)),
"")</f>
        <v>6</v>
      </c>
      <c r="K460" s="58" t="str">
        <f>_xlfn.IFNA(
INDEX(CA!E$2:E$78,MATCH($E460,CA!$A$2:$A$78,0)),
"")</f>
        <v>SOUTH</v>
      </c>
      <c r="L460" s="15" t="e">
        <v>#VALUE!</v>
      </c>
      <c r="M460" s="15" t="e">
        <v>#VALUE!</v>
      </c>
      <c r="N460" s="15" t="e">
        <v>#VALUE!</v>
      </c>
      <c r="O460" s="15" t="e">
        <v>#VALUE!</v>
      </c>
      <c r="P460" s="15" t="e">
        <v>#VALUE!</v>
      </c>
      <c r="Q460" s="15" t="e">
        <v>#VALUE!</v>
      </c>
      <c r="R460" s="15" t="e">
        <v>#VALUE!</v>
      </c>
      <c r="S460" s="15" t="e">
        <v>#VALUE!</v>
      </c>
      <c r="T460" s="129">
        <v>0.14962198663822923</v>
      </c>
      <c r="U460" s="130" t="e">
        <f t="shared" si="31"/>
        <v>#VALUE!</v>
      </c>
      <c r="V460" s="129">
        <v>0.14953238521974216</v>
      </c>
      <c r="W460" s="130" t="e">
        <f t="shared" si="28"/>
        <v>#VALUE!</v>
      </c>
      <c r="X460" s="129">
        <v>0.14953238521974216</v>
      </c>
      <c r="Y460" s="130" t="e">
        <f t="shared" si="29"/>
        <v>#VALUE!</v>
      </c>
      <c r="Z460" s="129">
        <v>0.14953238521974216</v>
      </c>
      <c r="AA460" s="130" t="e">
        <f t="shared" si="30"/>
        <v>#VALUE!</v>
      </c>
    </row>
    <row r="461" spans="1:27" x14ac:dyDescent="0.3">
      <c r="A461">
        <v>440202</v>
      </c>
      <c r="B461">
        <v>17031440202</v>
      </c>
      <c r="C461">
        <v>17031</v>
      </c>
      <c r="D461">
        <v>2010</v>
      </c>
      <c r="E461">
        <v>44</v>
      </c>
      <c r="F461">
        <v>8414506.3320349194</v>
      </c>
      <c r="G461" s="43">
        <v>0.30182888300745092</v>
      </c>
      <c r="H461" s="58" t="str">
        <f>_xlfn.IFNA(
INDEX(CA!B$2:B$78,MATCH($E461,CA!$A$2:$A$78,0)),
"")</f>
        <v>CHATHAM</v>
      </c>
      <c r="I461" s="60" t="str">
        <f>_xlfn.IFNA(
INDEX(CA!C$2:C$78,MATCH($E461,CA!$A$2:$A$78,0)),
"")</f>
        <v>6-C</v>
      </c>
      <c r="J461" s="60">
        <f>_xlfn.IFNA(
INDEX(CA!D$2:D$78,MATCH($E461,CA!$A$2:$A$78,0)),
"")</f>
        <v>6</v>
      </c>
      <c r="K461" s="58" t="str">
        <f>_xlfn.IFNA(
INDEX(CA!E$2:E$78,MATCH($E461,CA!$A$2:$A$78,0)),
"")</f>
        <v>SOUTH</v>
      </c>
      <c r="L461" s="15" t="e">
        <v>#VALUE!</v>
      </c>
      <c r="M461" s="15" t="e">
        <v>#VALUE!</v>
      </c>
      <c r="N461" s="15" t="e">
        <v>#VALUE!</v>
      </c>
      <c r="O461" s="15" t="e">
        <v>#VALUE!</v>
      </c>
      <c r="P461" s="15" t="e">
        <v>#VALUE!</v>
      </c>
      <c r="Q461" s="15" t="e">
        <v>#VALUE!</v>
      </c>
      <c r="R461" s="15" t="e">
        <v>#VALUE!</v>
      </c>
      <c r="S461" s="15" t="e">
        <v>#VALUE!</v>
      </c>
      <c r="T461" s="129">
        <v>0.2994323677059505</v>
      </c>
      <c r="U461" s="130" t="e">
        <f t="shared" si="31"/>
        <v>#VALUE!</v>
      </c>
      <c r="V461" s="129">
        <v>0.28345432193925152</v>
      </c>
      <c r="W461" s="130" t="e">
        <f t="shared" si="28"/>
        <v>#VALUE!</v>
      </c>
      <c r="X461" s="129">
        <v>0.28345432193925152</v>
      </c>
      <c r="Y461" s="130" t="e">
        <f t="shared" si="29"/>
        <v>#VALUE!</v>
      </c>
      <c r="Z461" s="129">
        <v>0.28345432193925152</v>
      </c>
      <c r="AA461" s="130" t="e">
        <f t="shared" si="30"/>
        <v>#VALUE!</v>
      </c>
    </row>
    <row r="462" spans="1:27" x14ac:dyDescent="0.3">
      <c r="A462">
        <v>450300</v>
      </c>
      <c r="B462">
        <v>17031450300</v>
      </c>
      <c r="C462">
        <v>17031</v>
      </c>
      <c r="D462">
        <v>2010</v>
      </c>
      <c r="E462">
        <v>45</v>
      </c>
      <c r="F462">
        <v>14710042.715579201</v>
      </c>
      <c r="G462" s="43">
        <v>0.52765017775694445</v>
      </c>
      <c r="H462" s="58" t="str">
        <f>_xlfn.IFNA(
INDEX(CA!B$2:B$78,MATCH($E462,CA!$A$2:$A$78,0)),
"")</f>
        <v>AVALON PARK</v>
      </c>
      <c r="I462" s="60" t="str">
        <f>_xlfn.IFNA(
INDEX(CA!C$2:C$78,MATCH($E462,CA!$A$2:$A$78,0)),
"")</f>
        <v>6-C</v>
      </c>
      <c r="J462" s="60">
        <f>_xlfn.IFNA(
INDEX(CA!D$2:D$78,MATCH($E462,CA!$A$2:$A$78,0)),
"")</f>
        <v>6</v>
      </c>
      <c r="K462" s="58" t="str">
        <f>_xlfn.IFNA(
INDEX(CA!E$2:E$78,MATCH($E462,CA!$A$2:$A$78,0)),
"")</f>
        <v>SOUTH</v>
      </c>
      <c r="L462" s="15" t="e">
        <v>#VALUE!</v>
      </c>
      <c r="M462" s="15" t="e">
        <v>#VALUE!</v>
      </c>
      <c r="N462" s="15" t="e">
        <v>#VALUE!</v>
      </c>
      <c r="O462" s="15" t="e">
        <v>#VALUE!</v>
      </c>
      <c r="P462" s="15" t="e">
        <v>#VALUE!</v>
      </c>
      <c r="Q462" s="15" t="e">
        <v>#VALUE!</v>
      </c>
      <c r="R462" s="15" t="e">
        <v>#VALUE!</v>
      </c>
      <c r="S462" s="15" t="e">
        <v>#VALUE!</v>
      </c>
      <c r="T462" s="129">
        <v>0.52716119625173252</v>
      </c>
      <c r="U462" s="130" t="e">
        <f t="shared" si="31"/>
        <v>#VALUE!</v>
      </c>
      <c r="V462" s="129">
        <v>0.51661684387455165</v>
      </c>
      <c r="W462" s="130" t="e">
        <f t="shared" si="28"/>
        <v>#VALUE!</v>
      </c>
      <c r="X462" s="129">
        <v>0.51661684387455165</v>
      </c>
      <c r="Y462" s="130" t="e">
        <f t="shared" si="29"/>
        <v>#VALUE!</v>
      </c>
      <c r="Z462" s="129">
        <v>0.51661684387455165</v>
      </c>
      <c r="AA462" s="130" t="e">
        <f t="shared" si="30"/>
        <v>#VALUE!</v>
      </c>
    </row>
    <row r="463" spans="1:27" x14ac:dyDescent="0.3">
      <c r="A463">
        <v>460400</v>
      </c>
      <c r="B463">
        <v>17031460400</v>
      </c>
      <c r="C463">
        <v>17031</v>
      </c>
      <c r="D463">
        <v>2010</v>
      </c>
      <c r="E463">
        <v>46</v>
      </c>
      <c r="F463">
        <v>7024579.6642310498</v>
      </c>
      <c r="G463" s="43">
        <v>0.25197212409001413</v>
      </c>
      <c r="H463" s="58" t="str">
        <f>_xlfn.IFNA(
INDEX(CA!B$2:B$78,MATCH($E463,CA!$A$2:$A$78,0)),
"")</f>
        <v>SOUTH CHICAGO</v>
      </c>
      <c r="I463" s="60" t="str">
        <f>_xlfn.IFNA(
INDEX(CA!C$2:C$78,MATCH($E463,CA!$A$2:$A$78,0)),
"")</f>
        <v>6-C</v>
      </c>
      <c r="J463" s="60">
        <f>_xlfn.IFNA(
INDEX(CA!D$2:D$78,MATCH($E463,CA!$A$2:$A$78,0)),
"")</f>
        <v>6</v>
      </c>
      <c r="K463" s="58" t="str">
        <f>_xlfn.IFNA(
INDEX(CA!E$2:E$78,MATCH($E463,CA!$A$2:$A$78,0)),
"")</f>
        <v>SOUTH</v>
      </c>
      <c r="L463" s="15" t="e">
        <v>#VALUE!</v>
      </c>
      <c r="M463" s="15" t="e">
        <v>#VALUE!</v>
      </c>
      <c r="N463" s="15" t="e">
        <v>#VALUE!</v>
      </c>
      <c r="O463" s="15" t="e">
        <v>#VALUE!</v>
      </c>
      <c r="P463" s="15" t="e">
        <v>#VALUE!</v>
      </c>
      <c r="Q463" s="15" t="e">
        <v>#VALUE!</v>
      </c>
      <c r="R463" s="15" t="e">
        <v>#VALUE!</v>
      </c>
      <c r="S463" s="15" t="e">
        <v>#VALUE!</v>
      </c>
      <c r="T463" s="129">
        <v>0.25152888808974405</v>
      </c>
      <c r="U463" s="130" t="e">
        <f t="shared" si="31"/>
        <v>#VALUE!</v>
      </c>
      <c r="V463" s="129">
        <v>0.25152888808974405</v>
      </c>
      <c r="W463" s="130" t="e">
        <f t="shared" si="28"/>
        <v>#VALUE!</v>
      </c>
      <c r="X463" s="129">
        <v>0.25152888808974405</v>
      </c>
      <c r="Y463" s="130" t="e">
        <f t="shared" si="29"/>
        <v>#VALUE!</v>
      </c>
      <c r="Z463" s="129">
        <v>0.25152888808974405</v>
      </c>
      <c r="AA463" s="130" t="e">
        <f t="shared" si="30"/>
        <v>#VALUE!</v>
      </c>
    </row>
    <row r="464" spans="1:27" x14ac:dyDescent="0.3">
      <c r="A464">
        <v>833900</v>
      </c>
      <c r="B464">
        <v>17031833900</v>
      </c>
      <c r="C464">
        <v>17031</v>
      </c>
      <c r="D464">
        <v>2010</v>
      </c>
      <c r="E464">
        <v>46</v>
      </c>
      <c r="F464">
        <v>7035546.6841989299</v>
      </c>
      <c r="G464" s="43">
        <v>0.25236551180121275</v>
      </c>
      <c r="H464" s="58" t="str">
        <f>_xlfn.IFNA(
INDEX(CA!B$2:B$78,MATCH($E464,CA!$A$2:$A$78,0)),
"")</f>
        <v>SOUTH CHICAGO</v>
      </c>
      <c r="I464" s="60" t="str">
        <f>_xlfn.IFNA(
INDEX(CA!C$2:C$78,MATCH($E464,CA!$A$2:$A$78,0)),
"")</f>
        <v>6-C</v>
      </c>
      <c r="J464" s="60">
        <f>_xlfn.IFNA(
INDEX(CA!D$2:D$78,MATCH($E464,CA!$A$2:$A$78,0)),
"")</f>
        <v>6</v>
      </c>
      <c r="K464" s="58" t="str">
        <f>_xlfn.IFNA(
INDEX(CA!E$2:E$78,MATCH($E464,CA!$A$2:$A$78,0)),
"")</f>
        <v>SOUTH</v>
      </c>
      <c r="L464" s="15" t="e">
        <v>#VALUE!</v>
      </c>
      <c r="M464" s="15" t="e">
        <v>#VALUE!</v>
      </c>
      <c r="N464" s="15" t="e">
        <v>#VALUE!</v>
      </c>
      <c r="O464" s="15" t="e">
        <v>#VALUE!</v>
      </c>
      <c r="P464" s="15" t="e">
        <v>#VALUE!</v>
      </c>
      <c r="Q464" s="15" t="e">
        <v>#VALUE!</v>
      </c>
      <c r="R464" s="15" t="e">
        <v>#VALUE!</v>
      </c>
      <c r="S464" s="15" t="e">
        <v>#VALUE!</v>
      </c>
      <c r="T464" s="129">
        <v>0.25236551405675794</v>
      </c>
      <c r="U464" s="130" t="e">
        <f t="shared" si="31"/>
        <v>#VALUE!</v>
      </c>
      <c r="V464" s="129">
        <v>0.25236551405675794</v>
      </c>
      <c r="W464" s="130" t="e">
        <f t="shared" si="28"/>
        <v>#VALUE!</v>
      </c>
      <c r="X464" s="129">
        <v>0.25236551405675794</v>
      </c>
      <c r="Y464" s="130" t="e">
        <f t="shared" si="29"/>
        <v>#VALUE!</v>
      </c>
      <c r="Z464" s="129">
        <v>0.25236551405675794</v>
      </c>
      <c r="AA464" s="130" t="e">
        <f t="shared" si="30"/>
        <v>#VALUE!</v>
      </c>
    </row>
    <row r="465" spans="1:27" x14ac:dyDescent="0.3">
      <c r="A465">
        <v>460200</v>
      </c>
      <c r="B465">
        <v>17031460200</v>
      </c>
      <c r="C465">
        <v>17031</v>
      </c>
      <c r="D465">
        <v>2010</v>
      </c>
      <c r="E465">
        <v>46</v>
      </c>
      <c r="F465">
        <v>6458660.5839813696</v>
      </c>
      <c r="G465" s="43">
        <v>0.23167257030465771</v>
      </c>
      <c r="H465" s="58" t="str">
        <f>_xlfn.IFNA(
INDEX(CA!B$2:B$78,MATCH($E465,CA!$A$2:$A$78,0)),
"")</f>
        <v>SOUTH CHICAGO</v>
      </c>
      <c r="I465" s="60" t="str">
        <f>_xlfn.IFNA(
INDEX(CA!C$2:C$78,MATCH($E465,CA!$A$2:$A$78,0)),
"")</f>
        <v>6-C</v>
      </c>
      <c r="J465" s="60">
        <f>_xlfn.IFNA(
INDEX(CA!D$2:D$78,MATCH($E465,CA!$A$2:$A$78,0)),
"")</f>
        <v>6</v>
      </c>
      <c r="K465" s="58" t="str">
        <f>_xlfn.IFNA(
INDEX(CA!E$2:E$78,MATCH($E465,CA!$A$2:$A$78,0)),
"")</f>
        <v>SOUTH</v>
      </c>
      <c r="L465" s="15" t="e">
        <v>#VALUE!</v>
      </c>
      <c r="M465" s="15" t="e">
        <v>#VALUE!</v>
      </c>
      <c r="N465" s="15" t="e">
        <v>#VALUE!</v>
      </c>
      <c r="O465" s="15" t="e">
        <v>#VALUE!</v>
      </c>
      <c r="P465" s="15" t="e">
        <v>#VALUE!</v>
      </c>
      <c r="Q465" s="15" t="e">
        <v>#VALUE!</v>
      </c>
      <c r="R465" s="15" t="e">
        <v>#VALUE!</v>
      </c>
      <c r="S465" s="15" t="e">
        <v>#VALUE!</v>
      </c>
      <c r="T465" s="129">
        <v>0.23149075175732897</v>
      </c>
      <c r="U465" s="130" t="e">
        <f t="shared" si="31"/>
        <v>#VALUE!</v>
      </c>
      <c r="V465" s="129">
        <v>0.23149074786888413</v>
      </c>
      <c r="W465" s="130" t="e">
        <f t="shared" si="28"/>
        <v>#VALUE!</v>
      </c>
      <c r="X465" s="129">
        <v>0.23149074786888413</v>
      </c>
      <c r="Y465" s="130" t="e">
        <f t="shared" si="29"/>
        <v>#VALUE!</v>
      </c>
      <c r="Z465" s="129">
        <v>0.23149074786888413</v>
      </c>
      <c r="AA465" s="130" t="e">
        <f t="shared" si="30"/>
        <v>#VALUE!</v>
      </c>
    </row>
    <row r="466" spans="1:27" x14ac:dyDescent="0.3">
      <c r="A466">
        <v>460100</v>
      </c>
      <c r="B466">
        <v>17031460100</v>
      </c>
      <c r="C466">
        <v>17031</v>
      </c>
      <c r="D466">
        <v>2010</v>
      </c>
      <c r="E466">
        <v>46</v>
      </c>
      <c r="F466">
        <v>32945073.3394389</v>
      </c>
      <c r="G466" s="43">
        <v>1.1817418983671553</v>
      </c>
      <c r="H466" s="58" t="str">
        <f>_xlfn.IFNA(
INDEX(CA!B$2:B$78,MATCH($E466,CA!$A$2:$A$78,0)),
"")</f>
        <v>SOUTH CHICAGO</v>
      </c>
      <c r="I466" s="60" t="str">
        <f>_xlfn.IFNA(
INDEX(CA!C$2:C$78,MATCH($E466,CA!$A$2:$A$78,0)),
"")</f>
        <v>6-C</v>
      </c>
      <c r="J466" s="60">
        <f>_xlfn.IFNA(
INDEX(CA!D$2:D$78,MATCH($E466,CA!$A$2:$A$78,0)),
"")</f>
        <v>6</v>
      </c>
      <c r="K466" s="58" t="str">
        <f>_xlfn.IFNA(
INDEX(CA!E$2:E$78,MATCH($E466,CA!$A$2:$A$78,0)),
"")</f>
        <v>SOUTH</v>
      </c>
      <c r="L466" s="15" t="e">
        <v>#VALUE!</v>
      </c>
      <c r="M466" s="15" t="e">
        <v>#VALUE!</v>
      </c>
      <c r="N466" s="15" t="e">
        <v>#VALUE!</v>
      </c>
      <c r="O466" s="15" t="e">
        <v>#VALUE!</v>
      </c>
      <c r="P466" s="15" t="e">
        <v>#VALUE!</v>
      </c>
      <c r="Q466" s="15" t="e">
        <v>#VALUE!</v>
      </c>
      <c r="R466" s="15" t="e">
        <v>#VALUE!</v>
      </c>
      <c r="S466" s="15" t="e">
        <v>#VALUE!</v>
      </c>
      <c r="T466" s="129">
        <v>1.1367949624910252</v>
      </c>
      <c r="U466" s="130" t="e">
        <f t="shared" si="31"/>
        <v>#VALUE!</v>
      </c>
      <c r="V466" s="129">
        <v>1.1367876209732231</v>
      </c>
      <c r="W466" s="130" t="e">
        <f t="shared" si="28"/>
        <v>#VALUE!</v>
      </c>
      <c r="X466" s="129">
        <v>1.1367876209732231</v>
      </c>
      <c r="Y466" s="130" t="e">
        <f t="shared" si="29"/>
        <v>#VALUE!</v>
      </c>
      <c r="Z466" s="129">
        <v>1.1367876209732231</v>
      </c>
      <c r="AA466" s="130" t="e">
        <f t="shared" si="30"/>
        <v>#VALUE!</v>
      </c>
    </row>
    <row r="467" spans="1:27" x14ac:dyDescent="0.3">
      <c r="A467">
        <v>460302</v>
      </c>
      <c r="B467">
        <v>17031460302</v>
      </c>
      <c r="C467">
        <v>17031</v>
      </c>
      <c r="D467">
        <v>2010</v>
      </c>
      <c r="E467">
        <v>46</v>
      </c>
      <c r="F467">
        <v>6982125.7402274702</v>
      </c>
      <c r="G467" s="43">
        <v>0.25044929910710334</v>
      </c>
      <c r="H467" s="58" t="str">
        <f>_xlfn.IFNA(
INDEX(CA!B$2:B$78,MATCH($E467,CA!$A$2:$A$78,0)),
"")</f>
        <v>SOUTH CHICAGO</v>
      </c>
      <c r="I467" s="60" t="str">
        <f>_xlfn.IFNA(
INDEX(CA!C$2:C$78,MATCH($E467,CA!$A$2:$A$78,0)),
"")</f>
        <v>6-C</v>
      </c>
      <c r="J467" s="60">
        <f>_xlfn.IFNA(
INDEX(CA!D$2:D$78,MATCH($E467,CA!$A$2:$A$78,0)),
"")</f>
        <v>6</v>
      </c>
      <c r="K467" s="58" t="str">
        <f>_xlfn.IFNA(
INDEX(CA!E$2:E$78,MATCH($E467,CA!$A$2:$A$78,0)),
"")</f>
        <v>SOUTH</v>
      </c>
      <c r="L467" s="15" t="e">
        <v>#VALUE!</v>
      </c>
      <c r="M467" s="15" t="e">
        <v>#VALUE!</v>
      </c>
      <c r="N467" s="15" t="e">
        <v>#VALUE!</v>
      </c>
      <c r="O467" s="15" t="e">
        <v>#VALUE!</v>
      </c>
      <c r="P467" s="15" t="e">
        <v>#VALUE!</v>
      </c>
      <c r="Q467" s="15" t="e">
        <v>#VALUE!</v>
      </c>
      <c r="R467" s="15" t="e">
        <v>#VALUE!</v>
      </c>
      <c r="S467" s="15" t="e">
        <v>#VALUE!</v>
      </c>
      <c r="T467" s="129">
        <v>0.25034991768093973</v>
      </c>
      <c r="U467" s="130" t="e">
        <f t="shared" si="31"/>
        <v>#VALUE!</v>
      </c>
      <c r="V467" s="129">
        <v>0.25034991768093973</v>
      </c>
      <c r="W467" s="130" t="e">
        <f t="shared" si="28"/>
        <v>#VALUE!</v>
      </c>
      <c r="X467" s="129">
        <v>0.25034991768093973</v>
      </c>
      <c r="Y467" s="130" t="e">
        <f t="shared" si="29"/>
        <v>#VALUE!</v>
      </c>
      <c r="Z467" s="129">
        <v>0.25034991768093973</v>
      </c>
      <c r="AA467" s="130" t="e">
        <f t="shared" si="30"/>
        <v>#VALUE!</v>
      </c>
    </row>
    <row r="468" spans="1:27" x14ac:dyDescent="0.3">
      <c r="A468">
        <v>461000</v>
      </c>
      <c r="B468">
        <v>17031461000</v>
      </c>
      <c r="C468">
        <v>17031</v>
      </c>
      <c r="D468">
        <v>2010</v>
      </c>
      <c r="E468">
        <v>46</v>
      </c>
      <c r="F468">
        <v>6492804.3581808396</v>
      </c>
      <c r="G468" s="43">
        <v>0.23289730967992567</v>
      </c>
      <c r="H468" s="58" t="str">
        <f>_xlfn.IFNA(
INDEX(CA!B$2:B$78,MATCH($E468,CA!$A$2:$A$78,0)),
"")</f>
        <v>SOUTH CHICAGO</v>
      </c>
      <c r="I468" s="60" t="str">
        <f>_xlfn.IFNA(
INDEX(CA!C$2:C$78,MATCH($E468,CA!$A$2:$A$78,0)),
"")</f>
        <v>6-C</v>
      </c>
      <c r="J468" s="60">
        <f>_xlfn.IFNA(
INDEX(CA!D$2:D$78,MATCH($E468,CA!$A$2:$A$78,0)),
"")</f>
        <v>6</v>
      </c>
      <c r="K468" s="58" t="str">
        <f>_xlfn.IFNA(
INDEX(CA!E$2:E$78,MATCH($E468,CA!$A$2:$A$78,0)),
"")</f>
        <v>SOUTH</v>
      </c>
      <c r="L468" s="15" t="e">
        <v>#VALUE!</v>
      </c>
      <c r="M468" s="15" t="e">
        <v>#VALUE!</v>
      </c>
      <c r="N468" s="15" t="e">
        <v>#VALUE!</v>
      </c>
      <c r="O468" s="15" t="e">
        <v>#VALUE!</v>
      </c>
      <c r="P468" s="15" t="e">
        <v>#VALUE!</v>
      </c>
      <c r="Q468" s="15" t="e">
        <v>#VALUE!</v>
      </c>
      <c r="R468" s="15" t="e">
        <v>#VALUE!</v>
      </c>
      <c r="S468" s="15" t="e">
        <v>#VALUE!</v>
      </c>
      <c r="T468" s="129">
        <v>0.23289730721486204</v>
      </c>
      <c r="U468" s="130" t="e">
        <f t="shared" si="31"/>
        <v>#VALUE!</v>
      </c>
      <c r="V468" s="129">
        <v>0.23289730721486204</v>
      </c>
      <c r="W468" s="130" t="e">
        <f t="shared" si="28"/>
        <v>#VALUE!</v>
      </c>
      <c r="X468" s="129">
        <v>0.23289730721486204</v>
      </c>
      <c r="Y468" s="130" t="e">
        <f t="shared" si="29"/>
        <v>#VALUE!</v>
      </c>
      <c r="Z468" s="129">
        <v>0.23289730721486204</v>
      </c>
      <c r="AA468" s="130" t="e">
        <f t="shared" si="30"/>
        <v>#VALUE!</v>
      </c>
    </row>
    <row r="469" spans="1:27" x14ac:dyDescent="0.3">
      <c r="A469">
        <v>460600</v>
      </c>
      <c r="B469">
        <v>17031460600</v>
      </c>
      <c r="C469">
        <v>17031</v>
      </c>
      <c r="D469">
        <v>2010</v>
      </c>
      <c r="E469">
        <v>46</v>
      </c>
      <c r="F469">
        <v>2805605.3973049801</v>
      </c>
      <c r="G469" s="43">
        <v>0.10063724594327436</v>
      </c>
      <c r="H469" s="58" t="str">
        <f>_xlfn.IFNA(
INDEX(CA!B$2:B$78,MATCH($E469,CA!$A$2:$A$78,0)),
"")</f>
        <v>SOUTH CHICAGO</v>
      </c>
      <c r="I469" s="60" t="str">
        <f>_xlfn.IFNA(
INDEX(CA!C$2:C$78,MATCH($E469,CA!$A$2:$A$78,0)),
"")</f>
        <v>6-C</v>
      </c>
      <c r="J469" s="60">
        <f>_xlfn.IFNA(
INDEX(CA!D$2:D$78,MATCH($E469,CA!$A$2:$A$78,0)),
"")</f>
        <v>6</v>
      </c>
      <c r="K469" s="58" t="str">
        <f>_xlfn.IFNA(
INDEX(CA!E$2:E$78,MATCH($E469,CA!$A$2:$A$78,0)),
"")</f>
        <v>SOUTH</v>
      </c>
      <c r="L469" s="15" t="e">
        <v>#VALUE!</v>
      </c>
      <c r="M469" s="15" t="e">
        <v>#VALUE!</v>
      </c>
      <c r="N469" s="15" t="e">
        <v>#VALUE!</v>
      </c>
      <c r="O469" s="15" t="e">
        <v>#VALUE!</v>
      </c>
      <c r="P469" s="15" t="e">
        <v>#VALUE!</v>
      </c>
      <c r="Q469" s="15" t="e">
        <v>#VALUE!</v>
      </c>
      <c r="R469" s="15" t="e">
        <v>#VALUE!</v>
      </c>
      <c r="S469" s="15" t="e">
        <v>#VALUE!</v>
      </c>
      <c r="T469" s="129">
        <v>0.10063724637871578</v>
      </c>
      <c r="U469" s="130" t="e">
        <f t="shared" si="31"/>
        <v>#VALUE!</v>
      </c>
      <c r="V469" s="129">
        <v>0.10063724637871578</v>
      </c>
      <c r="W469" s="130" t="e">
        <f t="shared" si="28"/>
        <v>#VALUE!</v>
      </c>
      <c r="X469" s="129">
        <v>0.10063724637871578</v>
      </c>
      <c r="Y469" s="130" t="e">
        <f t="shared" si="29"/>
        <v>#VALUE!</v>
      </c>
      <c r="Z469" s="129">
        <v>0.10063724637871578</v>
      </c>
      <c r="AA469" s="130" t="e">
        <f t="shared" si="30"/>
        <v>#VALUE!</v>
      </c>
    </row>
    <row r="470" spans="1:27" x14ac:dyDescent="0.3">
      <c r="A470">
        <v>460301</v>
      </c>
      <c r="B470">
        <v>17031460301</v>
      </c>
      <c r="C470">
        <v>17031</v>
      </c>
      <c r="D470">
        <v>2010</v>
      </c>
      <c r="E470">
        <v>46</v>
      </c>
      <c r="F470">
        <v>5230472.9853547197</v>
      </c>
      <c r="G470" s="43">
        <v>0.18761740219505854</v>
      </c>
      <c r="H470" s="58" t="str">
        <f>_xlfn.IFNA(
INDEX(CA!B$2:B$78,MATCH($E470,CA!$A$2:$A$78,0)),
"")</f>
        <v>SOUTH CHICAGO</v>
      </c>
      <c r="I470" s="60" t="str">
        <f>_xlfn.IFNA(
INDEX(CA!C$2:C$78,MATCH($E470,CA!$A$2:$A$78,0)),
"")</f>
        <v>6-C</v>
      </c>
      <c r="J470" s="60">
        <f>_xlfn.IFNA(
INDEX(CA!D$2:D$78,MATCH($E470,CA!$A$2:$A$78,0)),
"")</f>
        <v>6</v>
      </c>
      <c r="K470" s="58" t="str">
        <f>_xlfn.IFNA(
INDEX(CA!E$2:E$78,MATCH($E470,CA!$A$2:$A$78,0)),
"")</f>
        <v>SOUTH</v>
      </c>
      <c r="L470" s="15" t="e">
        <v>#VALUE!</v>
      </c>
      <c r="M470" s="15" t="e">
        <v>#VALUE!</v>
      </c>
      <c r="N470" s="15" t="e">
        <v>#VALUE!</v>
      </c>
      <c r="O470" s="15" t="e">
        <v>#VALUE!</v>
      </c>
      <c r="P470" s="15" t="e">
        <v>#VALUE!</v>
      </c>
      <c r="Q470" s="15" t="e">
        <v>#VALUE!</v>
      </c>
      <c r="R470" s="15" t="e">
        <v>#VALUE!</v>
      </c>
      <c r="S470" s="15" t="e">
        <v>#VALUE!</v>
      </c>
      <c r="T470" s="129">
        <v>0.18754673215834158</v>
      </c>
      <c r="U470" s="130" t="e">
        <f t="shared" si="31"/>
        <v>#VALUE!</v>
      </c>
      <c r="V470" s="129">
        <v>0.18754673215834158</v>
      </c>
      <c r="W470" s="130" t="e">
        <f t="shared" si="28"/>
        <v>#VALUE!</v>
      </c>
      <c r="X470" s="129">
        <v>0.18754673215834158</v>
      </c>
      <c r="Y470" s="130" t="e">
        <f t="shared" si="29"/>
        <v>#VALUE!</v>
      </c>
      <c r="Z470" s="129">
        <v>0.18754673215834158</v>
      </c>
      <c r="AA470" s="130" t="e">
        <f t="shared" si="30"/>
        <v>#VALUE!</v>
      </c>
    </row>
    <row r="471" spans="1:27" x14ac:dyDescent="0.3">
      <c r="A471">
        <v>460500</v>
      </c>
      <c r="B471">
        <v>17031460500</v>
      </c>
      <c r="C471">
        <v>17031</v>
      </c>
      <c r="D471">
        <v>2010</v>
      </c>
      <c r="E471">
        <v>46</v>
      </c>
      <c r="F471">
        <v>13751566.0191954</v>
      </c>
      <c r="G471" s="43">
        <v>0.49326955704758524</v>
      </c>
      <c r="H471" s="58" t="str">
        <f>_xlfn.IFNA(
INDEX(CA!B$2:B$78,MATCH($E471,CA!$A$2:$A$78,0)),
"")</f>
        <v>SOUTH CHICAGO</v>
      </c>
      <c r="I471" s="60" t="str">
        <f>_xlfn.IFNA(
INDEX(CA!C$2:C$78,MATCH($E471,CA!$A$2:$A$78,0)),
"")</f>
        <v>6-C</v>
      </c>
      <c r="J471" s="60">
        <f>_xlfn.IFNA(
INDEX(CA!D$2:D$78,MATCH($E471,CA!$A$2:$A$78,0)),
"")</f>
        <v>6</v>
      </c>
      <c r="K471" s="58" t="str">
        <f>_xlfn.IFNA(
INDEX(CA!E$2:E$78,MATCH($E471,CA!$A$2:$A$78,0)),
"")</f>
        <v>SOUTH</v>
      </c>
      <c r="L471" s="15" t="e">
        <v>#VALUE!</v>
      </c>
      <c r="M471" s="15" t="e">
        <v>#VALUE!</v>
      </c>
      <c r="N471" s="15" t="e">
        <v>#VALUE!</v>
      </c>
      <c r="O471" s="15" t="e">
        <v>#VALUE!</v>
      </c>
      <c r="P471" s="15" t="e">
        <v>#VALUE!</v>
      </c>
      <c r="Q471" s="15" t="e">
        <v>#VALUE!</v>
      </c>
      <c r="R471" s="15" t="e">
        <v>#VALUE!</v>
      </c>
      <c r="S471" s="15" t="e">
        <v>#VALUE!</v>
      </c>
      <c r="T471" s="129">
        <v>0.4927627514340206</v>
      </c>
      <c r="U471" s="130" t="e">
        <f t="shared" si="31"/>
        <v>#VALUE!</v>
      </c>
      <c r="V471" s="129">
        <v>0.4927627514340206</v>
      </c>
      <c r="W471" s="130" t="e">
        <f t="shared" si="28"/>
        <v>#VALUE!</v>
      </c>
      <c r="X471" s="129">
        <v>0.4927627514340206</v>
      </c>
      <c r="Y471" s="130" t="e">
        <f t="shared" si="29"/>
        <v>#VALUE!</v>
      </c>
      <c r="Z471" s="129">
        <v>0.4927627514340206</v>
      </c>
      <c r="AA471" s="130" t="e">
        <f t="shared" si="30"/>
        <v>#VALUE!</v>
      </c>
    </row>
    <row r="472" spans="1:27" x14ac:dyDescent="0.3">
      <c r="A472">
        <v>460700</v>
      </c>
      <c r="B472">
        <v>17031460700</v>
      </c>
      <c r="C472">
        <v>17031</v>
      </c>
      <c r="D472">
        <v>2010</v>
      </c>
      <c r="E472">
        <v>46</v>
      </c>
      <c r="F472">
        <v>4545750.3918154901</v>
      </c>
      <c r="G472" s="43">
        <v>0.16305635875141652</v>
      </c>
      <c r="H472" s="58" t="str">
        <f>_xlfn.IFNA(
INDEX(CA!B$2:B$78,MATCH($E472,CA!$A$2:$A$78,0)),
"")</f>
        <v>SOUTH CHICAGO</v>
      </c>
      <c r="I472" s="60" t="str">
        <f>_xlfn.IFNA(
INDEX(CA!C$2:C$78,MATCH($E472,CA!$A$2:$A$78,0)),
"")</f>
        <v>6-C</v>
      </c>
      <c r="J472" s="60">
        <f>_xlfn.IFNA(
INDEX(CA!D$2:D$78,MATCH($E472,CA!$A$2:$A$78,0)),
"")</f>
        <v>6</v>
      </c>
      <c r="K472" s="58" t="str">
        <f>_xlfn.IFNA(
INDEX(CA!E$2:E$78,MATCH($E472,CA!$A$2:$A$78,0)),
"")</f>
        <v>SOUTH</v>
      </c>
      <c r="L472" s="15" t="e">
        <v>#VALUE!</v>
      </c>
      <c r="M472" s="15" t="e">
        <v>#VALUE!</v>
      </c>
      <c r="N472" s="15" t="e">
        <v>#VALUE!</v>
      </c>
      <c r="O472" s="15" t="e">
        <v>#VALUE!</v>
      </c>
      <c r="P472" s="15" t="e">
        <v>#VALUE!</v>
      </c>
      <c r="Q472" s="15" t="e">
        <v>#VALUE!</v>
      </c>
      <c r="R472" s="15" t="e">
        <v>#VALUE!</v>
      </c>
      <c r="S472" s="15" t="e">
        <v>#VALUE!</v>
      </c>
      <c r="T472" s="129">
        <v>0.15772437459756802</v>
      </c>
      <c r="U472" s="130" t="e">
        <f t="shared" si="31"/>
        <v>#VALUE!</v>
      </c>
      <c r="V472" s="129">
        <v>0.1577187002299551</v>
      </c>
      <c r="W472" s="130" t="e">
        <f t="shared" si="28"/>
        <v>#VALUE!</v>
      </c>
      <c r="X472" s="129">
        <v>0.1577187002299551</v>
      </c>
      <c r="Y472" s="130" t="e">
        <f t="shared" si="29"/>
        <v>#VALUE!</v>
      </c>
      <c r="Z472" s="129">
        <v>0.1577187002299551</v>
      </c>
      <c r="AA472" s="130" t="e">
        <f t="shared" si="30"/>
        <v>#VALUE!</v>
      </c>
    </row>
    <row r="473" spans="1:27" x14ac:dyDescent="0.3">
      <c r="A473">
        <v>470100</v>
      </c>
      <c r="B473">
        <v>17031470100</v>
      </c>
      <c r="C473">
        <v>17031</v>
      </c>
      <c r="D473">
        <v>2010</v>
      </c>
      <c r="E473">
        <v>47</v>
      </c>
      <c r="F473">
        <v>16995983.273794301</v>
      </c>
      <c r="G473" s="43">
        <v>0.60964701251844799</v>
      </c>
      <c r="H473" s="58" t="str">
        <f>_xlfn.IFNA(
INDEX(CA!B$2:B$78,MATCH($E473,CA!$A$2:$A$78,0)),
"")</f>
        <v>BURNSIDE</v>
      </c>
      <c r="I473" s="60" t="str">
        <f>_xlfn.IFNA(
INDEX(CA!C$2:C$78,MATCH($E473,CA!$A$2:$A$78,0)),
"")</f>
        <v>6-C</v>
      </c>
      <c r="J473" s="60">
        <f>_xlfn.IFNA(
INDEX(CA!D$2:D$78,MATCH($E473,CA!$A$2:$A$78,0)),
"")</f>
        <v>6</v>
      </c>
      <c r="K473" s="58" t="str">
        <f>_xlfn.IFNA(
INDEX(CA!E$2:E$78,MATCH($E473,CA!$A$2:$A$78,0)),
"")</f>
        <v>SOUTH</v>
      </c>
      <c r="L473" s="15" t="e">
        <v>#VALUE!</v>
      </c>
      <c r="M473" s="15" t="e">
        <v>#VALUE!</v>
      </c>
      <c r="N473" s="15" t="e">
        <v>#VALUE!</v>
      </c>
      <c r="O473" s="15" t="e">
        <v>#VALUE!</v>
      </c>
      <c r="P473" s="15" t="e">
        <v>#VALUE!</v>
      </c>
      <c r="Q473" s="15" t="e">
        <v>#VALUE!</v>
      </c>
      <c r="R473" s="15" t="e">
        <v>#VALUE!</v>
      </c>
      <c r="S473" s="15" t="e">
        <v>#VALUE!</v>
      </c>
      <c r="T473" s="129">
        <v>0.27605437844343111</v>
      </c>
      <c r="U473" s="130" t="e">
        <f t="shared" si="31"/>
        <v>#VALUE!</v>
      </c>
      <c r="V473" s="129">
        <v>0.20004201419385476</v>
      </c>
      <c r="W473" s="130" t="e">
        <f t="shared" si="28"/>
        <v>#VALUE!</v>
      </c>
      <c r="X473" s="129">
        <v>0.20004201419385476</v>
      </c>
      <c r="Y473" s="130" t="e">
        <f t="shared" si="29"/>
        <v>#VALUE!</v>
      </c>
      <c r="Z473" s="129">
        <v>0.20004201419385476</v>
      </c>
      <c r="AA473" s="130" t="e">
        <f t="shared" si="30"/>
        <v>#VALUE!</v>
      </c>
    </row>
    <row r="474" spans="1:27" x14ac:dyDescent="0.3">
      <c r="A474">
        <v>480200</v>
      </c>
      <c r="B474">
        <v>17031480200</v>
      </c>
      <c r="C474">
        <v>17031</v>
      </c>
      <c r="D474">
        <v>2010</v>
      </c>
      <c r="E474">
        <v>48</v>
      </c>
      <c r="F474">
        <v>3088202.0660242201</v>
      </c>
      <c r="G474" s="43">
        <v>0.11077400661530863</v>
      </c>
      <c r="H474" s="58" t="str">
        <f>_xlfn.IFNA(
INDEX(CA!B$2:B$78,MATCH($E474,CA!$A$2:$A$78,0)),
"")</f>
        <v>CALUMET HEIGHTS</v>
      </c>
      <c r="I474" s="60" t="str">
        <f>_xlfn.IFNA(
INDEX(CA!C$2:C$78,MATCH($E474,CA!$A$2:$A$78,0)),
"")</f>
        <v>6-C</v>
      </c>
      <c r="J474" s="60">
        <f>_xlfn.IFNA(
INDEX(CA!D$2:D$78,MATCH($E474,CA!$A$2:$A$78,0)),
"")</f>
        <v>6</v>
      </c>
      <c r="K474" s="58" t="str">
        <f>_xlfn.IFNA(
INDEX(CA!E$2:E$78,MATCH($E474,CA!$A$2:$A$78,0)),
"")</f>
        <v>SOUTH</v>
      </c>
      <c r="L474" s="15" t="e">
        <v>#VALUE!</v>
      </c>
      <c r="M474" s="15" t="e">
        <v>#VALUE!</v>
      </c>
      <c r="N474" s="15" t="e">
        <v>#VALUE!</v>
      </c>
      <c r="O474" s="15" t="e">
        <v>#VALUE!</v>
      </c>
      <c r="P474" s="15" t="e">
        <v>#VALUE!</v>
      </c>
      <c r="Q474" s="15" t="e">
        <v>#VALUE!</v>
      </c>
      <c r="R474" s="15" t="e">
        <v>#VALUE!</v>
      </c>
      <c r="S474" s="15" t="e">
        <v>#VALUE!</v>
      </c>
      <c r="T474" s="129">
        <v>0</v>
      </c>
      <c r="U474" s="130" t="e">
        <f t="shared" si="31"/>
        <v>#VALUE!</v>
      </c>
      <c r="V474" s="129">
        <v>0</v>
      </c>
      <c r="W474" s="130" t="e">
        <f t="shared" si="28"/>
        <v>#VALUE!</v>
      </c>
      <c r="X474" s="129">
        <v>0</v>
      </c>
      <c r="Y474" s="130" t="e">
        <f t="shared" si="29"/>
        <v>#VALUE!</v>
      </c>
      <c r="Z474" s="129">
        <v>0</v>
      </c>
      <c r="AA474" s="130" t="e">
        <f t="shared" si="30"/>
        <v>#VALUE!</v>
      </c>
    </row>
    <row r="475" spans="1:27" x14ac:dyDescent="0.3">
      <c r="A475">
        <v>480300</v>
      </c>
      <c r="B475">
        <v>17031480300</v>
      </c>
      <c r="C475">
        <v>17031</v>
      </c>
      <c r="D475">
        <v>2010</v>
      </c>
      <c r="E475">
        <v>48</v>
      </c>
      <c r="F475">
        <v>4501571.8836333603</v>
      </c>
      <c r="G475" s="43">
        <v>0.16147167282316632</v>
      </c>
      <c r="H475" s="58" t="str">
        <f>_xlfn.IFNA(
INDEX(CA!B$2:B$78,MATCH($E475,CA!$A$2:$A$78,0)),
"")</f>
        <v>CALUMET HEIGHTS</v>
      </c>
      <c r="I475" s="60" t="str">
        <f>_xlfn.IFNA(
INDEX(CA!C$2:C$78,MATCH($E475,CA!$A$2:$A$78,0)),
"")</f>
        <v>6-C</v>
      </c>
      <c r="J475" s="60">
        <f>_xlfn.IFNA(
INDEX(CA!D$2:D$78,MATCH($E475,CA!$A$2:$A$78,0)),
"")</f>
        <v>6</v>
      </c>
      <c r="K475" s="58" t="str">
        <f>_xlfn.IFNA(
INDEX(CA!E$2:E$78,MATCH($E475,CA!$A$2:$A$78,0)),
"")</f>
        <v>SOUTH</v>
      </c>
      <c r="L475" s="15" t="e">
        <v>#VALUE!</v>
      </c>
      <c r="M475" s="15" t="e">
        <v>#VALUE!</v>
      </c>
      <c r="N475" s="15" t="e">
        <v>#VALUE!</v>
      </c>
      <c r="O475" s="15" t="e">
        <v>#VALUE!</v>
      </c>
      <c r="P475" s="15" t="e">
        <v>#VALUE!</v>
      </c>
      <c r="Q475" s="15" t="e">
        <v>#VALUE!</v>
      </c>
      <c r="R475" s="15" t="e">
        <v>#VALUE!</v>
      </c>
      <c r="S475" s="15" t="e">
        <v>#VALUE!</v>
      </c>
      <c r="T475" s="129">
        <v>0</v>
      </c>
      <c r="U475" s="130" t="e">
        <f t="shared" si="31"/>
        <v>#VALUE!</v>
      </c>
      <c r="V475" s="129">
        <v>0</v>
      </c>
      <c r="W475" s="130" t="e">
        <f t="shared" si="28"/>
        <v>#VALUE!</v>
      </c>
      <c r="X475" s="129">
        <v>0</v>
      </c>
      <c r="Y475" s="130" t="e">
        <f t="shared" si="29"/>
        <v>#VALUE!</v>
      </c>
      <c r="Z475" s="129">
        <v>0</v>
      </c>
      <c r="AA475" s="130" t="e">
        <f t="shared" si="30"/>
        <v>#VALUE!</v>
      </c>
    </row>
    <row r="476" spans="1:27" x14ac:dyDescent="0.3">
      <c r="A476">
        <v>480100</v>
      </c>
      <c r="B476">
        <v>17031480100</v>
      </c>
      <c r="C476">
        <v>17031</v>
      </c>
      <c r="D476">
        <v>2010</v>
      </c>
      <c r="E476">
        <v>48</v>
      </c>
      <c r="F476">
        <v>7172030.6866892502</v>
      </c>
      <c r="G476" s="43">
        <v>0.25726120174361694</v>
      </c>
      <c r="H476" s="58" t="str">
        <f>_xlfn.IFNA(
INDEX(CA!B$2:B$78,MATCH($E476,CA!$A$2:$A$78,0)),
"")</f>
        <v>CALUMET HEIGHTS</v>
      </c>
      <c r="I476" s="60" t="str">
        <f>_xlfn.IFNA(
INDEX(CA!C$2:C$78,MATCH($E476,CA!$A$2:$A$78,0)),
"")</f>
        <v>6-C</v>
      </c>
      <c r="J476" s="60">
        <f>_xlfn.IFNA(
INDEX(CA!D$2:D$78,MATCH($E476,CA!$A$2:$A$78,0)),
"")</f>
        <v>6</v>
      </c>
      <c r="K476" s="58" t="str">
        <f>_xlfn.IFNA(
INDEX(CA!E$2:E$78,MATCH($E476,CA!$A$2:$A$78,0)),
"")</f>
        <v>SOUTH</v>
      </c>
      <c r="L476" s="15" t="e">
        <v>#VALUE!</v>
      </c>
      <c r="M476" s="15" t="e">
        <v>#VALUE!</v>
      </c>
      <c r="N476" s="15" t="e">
        <v>#VALUE!</v>
      </c>
      <c r="O476" s="15" t="e">
        <v>#VALUE!</v>
      </c>
      <c r="P476" s="15" t="e">
        <v>#VALUE!</v>
      </c>
      <c r="Q476" s="15" t="e">
        <v>#VALUE!</v>
      </c>
      <c r="R476" s="15" t="e">
        <v>#VALUE!</v>
      </c>
      <c r="S476" s="15" t="e">
        <v>#VALUE!</v>
      </c>
      <c r="T476" s="129">
        <v>0.16104879440497447</v>
      </c>
      <c r="U476" s="130" t="e">
        <f t="shared" si="31"/>
        <v>#VALUE!</v>
      </c>
      <c r="V476" s="129">
        <v>0.16104879393671265</v>
      </c>
      <c r="W476" s="130" t="e">
        <f t="shared" si="28"/>
        <v>#VALUE!</v>
      </c>
      <c r="X476" s="129">
        <v>0.16104879393671265</v>
      </c>
      <c r="Y476" s="130" t="e">
        <f t="shared" si="29"/>
        <v>#VALUE!</v>
      </c>
      <c r="Z476" s="129">
        <v>0.16104879393671265</v>
      </c>
      <c r="AA476" s="130" t="e">
        <f t="shared" si="30"/>
        <v>#VALUE!</v>
      </c>
    </row>
    <row r="477" spans="1:27" x14ac:dyDescent="0.3">
      <c r="A477">
        <v>480500</v>
      </c>
      <c r="B477">
        <v>17031480500</v>
      </c>
      <c r="C477">
        <v>17031</v>
      </c>
      <c r="D477">
        <v>2010</v>
      </c>
      <c r="E477">
        <v>48</v>
      </c>
      <c r="F477">
        <v>14610265.4884887</v>
      </c>
      <c r="G477" s="43">
        <v>0.52407116220761241</v>
      </c>
      <c r="H477" s="58" t="str">
        <f>_xlfn.IFNA(
INDEX(CA!B$2:B$78,MATCH($E477,CA!$A$2:$A$78,0)),
"")</f>
        <v>CALUMET HEIGHTS</v>
      </c>
      <c r="I477" s="60" t="str">
        <f>_xlfn.IFNA(
INDEX(CA!C$2:C$78,MATCH($E477,CA!$A$2:$A$78,0)),
"")</f>
        <v>6-C</v>
      </c>
      <c r="J477" s="60">
        <f>_xlfn.IFNA(
INDEX(CA!D$2:D$78,MATCH($E477,CA!$A$2:$A$78,0)),
"")</f>
        <v>6</v>
      </c>
      <c r="K477" s="58" t="str">
        <f>_xlfn.IFNA(
INDEX(CA!E$2:E$78,MATCH($E477,CA!$A$2:$A$78,0)),
"")</f>
        <v>SOUTH</v>
      </c>
      <c r="L477" s="15" t="e">
        <v>#VALUE!</v>
      </c>
      <c r="M477" s="15" t="e">
        <v>#VALUE!</v>
      </c>
      <c r="N477" s="15" t="e">
        <v>#VALUE!</v>
      </c>
      <c r="O477" s="15" t="e">
        <v>#VALUE!</v>
      </c>
      <c r="P477" s="15" t="e">
        <v>#VALUE!</v>
      </c>
      <c r="Q477" s="15" t="e">
        <v>#VALUE!</v>
      </c>
      <c r="R477" s="15" t="e">
        <v>#VALUE!</v>
      </c>
      <c r="S477" s="15" t="e">
        <v>#VALUE!</v>
      </c>
      <c r="T477" s="129">
        <v>0.47404950806303092</v>
      </c>
      <c r="U477" s="130" t="e">
        <f t="shared" si="31"/>
        <v>#VALUE!</v>
      </c>
      <c r="V477" s="129">
        <v>0.47404950806303092</v>
      </c>
      <c r="W477" s="130" t="e">
        <f t="shared" si="28"/>
        <v>#VALUE!</v>
      </c>
      <c r="X477" s="129">
        <v>0.47404950806303092</v>
      </c>
      <c r="Y477" s="130" t="e">
        <f t="shared" si="29"/>
        <v>#VALUE!</v>
      </c>
      <c r="Z477" s="129">
        <v>0.47404950806303092</v>
      </c>
      <c r="AA477" s="130" t="e">
        <f t="shared" si="30"/>
        <v>#VALUE!</v>
      </c>
    </row>
    <row r="478" spans="1:27" x14ac:dyDescent="0.3">
      <c r="A478">
        <v>480400</v>
      </c>
      <c r="B478">
        <v>17031480400</v>
      </c>
      <c r="C478">
        <v>17031</v>
      </c>
      <c r="D478">
        <v>2010</v>
      </c>
      <c r="E478">
        <v>48</v>
      </c>
      <c r="F478">
        <v>19454171.439513698</v>
      </c>
      <c r="G478" s="43">
        <v>0.69782238003306141</v>
      </c>
      <c r="H478" s="58" t="str">
        <f>_xlfn.IFNA(
INDEX(CA!B$2:B$78,MATCH($E478,CA!$A$2:$A$78,0)),
"")</f>
        <v>CALUMET HEIGHTS</v>
      </c>
      <c r="I478" s="60" t="str">
        <f>_xlfn.IFNA(
INDEX(CA!C$2:C$78,MATCH($E478,CA!$A$2:$A$78,0)),
"")</f>
        <v>6-C</v>
      </c>
      <c r="J478" s="60">
        <f>_xlfn.IFNA(
INDEX(CA!D$2:D$78,MATCH($E478,CA!$A$2:$A$78,0)),
"")</f>
        <v>6</v>
      </c>
      <c r="K478" s="58" t="str">
        <f>_xlfn.IFNA(
INDEX(CA!E$2:E$78,MATCH($E478,CA!$A$2:$A$78,0)),
"")</f>
        <v>SOUTH</v>
      </c>
      <c r="L478" s="15" t="e">
        <v>#VALUE!</v>
      </c>
      <c r="M478" s="15" t="e">
        <v>#VALUE!</v>
      </c>
      <c r="N478" s="15" t="e">
        <v>#VALUE!</v>
      </c>
      <c r="O478" s="15" t="e">
        <v>#VALUE!</v>
      </c>
      <c r="P478" s="15" t="e">
        <v>#VALUE!</v>
      </c>
      <c r="Q478" s="15" t="e">
        <v>#VALUE!</v>
      </c>
      <c r="R478" s="15" t="e">
        <v>#VALUE!</v>
      </c>
      <c r="S478" s="15" t="e">
        <v>#VALUE!</v>
      </c>
      <c r="T478" s="129">
        <v>9.6603631156518308E-2</v>
      </c>
      <c r="U478" s="130" t="e">
        <f t="shared" si="31"/>
        <v>#VALUE!</v>
      </c>
      <c r="V478" s="129">
        <v>9.6603631156518308E-2</v>
      </c>
      <c r="W478" s="130" t="e">
        <f t="shared" si="28"/>
        <v>#VALUE!</v>
      </c>
      <c r="X478" s="129">
        <v>9.6603631156518308E-2</v>
      </c>
      <c r="Y478" s="130" t="e">
        <f t="shared" si="29"/>
        <v>#VALUE!</v>
      </c>
      <c r="Z478" s="129">
        <v>9.6603631156518308E-2</v>
      </c>
      <c r="AA478" s="130" t="e">
        <f t="shared" si="30"/>
        <v>#VALUE!</v>
      </c>
    </row>
    <row r="479" spans="1:27" x14ac:dyDescent="0.3">
      <c r="A479">
        <v>490300</v>
      </c>
      <c r="B479">
        <v>17031490300</v>
      </c>
      <c r="C479">
        <v>17031</v>
      </c>
      <c r="D479">
        <v>2010</v>
      </c>
      <c r="E479">
        <v>49</v>
      </c>
      <c r="F479">
        <v>6813823.9803337296</v>
      </c>
      <c r="G479" s="43">
        <v>0.24441230416141993</v>
      </c>
      <c r="H479" s="58" t="str">
        <f>_xlfn.IFNA(
INDEX(CA!B$2:B$78,MATCH($E479,CA!$A$2:$A$78,0)),
"")</f>
        <v>ROSELAND</v>
      </c>
      <c r="I479" s="60" t="str">
        <f>_xlfn.IFNA(
INDEX(CA!C$2:C$78,MATCH($E479,CA!$A$2:$A$78,0)),
"")</f>
        <v>5-B</v>
      </c>
      <c r="J479" s="60">
        <f>_xlfn.IFNA(
INDEX(CA!D$2:D$78,MATCH($E479,CA!$A$2:$A$78,0)),
"")</f>
        <v>5</v>
      </c>
      <c r="K479" s="58" t="str">
        <f>_xlfn.IFNA(
INDEX(CA!E$2:E$78,MATCH($E479,CA!$A$2:$A$78,0)),
"")</f>
        <v>FAR SOUTH</v>
      </c>
      <c r="L479" s="15" t="e">
        <v>#VALUE!</v>
      </c>
      <c r="M479" s="15" t="e">
        <v>#VALUE!</v>
      </c>
      <c r="N479" s="15" t="e">
        <v>#VALUE!</v>
      </c>
      <c r="O479" s="15" t="e">
        <v>#VALUE!</v>
      </c>
      <c r="P479" s="15" t="e">
        <v>#VALUE!</v>
      </c>
      <c r="Q479" s="15" t="e">
        <v>#VALUE!</v>
      </c>
      <c r="R479" s="15" t="e">
        <v>#VALUE!</v>
      </c>
      <c r="S479" s="15" t="e">
        <v>#VALUE!</v>
      </c>
      <c r="T479" s="129">
        <v>0.19395705601979848</v>
      </c>
      <c r="U479" s="130" t="e">
        <f t="shared" si="31"/>
        <v>#VALUE!</v>
      </c>
      <c r="V479" s="129">
        <v>0.19392879429330917</v>
      </c>
      <c r="W479" s="130" t="e">
        <f t="shared" si="28"/>
        <v>#VALUE!</v>
      </c>
      <c r="X479" s="129">
        <v>0.19392879429330917</v>
      </c>
      <c r="Y479" s="130" t="e">
        <f t="shared" si="29"/>
        <v>#VALUE!</v>
      </c>
      <c r="Z479" s="129">
        <v>0.19392879429330917</v>
      </c>
      <c r="AA479" s="130" t="e">
        <f t="shared" si="30"/>
        <v>#VALUE!</v>
      </c>
    </row>
    <row r="480" spans="1:27" x14ac:dyDescent="0.3">
      <c r="A480">
        <v>491200</v>
      </c>
      <c r="B480">
        <v>17031491200</v>
      </c>
      <c r="C480">
        <v>17031</v>
      </c>
      <c r="D480">
        <v>2010</v>
      </c>
      <c r="E480">
        <v>49</v>
      </c>
      <c r="F480">
        <v>6989585.6746101398</v>
      </c>
      <c r="G480" s="43">
        <v>0.25071688743292797</v>
      </c>
      <c r="H480" s="58" t="str">
        <f>_xlfn.IFNA(
INDEX(CA!B$2:B$78,MATCH($E480,CA!$A$2:$A$78,0)),
"")</f>
        <v>ROSELAND</v>
      </c>
      <c r="I480" s="60" t="str">
        <f>_xlfn.IFNA(
INDEX(CA!C$2:C$78,MATCH($E480,CA!$A$2:$A$78,0)),
"")</f>
        <v>5-B</v>
      </c>
      <c r="J480" s="60">
        <f>_xlfn.IFNA(
INDEX(CA!D$2:D$78,MATCH($E480,CA!$A$2:$A$78,0)),
"")</f>
        <v>5</v>
      </c>
      <c r="K480" s="58" t="str">
        <f>_xlfn.IFNA(
INDEX(CA!E$2:E$78,MATCH($E480,CA!$A$2:$A$78,0)),
"")</f>
        <v>FAR SOUTH</v>
      </c>
      <c r="L480" s="15" t="e">
        <v>#VALUE!</v>
      </c>
      <c r="M480" s="15" t="e">
        <v>#VALUE!</v>
      </c>
      <c r="N480" s="15" t="e">
        <v>#VALUE!</v>
      </c>
      <c r="O480" s="15" t="e">
        <v>#VALUE!</v>
      </c>
      <c r="P480" s="15" t="e">
        <v>#VALUE!</v>
      </c>
      <c r="Q480" s="15" t="e">
        <v>#VALUE!</v>
      </c>
      <c r="R480" s="15" t="e">
        <v>#VALUE!</v>
      </c>
      <c r="S480" s="15" t="e">
        <v>#VALUE!</v>
      </c>
      <c r="T480" s="129">
        <v>0.14001242949248413</v>
      </c>
      <c r="U480" s="130" t="e">
        <f t="shared" si="31"/>
        <v>#VALUE!</v>
      </c>
      <c r="V480" s="129">
        <v>0.13988540257471124</v>
      </c>
      <c r="W480" s="130" t="e">
        <f t="shared" si="28"/>
        <v>#VALUE!</v>
      </c>
      <c r="X480" s="129">
        <v>0.13988540257471124</v>
      </c>
      <c r="Y480" s="130" t="e">
        <f t="shared" si="29"/>
        <v>#VALUE!</v>
      </c>
      <c r="Z480" s="129">
        <v>0.13988540257471124</v>
      </c>
      <c r="AA480" s="130" t="e">
        <f t="shared" si="30"/>
        <v>#VALUE!</v>
      </c>
    </row>
    <row r="481" spans="1:27" x14ac:dyDescent="0.3">
      <c r="A481">
        <v>491000</v>
      </c>
      <c r="B481">
        <v>17031491000</v>
      </c>
      <c r="C481">
        <v>17031</v>
      </c>
      <c r="D481">
        <v>2010</v>
      </c>
      <c r="E481">
        <v>49</v>
      </c>
      <c r="F481">
        <v>13847083.111742999</v>
      </c>
      <c r="G481" s="43">
        <v>0.49669576129702564</v>
      </c>
      <c r="H481" s="58" t="str">
        <f>_xlfn.IFNA(
INDEX(CA!B$2:B$78,MATCH($E481,CA!$A$2:$A$78,0)),
"")</f>
        <v>ROSELAND</v>
      </c>
      <c r="I481" s="60" t="str">
        <f>_xlfn.IFNA(
INDEX(CA!C$2:C$78,MATCH($E481,CA!$A$2:$A$78,0)),
"")</f>
        <v>5-B</v>
      </c>
      <c r="J481" s="60">
        <f>_xlfn.IFNA(
INDEX(CA!D$2:D$78,MATCH($E481,CA!$A$2:$A$78,0)),
"")</f>
        <v>5</v>
      </c>
      <c r="K481" s="58" t="str">
        <f>_xlfn.IFNA(
INDEX(CA!E$2:E$78,MATCH($E481,CA!$A$2:$A$78,0)),
"")</f>
        <v>FAR SOUTH</v>
      </c>
      <c r="L481" s="15" t="e">
        <v>#VALUE!</v>
      </c>
      <c r="M481" s="15" t="e">
        <v>#VALUE!</v>
      </c>
      <c r="N481" s="15" t="e">
        <v>#VALUE!</v>
      </c>
      <c r="O481" s="15" t="e">
        <v>#VALUE!</v>
      </c>
      <c r="P481" s="15" t="e">
        <v>#VALUE!</v>
      </c>
      <c r="Q481" s="15" t="e">
        <v>#VALUE!</v>
      </c>
      <c r="R481" s="15" t="e">
        <v>#VALUE!</v>
      </c>
      <c r="S481" s="15" t="e">
        <v>#VALUE!</v>
      </c>
      <c r="T481" s="129">
        <v>0.24445777334055185</v>
      </c>
      <c r="U481" s="130" t="e">
        <f t="shared" si="31"/>
        <v>#VALUE!</v>
      </c>
      <c r="V481" s="129">
        <v>0.24445777466846305</v>
      </c>
      <c r="W481" s="130" t="e">
        <f t="shared" si="28"/>
        <v>#VALUE!</v>
      </c>
      <c r="X481" s="129">
        <v>0.24445777466846305</v>
      </c>
      <c r="Y481" s="130" t="e">
        <f t="shared" si="29"/>
        <v>#VALUE!</v>
      </c>
      <c r="Z481" s="129">
        <v>0.24445777466846305</v>
      </c>
      <c r="AA481" s="130" t="e">
        <f t="shared" si="30"/>
        <v>#VALUE!</v>
      </c>
    </row>
    <row r="482" spans="1:27" x14ac:dyDescent="0.3">
      <c r="A482">
        <v>490700</v>
      </c>
      <c r="B482">
        <v>17031490700</v>
      </c>
      <c r="C482">
        <v>17031</v>
      </c>
      <c r="D482">
        <v>2010</v>
      </c>
      <c r="E482">
        <v>49</v>
      </c>
      <c r="F482">
        <v>6971497.1895754803</v>
      </c>
      <c r="G482" s="43">
        <v>0.25006805231202223</v>
      </c>
      <c r="H482" s="58" t="str">
        <f>_xlfn.IFNA(
INDEX(CA!B$2:B$78,MATCH($E482,CA!$A$2:$A$78,0)),
"")</f>
        <v>ROSELAND</v>
      </c>
      <c r="I482" s="60" t="str">
        <f>_xlfn.IFNA(
INDEX(CA!C$2:C$78,MATCH($E482,CA!$A$2:$A$78,0)),
"")</f>
        <v>5-B</v>
      </c>
      <c r="J482" s="60">
        <f>_xlfn.IFNA(
INDEX(CA!D$2:D$78,MATCH($E482,CA!$A$2:$A$78,0)),
"")</f>
        <v>5</v>
      </c>
      <c r="K482" s="58" t="str">
        <f>_xlfn.IFNA(
INDEX(CA!E$2:E$78,MATCH($E482,CA!$A$2:$A$78,0)),
"")</f>
        <v>FAR SOUTH</v>
      </c>
      <c r="L482" s="15" t="e">
        <v>#VALUE!</v>
      </c>
      <c r="M482" s="15" t="e">
        <v>#VALUE!</v>
      </c>
      <c r="N482" s="15" t="e">
        <v>#VALUE!</v>
      </c>
      <c r="O482" s="15" t="e">
        <v>#VALUE!</v>
      </c>
      <c r="P482" s="15" t="e">
        <v>#VALUE!</v>
      </c>
      <c r="Q482" s="15" t="e">
        <v>#VALUE!</v>
      </c>
      <c r="R482" s="15" t="e">
        <v>#VALUE!</v>
      </c>
      <c r="S482" s="15" t="e">
        <v>#VALUE!</v>
      </c>
      <c r="T482" s="129">
        <v>0.2500590550672101</v>
      </c>
      <c r="U482" s="130" t="e">
        <f t="shared" si="31"/>
        <v>#VALUE!</v>
      </c>
      <c r="V482" s="129">
        <v>0.25004005814402047</v>
      </c>
      <c r="W482" s="130" t="e">
        <f t="shared" si="28"/>
        <v>#VALUE!</v>
      </c>
      <c r="X482" s="129">
        <v>0.25004005814402047</v>
      </c>
      <c r="Y482" s="130" t="e">
        <f t="shared" si="29"/>
        <v>#VALUE!</v>
      </c>
      <c r="Z482" s="129">
        <v>0.25004005814402047</v>
      </c>
      <c r="AA482" s="130" t="e">
        <f t="shared" si="30"/>
        <v>#VALUE!</v>
      </c>
    </row>
    <row r="483" spans="1:27" x14ac:dyDescent="0.3">
      <c r="A483">
        <v>490600</v>
      </c>
      <c r="B483">
        <v>17031490600</v>
      </c>
      <c r="C483">
        <v>17031</v>
      </c>
      <c r="D483">
        <v>2010</v>
      </c>
      <c r="E483">
        <v>49</v>
      </c>
      <c r="F483">
        <v>7342271.9236013005</v>
      </c>
      <c r="G483" s="43">
        <v>0.26336776585461508</v>
      </c>
      <c r="H483" s="58" t="str">
        <f>_xlfn.IFNA(
INDEX(CA!B$2:B$78,MATCH($E483,CA!$A$2:$A$78,0)),
"")</f>
        <v>ROSELAND</v>
      </c>
      <c r="I483" s="60" t="str">
        <f>_xlfn.IFNA(
INDEX(CA!C$2:C$78,MATCH($E483,CA!$A$2:$A$78,0)),
"")</f>
        <v>5-B</v>
      </c>
      <c r="J483" s="60">
        <f>_xlfn.IFNA(
INDEX(CA!D$2:D$78,MATCH($E483,CA!$A$2:$A$78,0)),
"")</f>
        <v>5</v>
      </c>
      <c r="K483" s="58" t="str">
        <f>_xlfn.IFNA(
INDEX(CA!E$2:E$78,MATCH($E483,CA!$A$2:$A$78,0)),
"")</f>
        <v>FAR SOUTH</v>
      </c>
      <c r="L483" s="15" t="e">
        <v>#VALUE!</v>
      </c>
      <c r="M483" s="15" t="e">
        <v>#VALUE!</v>
      </c>
      <c r="N483" s="15" t="e">
        <v>#VALUE!</v>
      </c>
      <c r="O483" s="15" t="e">
        <v>#VALUE!</v>
      </c>
      <c r="P483" s="15" t="e">
        <v>#VALUE!</v>
      </c>
      <c r="Q483" s="15" t="e">
        <v>#VALUE!</v>
      </c>
      <c r="R483" s="15" t="e">
        <v>#VALUE!</v>
      </c>
      <c r="S483" s="15" t="e">
        <v>#VALUE!</v>
      </c>
      <c r="T483" s="129">
        <v>0.25670905901163699</v>
      </c>
      <c r="U483" s="130" t="e">
        <f t="shared" si="31"/>
        <v>#VALUE!</v>
      </c>
      <c r="V483" s="129">
        <v>0.25655898688869877</v>
      </c>
      <c r="W483" s="130" t="e">
        <f t="shared" si="28"/>
        <v>#VALUE!</v>
      </c>
      <c r="X483" s="129">
        <v>0.25655898688869877</v>
      </c>
      <c r="Y483" s="130" t="e">
        <f t="shared" si="29"/>
        <v>#VALUE!</v>
      </c>
      <c r="Z483" s="129">
        <v>0.25655898688869877</v>
      </c>
      <c r="AA483" s="130" t="e">
        <f t="shared" si="30"/>
        <v>#VALUE!</v>
      </c>
    </row>
    <row r="484" spans="1:27" x14ac:dyDescent="0.3">
      <c r="A484">
        <v>490901</v>
      </c>
      <c r="B484">
        <v>17031490901</v>
      </c>
      <c r="C484">
        <v>17031</v>
      </c>
      <c r="D484">
        <v>2010</v>
      </c>
      <c r="E484">
        <v>49</v>
      </c>
      <c r="F484">
        <v>9099652.2019052505</v>
      </c>
      <c r="G484" s="43">
        <v>0.32640510940029738</v>
      </c>
      <c r="H484" s="58" t="str">
        <f>_xlfn.IFNA(
INDEX(CA!B$2:B$78,MATCH($E484,CA!$A$2:$A$78,0)),
"")</f>
        <v>ROSELAND</v>
      </c>
      <c r="I484" s="60" t="str">
        <f>_xlfn.IFNA(
INDEX(CA!C$2:C$78,MATCH($E484,CA!$A$2:$A$78,0)),
"")</f>
        <v>5-B</v>
      </c>
      <c r="J484" s="60">
        <f>_xlfn.IFNA(
INDEX(CA!D$2:D$78,MATCH($E484,CA!$A$2:$A$78,0)),
"")</f>
        <v>5</v>
      </c>
      <c r="K484" s="58" t="str">
        <f>_xlfn.IFNA(
INDEX(CA!E$2:E$78,MATCH($E484,CA!$A$2:$A$78,0)),
"")</f>
        <v>FAR SOUTH</v>
      </c>
      <c r="L484" s="15" t="e">
        <v>#VALUE!</v>
      </c>
      <c r="M484" s="15" t="e">
        <v>#VALUE!</v>
      </c>
      <c r="N484" s="15" t="e">
        <v>#VALUE!</v>
      </c>
      <c r="O484" s="15" t="e">
        <v>#VALUE!</v>
      </c>
      <c r="P484" s="15" t="e">
        <v>#VALUE!</v>
      </c>
      <c r="Q484" s="15" t="e">
        <v>#VALUE!</v>
      </c>
      <c r="R484" s="15" t="e">
        <v>#VALUE!</v>
      </c>
      <c r="S484" s="15" t="e">
        <v>#VALUE!</v>
      </c>
      <c r="T484" s="129">
        <v>0.2288297957403499</v>
      </c>
      <c r="U484" s="130" t="e">
        <f t="shared" si="31"/>
        <v>#VALUE!</v>
      </c>
      <c r="V484" s="129">
        <v>0.2288297957403499</v>
      </c>
      <c r="W484" s="130" t="e">
        <f t="shared" si="28"/>
        <v>#VALUE!</v>
      </c>
      <c r="X484" s="129">
        <v>0.2288297957403499</v>
      </c>
      <c r="Y484" s="130" t="e">
        <f t="shared" si="29"/>
        <v>#VALUE!</v>
      </c>
      <c r="Z484" s="129">
        <v>0.2288297957403499</v>
      </c>
      <c r="AA484" s="130" t="e">
        <f t="shared" si="30"/>
        <v>#VALUE!</v>
      </c>
    </row>
    <row r="485" spans="1:27" x14ac:dyDescent="0.3">
      <c r="A485">
        <v>491100</v>
      </c>
      <c r="B485">
        <v>17031491100</v>
      </c>
      <c r="C485">
        <v>17031</v>
      </c>
      <c r="D485">
        <v>2010</v>
      </c>
      <c r="E485">
        <v>49</v>
      </c>
      <c r="F485">
        <v>14139668.833874799</v>
      </c>
      <c r="G485" s="43">
        <v>0.50719082995705633</v>
      </c>
      <c r="H485" s="58" t="str">
        <f>_xlfn.IFNA(
INDEX(CA!B$2:B$78,MATCH($E485,CA!$A$2:$A$78,0)),
"")</f>
        <v>ROSELAND</v>
      </c>
      <c r="I485" s="60" t="str">
        <f>_xlfn.IFNA(
INDEX(CA!C$2:C$78,MATCH($E485,CA!$A$2:$A$78,0)),
"")</f>
        <v>5-B</v>
      </c>
      <c r="J485" s="60">
        <f>_xlfn.IFNA(
INDEX(CA!D$2:D$78,MATCH($E485,CA!$A$2:$A$78,0)),
"")</f>
        <v>5</v>
      </c>
      <c r="K485" s="58" t="str">
        <f>_xlfn.IFNA(
INDEX(CA!E$2:E$78,MATCH($E485,CA!$A$2:$A$78,0)),
"")</f>
        <v>FAR SOUTH</v>
      </c>
      <c r="L485" s="15" t="e">
        <v>#VALUE!</v>
      </c>
      <c r="M485" s="15" t="e">
        <v>#VALUE!</v>
      </c>
      <c r="N485" s="15" t="e">
        <v>#VALUE!</v>
      </c>
      <c r="O485" s="15" t="e">
        <v>#VALUE!</v>
      </c>
      <c r="P485" s="15" t="e">
        <v>#VALUE!</v>
      </c>
      <c r="Q485" s="15" t="e">
        <v>#VALUE!</v>
      </c>
      <c r="R485" s="15" t="e">
        <v>#VALUE!</v>
      </c>
      <c r="S485" s="15" t="e">
        <v>#VALUE!</v>
      </c>
      <c r="T485" s="129">
        <v>0.30649195883357261</v>
      </c>
      <c r="U485" s="130" t="e">
        <f t="shared" si="31"/>
        <v>#VALUE!</v>
      </c>
      <c r="V485" s="129">
        <v>0.30649195883357261</v>
      </c>
      <c r="W485" s="130" t="e">
        <f t="shared" si="28"/>
        <v>#VALUE!</v>
      </c>
      <c r="X485" s="129">
        <v>0.30649195883357261</v>
      </c>
      <c r="Y485" s="130" t="e">
        <f t="shared" si="29"/>
        <v>#VALUE!</v>
      </c>
      <c r="Z485" s="129">
        <v>0.30649195883357261</v>
      </c>
      <c r="AA485" s="130" t="e">
        <f t="shared" si="30"/>
        <v>#VALUE!</v>
      </c>
    </row>
    <row r="486" spans="1:27" x14ac:dyDescent="0.3">
      <c r="A486">
        <v>491400</v>
      </c>
      <c r="B486">
        <v>17031491400</v>
      </c>
      <c r="C486">
        <v>17031</v>
      </c>
      <c r="D486">
        <v>2010</v>
      </c>
      <c r="E486">
        <v>49</v>
      </c>
      <c r="F486">
        <v>8932472.7877477091</v>
      </c>
      <c r="G486" s="43">
        <v>0.32040837306831488</v>
      </c>
      <c r="H486" s="58" t="str">
        <f>_xlfn.IFNA(
INDEX(CA!B$2:B$78,MATCH($E486,CA!$A$2:$A$78,0)),
"")</f>
        <v>ROSELAND</v>
      </c>
      <c r="I486" s="60" t="str">
        <f>_xlfn.IFNA(
INDEX(CA!C$2:C$78,MATCH($E486,CA!$A$2:$A$78,0)),
"")</f>
        <v>5-B</v>
      </c>
      <c r="J486" s="60">
        <f>_xlfn.IFNA(
INDEX(CA!D$2:D$78,MATCH($E486,CA!$A$2:$A$78,0)),
"")</f>
        <v>5</v>
      </c>
      <c r="K486" s="58" t="str">
        <f>_xlfn.IFNA(
INDEX(CA!E$2:E$78,MATCH($E486,CA!$A$2:$A$78,0)),
"")</f>
        <v>FAR SOUTH</v>
      </c>
      <c r="L486" s="15" t="e">
        <v>#VALUE!</v>
      </c>
      <c r="M486" s="15" t="e">
        <v>#VALUE!</v>
      </c>
      <c r="N486" s="15" t="e">
        <v>#VALUE!</v>
      </c>
      <c r="O486" s="15" t="e">
        <v>#VALUE!</v>
      </c>
      <c r="P486" s="15" t="e">
        <v>#VALUE!</v>
      </c>
      <c r="Q486" s="15" t="e">
        <v>#VALUE!</v>
      </c>
      <c r="R486" s="15" t="e">
        <v>#VALUE!</v>
      </c>
      <c r="S486" s="15" t="e">
        <v>#VALUE!</v>
      </c>
      <c r="T486" s="129">
        <v>0.32017442451264816</v>
      </c>
      <c r="U486" s="130" t="e">
        <f t="shared" si="31"/>
        <v>#VALUE!</v>
      </c>
      <c r="V486" s="129">
        <v>0.2556250098909188</v>
      </c>
      <c r="W486" s="130" t="e">
        <f t="shared" si="28"/>
        <v>#VALUE!</v>
      </c>
      <c r="X486" s="129">
        <v>0.2556250098909188</v>
      </c>
      <c r="Y486" s="130" t="e">
        <f t="shared" si="29"/>
        <v>#VALUE!</v>
      </c>
      <c r="Z486" s="129">
        <v>0.2556250098909188</v>
      </c>
      <c r="AA486" s="130" t="e">
        <f t="shared" si="30"/>
        <v>#VALUE!</v>
      </c>
    </row>
    <row r="487" spans="1:27" x14ac:dyDescent="0.3">
      <c r="A487">
        <v>834000</v>
      </c>
      <c r="B487">
        <v>17031834000</v>
      </c>
      <c r="C487">
        <v>17031</v>
      </c>
      <c r="D487">
        <v>2010</v>
      </c>
      <c r="E487">
        <v>49</v>
      </c>
      <c r="F487">
        <v>10819693.902255001</v>
      </c>
      <c r="G487" s="43">
        <v>0.38810311575467032</v>
      </c>
      <c r="H487" s="58" t="str">
        <f>_xlfn.IFNA(
INDEX(CA!B$2:B$78,MATCH($E487,CA!$A$2:$A$78,0)),
"")</f>
        <v>ROSELAND</v>
      </c>
      <c r="I487" s="60" t="str">
        <f>_xlfn.IFNA(
INDEX(CA!C$2:C$78,MATCH($E487,CA!$A$2:$A$78,0)),
"")</f>
        <v>5-B</v>
      </c>
      <c r="J487" s="60">
        <f>_xlfn.IFNA(
INDEX(CA!D$2:D$78,MATCH($E487,CA!$A$2:$A$78,0)),
"")</f>
        <v>5</v>
      </c>
      <c r="K487" s="58" t="str">
        <f>_xlfn.IFNA(
INDEX(CA!E$2:E$78,MATCH($E487,CA!$A$2:$A$78,0)),
"")</f>
        <v>FAR SOUTH</v>
      </c>
      <c r="L487" s="15" t="e">
        <v>#VALUE!</v>
      </c>
      <c r="M487" s="15" t="e">
        <v>#VALUE!</v>
      </c>
      <c r="N487" s="15" t="e">
        <v>#VALUE!</v>
      </c>
      <c r="O487" s="15" t="e">
        <v>#VALUE!</v>
      </c>
      <c r="P487" s="15" t="e">
        <v>#VALUE!</v>
      </c>
      <c r="Q487" s="15" t="e">
        <v>#VALUE!</v>
      </c>
      <c r="R487" s="15" t="e">
        <v>#VALUE!</v>
      </c>
      <c r="S487" s="15" t="e">
        <v>#VALUE!</v>
      </c>
      <c r="T487" s="129">
        <v>0.21308868886511387</v>
      </c>
      <c r="U487" s="130" t="e">
        <f t="shared" si="31"/>
        <v>#VALUE!</v>
      </c>
      <c r="V487" s="129">
        <v>0.21308868886511387</v>
      </c>
      <c r="W487" s="130" t="e">
        <f t="shared" si="28"/>
        <v>#VALUE!</v>
      </c>
      <c r="X487" s="129">
        <v>0.21308868886511387</v>
      </c>
      <c r="Y487" s="130" t="e">
        <f t="shared" si="29"/>
        <v>#VALUE!</v>
      </c>
      <c r="Z487" s="129">
        <v>0.21308868886511387</v>
      </c>
      <c r="AA487" s="130" t="e">
        <f t="shared" si="30"/>
        <v>#VALUE!</v>
      </c>
    </row>
    <row r="488" spans="1:27" x14ac:dyDescent="0.3">
      <c r="A488">
        <v>490902</v>
      </c>
      <c r="B488">
        <v>17031490902</v>
      </c>
      <c r="C488">
        <v>17031</v>
      </c>
      <c r="D488">
        <v>2010</v>
      </c>
      <c r="E488">
        <v>49</v>
      </c>
      <c r="F488">
        <v>12876795.862177899</v>
      </c>
      <c r="G488" s="43">
        <v>0.4618914952858808</v>
      </c>
      <c r="H488" s="58" t="str">
        <f>_xlfn.IFNA(
INDEX(CA!B$2:B$78,MATCH($E488,CA!$A$2:$A$78,0)),
"")</f>
        <v>ROSELAND</v>
      </c>
      <c r="I488" s="60" t="str">
        <f>_xlfn.IFNA(
INDEX(CA!C$2:C$78,MATCH($E488,CA!$A$2:$A$78,0)),
"")</f>
        <v>5-B</v>
      </c>
      <c r="J488" s="60">
        <f>_xlfn.IFNA(
INDEX(CA!D$2:D$78,MATCH($E488,CA!$A$2:$A$78,0)),
"")</f>
        <v>5</v>
      </c>
      <c r="K488" s="58" t="str">
        <f>_xlfn.IFNA(
INDEX(CA!E$2:E$78,MATCH($E488,CA!$A$2:$A$78,0)),
"")</f>
        <v>FAR SOUTH</v>
      </c>
      <c r="L488" s="15" t="e">
        <v>#VALUE!</v>
      </c>
      <c r="M488" s="15" t="e">
        <v>#VALUE!</v>
      </c>
      <c r="N488" s="15" t="e">
        <v>#VALUE!</v>
      </c>
      <c r="O488" s="15" t="e">
        <v>#VALUE!</v>
      </c>
      <c r="P488" s="15" t="e">
        <v>#VALUE!</v>
      </c>
      <c r="Q488" s="15" t="e">
        <v>#VALUE!</v>
      </c>
      <c r="R488" s="15" t="e">
        <v>#VALUE!</v>
      </c>
      <c r="S488" s="15" t="e">
        <v>#VALUE!</v>
      </c>
      <c r="T488" s="129">
        <v>0.44512357395703483</v>
      </c>
      <c r="U488" s="130" t="e">
        <f t="shared" si="31"/>
        <v>#VALUE!</v>
      </c>
      <c r="V488" s="129">
        <v>0.44512357582598711</v>
      </c>
      <c r="W488" s="130" t="e">
        <f t="shared" si="28"/>
        <v>#VALUE!</v>
      </c>
      <c r="X488" s="129">
        <v>0.44512357582598711</v>
      </c>
      <c r="Y488" s="130" t="e">
        <f t="shared" si="29"/>
        <v>#VALUE!</v>
      </c>
      <c r="Z488" s="129">
        <v>0.44512357582598711</v>
      </c>
      <c r="AA488" s="130" t="e">
        <f t="shared" si="30"/>
        <v>#VALUE!</v>
      </c>
    </row>
    <row r="489" spans="1:27" x14ac:dyDescent="0.3">
      <c r="A489">
        <v>490500</v>
      </c>
      <c r="B489">
        <v>17031490500</v>
      </c>
      <c r="C489">
        <v>17031</v>
      </c>
      <c r="D489">
        <v>2010</v>
      </c>
      <c r="E489">
        <v>49</v>
      </c>
      <c r="F489">
        <v>15215851.260706799</v>
      </c>
      <c r="G489" s="43">
        <v>0.54579356278361735</v>
      </c>
      <c r="H489" s="58" t="str">
        <f>_xlfn.IFNA(
INDEX(CA!B$2:B$78,MATCH($E489,CA!$A$2:$A$78,0)),
"")</f>
        <v>ROSELAND</v>
      </c>
      <c r="I489" s="60" t="str">
        <f>_xlfn.IFNA(
INDEX(CA!C$2:C$78,MATCH($E489,CA!$A$2:$A$78,0)),
"")</f>
        <v>5-B</v>
      </c>
      <c r="J489" s="60">
        <f>_xlfn.IFNA(
INDEX(CA!D$2:D$78,MATCH($E489,CA!$A$2:$A$78,0)),
"")</f>
        <v>5</v>
      </c>
      <c r="K489" s="58" t="str">
        <f>_xlfn.IFNA(
INDEX(CA!E$2:E$78,MATCH($E489,CA!$A$2:$A$78,0)),
"")</f>
        <v>FAR SOUTH</v>
      </c>
      <c r="L489" s="15" t="e">
        <v>#VALUE!</v>
      </c>
      <c r="M489" s="15" t="e">
        <v>#VALUE!</v>
      </c>
      <c r="N489" s="15" t="e">
        <v>#VALUE!</v>
      </c>
      <c r="O489" s="15" t="e">
        <v>#VALUE!</v>
      </c>
      <c r="P489" s="15" t="e">
        <v>#VALUE!</v>
      </c>
      <c r="Q489" s="15" t="e">
        <v>#VALUE!</v>
      </c>
      <c r="R489" s="15" t="e">
        <v>#VALUE!</v>
      </c>
      <c r="S489" s="15" t="e">
        <v>#VALUE!</v>
      </c>
      <c r="T489" s="129">
        <v>0.5452330356812084</v>
      </c>
      <c r="U489" s="130" t="e">
        <f t="shared" si="31"/>
        <v>#VALUE!</v>
      </c>
      <c r="V489" s="129">
        <v>0.545233037208258</v>
      </c>
      <c r="W489" s="130" t="e">
        <f t="shared" si="28"/>
        <v>#VALUE!</v>
      </c>
      <c r="X489" s="129">
        <v>0.545233037208258</v>
      </c>
      <c r="Y489" s="130" t="e">
        <f t="shared" si="29"/>
        <v>#VALUE!</v>
      </c>
      <c r="Z489" s="129">
        <v>0.545233037208258</v>
      </c>
      <c r="AA489" s="130" t="e">
        <f t="shared" si="30"/>
        <v>#VALUE!</v>
      </c>
    </row>
    <row r="490" spans="1:27" x14ac:dyDescent="0.3">
      <c r="A490">
        <v>490400</v>
      </c>
      <c r="B490">
        <v>17031490400</v>
      </c>
      <c r="C490">
        <v>17031</v>
      </c>
      <c r="D490">
        <v>2010</v>
      </c>
      <c r="E490">
        <v>49</v>
      </c>
      <c r="F490">
        <v>2558917.5309513998</v>
      </c>
      <c r="G490" s="43">
        <v>9.1788536320283803E-2</v>
      </c>
      <c r="H490" s="58" t="str">
        <f>_xlfn.IFNA(
INDEX(CA!B$2:B$78,MATCH($E490,CA!$A$2:$A$78,0)),
"")</f>
        <v>ROSELAND</v>
      </c>
      <c r="I490" s="60" t="str">
        <f>_xlfn.IFNA(
INDEX(CA!C$2:C$78,MATCH($E490,CA!$A$2:$A$78,0)),
"")</f>
        <v>5-B</v>
      </c>
      <c r="J490" s="60">
        <f>_xlfn.IFNA(
INDEX(CA!D$2:D$78,MATCH($E490,CA!$A$2:$A$78,0)),
"")</f>
        <v>5</v>
      </c>
      <c r="K490" s="58" t="str">
        <f>_xlfn.IFNA(
INDEX(CA!E$2:E$78,MATCH($E490,CA!$A$2:$A$78,0)),
"")</f>
        <v>FAR SOUTH</v>
      </c>
      <c r="L490" s="15" t="e">
        <v>#VALUE!</v>
      </c>
      <c r="M490" s="15" t="e">
        <v>#VALUE!</v>
      </c>
      <c r="N490" s="15" t="e">
        <v>#VALUE!</v>
      </c>
      <c r="O490" s="15" t="e">
        <v>#VALUE!</v>
      </c>
      <c r="P490" s="15" t="e">
        <v>#VALUE!</v>
      </c>
      <c r="Q490" s="15" t="e">
        <v>#VALUE!</v>
      </c>
      <c r="R490" s="15" t="e">
        <v>#VALUE!</v>
      </c>
      <c r="S490" s="15" t="e">
        <v>#VALUE!</v>
      </c>
      <c r="T490" s="129">
        <v>9.1461496268020762E-2</v>
      </c>
      <c r="U490" s="130" t="e">
        <f t="shared" si="31"/>
        <v>#VALUE!</v>
      </c>
      <c r="V490" s="129">
        <v>8.0920488915401531E-2</v>
      </c>
      <c r="W490" s="130" t="e">
        <f t="shared" si="28"/>
        <v>#VALUE!</v>
      </c>
      <c r="X490" s="129">
        <v>8.0920488915401531E-2</v>
      </c>
      <c r="Y490" s="130" t="e">
        <f t="shared" si="29"/>
        <v>#VALUE!</v>
      </c>
      <c r="Z490" s="129">
        <v>8.0920488915401531E-2</v>
      </c>
      <c r="AA490" s="130" t="e">
        <f t="shared" si="30"/>
        <v>#VALUE!</v>
      </c>
    </row>
    <row r="491" spans="1:27" x14ac:dyDescent="0.3">
      <c r="A491">
        <v>491300</v>
      </c>
      <c r="B491">
        <v>17031491300</v>
      </c>
      <c r="C491">
        <v>17031</v>
      </c>
      <c r="D491">
        <v>2010</v>
      </c>
      <c r="E491">
        <v>49</v>
      </c>
      <c r="F491">
        <v>6955384.2783081699</v>
      </c>
      <c r="G491" s="43">
        <v>0.24949008114913948</v>
      </c>
      <c r="H491" s="58" t="str">
        <f>_xlfn.IFNA(
INDEX(CA!B$2:B$78,MATCH($E491,CA!$A$2:$A$78,0)),
"")</f>
        <v>ROSELAND</v>
      </c>
      <c r="I491" s="60" t="str">
        <f>_xlfn.IFNA(
INDEX(CA!C$2:C$78,MATCH($E491,CA!$A$2:$A$78,0)),
"")</f>
        <v>5-B</v>
      </c>
      <c r="J491" s="60">
        <f>_xlfn.IFNA(
INDEX(CA!D$2:D$78,MATCH($E491,CA!$A$2:$A$78,0)),
"")</f>
        <v>5</v>
      </c>
      <c r="K491" s="58" t="str">
        <f>_xlfn.IFNA(
INDEX(CA!E$2:E$78,MATCH($E491,CA!$A$2:$A$78,0)),
"")</f>
        <v>FAR SOUTH</v>
      </c>
      <c r="L491" s="15" t="e">
        <v>#VALUE!</v>
      </c>
      <c r="M491" s="15" t="e">
        <v>#VALUE!</v>
      </c>
      <c r="N491" s="15" t="e">
        <v>#VALUE!</v>
      </c>
      <c r="O491" s="15" t="e">
        <v>#VALUE!</v>
      </c>
      <c r="P491" s="15" t="e">
        <v>#VALUE!</v>
      </c>
      <c r="Q491" s="15" t="e">
        <v>#VALUE!</v>
      </c>
      <c r="R491" s="15" t="e">
        <v>#VALUE!</v>
      </c>
      <c r="S491" s="15" t="e">
        <v>#VALUE!</v>
      </c>
      <c r="T491" s="129">
        <v>0.19540614919831018</v>
      </c>
      <c r="U491" s="130" t="e">
        <f t="shared" si="31"/>
        <v>#VALUE!</v>
      </c>
      <c r="V491" s="129">
        <v>0</v>
      </c>
      <c r="W491" s="130" t="e">
        <f t="shared" si="28"/>
        <v>#VALUE!</v>
      </c>
      <c r="X491" s="129">
        <v>0</v>
      </c>
      <c r="Y491" s="130" t="e">
        <f t="shared" si="29"/>
        <v>#VALUE!</v>
      </c>
      <c r="Z491" s="129">
        <v>0</v>
      </c>
      <c r="AA491" s="130" t="e">
        <f t="shared" si="30"/>
        <v>#VALUE!</v>
      </c>
    </row>
    <row r="492" spans="1:27" x14ac:dyDescent="0.3">
      <c r="A492">
        <v>490800</v>
      </c>
      <c r="B492">
        <v>17031490800</v>
      </c>
      <c r="C492">
        <v>17031</v>
      </c>
      <c r="D492">
        <v>2010</v>
      </c>
      <c r="E492">
        <v>49</v>
      </c>
      <c r="F492">
        <v>11751008.1927412</v>
      </c>
      <c r="G492" s="43">
        <v>0.4215094192185061</v>
      </c>
      <c r="H492" s="58" t="str">
        <f>_xlfn.IFNA(
INDEX(CA!B$2:B$78,MATCH($E492,CA!$A$2:$A$78,0)),
"")</f>
        <v>ROSELAND</v>
      </c>
      <c r="I492" s="60" t="str">
        <f>_xlfn.IFNA(
INDEX(CA!C$2:C$78,MATCH($E492,CA!$A$2:$A$78,0)),
"")</f>
        <v>5-B</v>
      </c>
      <c r="J492" s="60">
        <f>_xlfn.IFNA(
INDEX(CA!D$2:D$78,MATCH($E492,CA!$A$2:$A$78,0)),
"")</f>
        <v>5</v>
      </c>
      <c r="K492" s="58" t="str">
        <f>_xlfn.IFNA(
INDEX(CA!E$2:E$78,MATCH($E492,CA!$A$2:$A$78,0)),
"")</f>
        <v>FAR SOUTH</v>
      </c>
      <c r="L492" s="15" t="e">
        <v>#VALUE!</v>
      </c>
      <c r="M492" s="15" t="e">
        <v>#VALUE!</v>
      </c>
      <c r="N492" s="15" t="e">
        <v>#VALUE!</v>
      </c>
      <c r="O492" s="15" t="e">
        <v>#VALUE!</v>
      </c>
      <c r="P492" s="15" t="e">
        <v>#VALUE!</v>
      </c>
      <c r="Q492" s="15" t="e">
        <v>#VALUE!</v>
      </c>
      <c r="R492" s="15" t="e">
        <v>#VALUE!</v>
      </c>
      <c r="S492" s="15" t="e">
        <v>#VALUE!</v>
      </c>
      <c r="T492" s="129">
        <v>0.42150942094436195</v>
      </c>
      <c r="U492" s="130" t="e">
        <f t="shared" si="31"/>
        <v>#VALUE!</v>
      </c>
      <c r="V492" s="129">
        <v>0.42150942094436195</v>
      </c>
      <c r="W492" s="130" t="e">
        <f t="shared" si="28"/>
        <v>#VALUE!</v>
      </c>
      <c r="X492" s="129">
        <v>0.42150942094436195</v>
      </c>
      <c r="Y492" s="130" t="e">
        <f t="shared" si="29"/>
        <v>#VALUE!</v>
      </c>
      <c r="Z492" s="129">
        <v>0.42150942094436195</v>
      </c>
      <c r="AA492" s="130" t="e">
        <f t="shared" si="30"/>
        <v>#VALUE!</v>
      </c>
    </row>
    <row r="493" spans="1:27" x14ac:dyDescent="0.3">
      <c r="A493">
        <v>843700</v>
      </c>
      <c r="B493">
        <v>17031843700</v>
      </c>
      <c r="C493">
        <v>17031</v>
      </c>
      <c r="D493">
        <v>2010</v>
      </c>
      <c r="E493">
        <v>5</v>
      </c>
      <c r="F493">
        <v>13699547.9786203</v>
      </c>
      <c r="G493" s="43">
        <v>0.49140366658848067</v>
      </c>
      <c r="H493" s="58" t="str">
        <f>_xlfn.IFNA(
INDEX(CA!B$2:B$78,MATCH($E493,CA!$A$2:$A$78,0)),
"")</f>
        <v>NORTH CENTER</v>
      </c>
      <c r="I493" s="60" t="str">
        <f>_xlfn.IFNA(
INDEX(CA!C$2:C$78,MATCH($E493,CA!$A$2:$A$78,0)),
"")</f>
        <v>1-B</v>
      </c>
      <c r="J493" s="60">
        <f>_xlfn.IFNA(
INDEX(CA!D$2:D$78,MATCH($E493,CA!$A$2:$A$78,0)),
"")</f>
        <v>1</v>
      </c>
      <c r="K493" s="58" t="str">
        <f>_xlfn.IFNA(
INDEX(CA!E$2:E$78,MATCH($E493,CA!$A$2:$A$78,0)),
"")</f>
        <v>NORTH</v>
      </c>
      <c r="L493" s="15" t="e">
        <v>#VALUE!</v>
      </c>
      <c r="M493" s="15" t="e">
        <v>#VALUE!</v>
      </c>
      <c r="N493" s="15" t="e">
        <v>#VALUE!</v>
      </c>
      <c r="O493" s="15" t="e">
        <v>#VALUE!</v>
      </c>
      <c r="P493" s="15" t="e">
        <v>#VALUE!</v>
      </c>
      <c r="Q493" s="15" t="e">
        <v>#VALUE!</v>
      </c>
      <c r="R493" s="15" t="e">
        <v>#VALUE!</v>
      </c>
      <c r="S493" s="15" t="e">
        <v>#VALUE!</v>
      </c>
      <c r="T493" s="129">
        <v>0.49140366675203739</v>
      </c>
      <c r="U493" s="130" t="e">
        <f t="shared" si="31"/>
        <v>#VALUE!</v>
      </c>
      <c r="V493" s="129">
        <v>0.49140366675203739</v>
      </c>
      <c r="W493" s="130" t="e">
        <f t="shared" si="28"/>
        <v>#VALUE!</v>
      </c>
      <c r="X493" s="129">
        <v>0.49140366675203739</v>
      </c>
      <c r="Y493" s="130" t="e">
        <f t="shared" si="29"/>
        <v>#VALUE!</v>
      </c>
      <c r="Z493" s="129">
        <v>0.49140366675203739</v>
      </c>
      <c r="AA493" s="130" t="e">
        <f t="shared" si="30"/>
        <v>#VALUE!</v>
      </c>
    </row>
    <row r="494" spans="1:27" x14ac:dyDescent="0.3">
      <c r="A494">
        <v>50500</v>
      </c>
      <c r="B494">
        <v>17031050500</v>
      </c>
      <c r="C494">
        <v>17031</v>
      </c>
      <c r="D494">
        <v>2010</v>
      </c>
      <c r="E494">
        <v>5</v>
      </c>
      <c r="F494">
        <v>7014182.2950261999</v>
      </c>
      <c r="G494" s="43">
        <v>0.25159916978830205</v>
      </c>
      <c r="H494" s="58" t="str">
        <f>_xlfn.IFNA(
INDEX(CA!B$2:B$78,MATCH($E494,CA!$A$2:$A$78,0)),
"")</f>
        <v>NORTH CENTER</v>
      </c>
      <c r="I494" s="60" t="str">
        <f>_xlfn.IFNA(
INDEX(CA!C$2:C$78,MATCH($E494,CA!$A$2:$A$78,0)),
"")</f>
        <v>1-B</v>
      </c>
      <c r="J494" s="60">
        <f>_xlfn.IFNA(
INDEX(CA!D$2:D$78,MATCH($E494,CA!$A$2:$A$78,0)),
"")</f>
        <v>1</v>
      </c>
      <c r="K494" s="58" t="str">
        <f>_xlfn.IFNA(
INDEX(CA!E$2:E$78,MATCH($E494,CA!$A$2:$A$78,0)),
"")</f>
        <v>NORTH</v>
      </c>
      <c r="L494" s="15" t="e">
        <v>#VALUE!</v>
      </c>
      <c r="M494" s="15" t="e">
        <v>#VALUE!</v>
      </c>
      <c r="N494" s="15" t="e">
        <v>#VALUE!</v>
      </c>
      <c r="O494" s="15" t="e">
        <v>#VALUE!</v>
      </c>
      <c r="P494" s="15" t="e">
        <v>#VALUE!</v>
      </c>
      <c r="Q494" s="15" t="e">
        <v>#VALUE!</v>
      </c>
      <c r="R494" s="15" t="e">
        <v>#VALUE!</v>
      </c>
      <c r="S494" s="15" t="e">
        <v>#VALUE!</v>
      </c>
      <c r="T494" s="129">
        <v>0.25159916488511069</v>
      </c>
      <c r="U494" s="130" t="e">
        <f t="shared" si="31"/>
        <v>#VALUE!</v>
      </c>
      <c r="V494" s="129">
        <v>0.25159916488511069</v>
      </c>
      <c r="W494" s="130" t="e">
        <f t="shared" si="28"/>
        <v>#VALUE!</v>
      </c>
      <c r="X494" s="129">
        <v>0.25159916488511069</v>
      </c>
      <c r="Y494" s="130" t="e">
        <f t="shared" si="29"/>
        <v>#VALUE!</v>
      </c>
      <c r="Z494" s="129">
        <v>0.25159916488511069</v>
      </c>
      <c r="AA494" s="130" t="e">
        <f t="shared" si="30"/>
        <v>#VALUE!</v>
      </c>
    </row>
    <row r="495" spans="1:27" x14ac:dyDescent="0.3">
      <c r="A495">
        <v>50600</v>
      </c>
      <c r="B495">
        <v>17031050600</v>
      </c>
      <c r="C495">
        <v>17031</v>
      </c>
      <c r="D495">
        <v>2010</v>
      </c>
      <c r="E495">
        <v>5</v>
      </c>
      <c r="F495">
        <v>3574615.01867727</v>
      </c>
      <c r="G495" s="43">
        <v>0.1282216704931872</v>
      </c>
      <c r="H495" s="58" t="str">
        <f>_xlfn.IFNA(
INDEX(CA!B$2:B$78,MATCH($E495,CA!$A$2:$A$78,0)),
"")</f>
        <v>NORTH CENTER</v>
      </c>
      <c r="I495" s="60" t="str">
        <f>_xlfn.IFNA(
INDEX(CA!C$2:C$78,MATCH($E495,CA!$A$2:$A$78,0)),
"")</f>
        <v>1-B</v>
      </c>
      <c r="J495" s="60">
        <f>_xlfn.IFNA(
INDEX(CA!D$2:D$78,MATCH($E495,CA!$A$2:$A$78,0)),
"")</f>
        <v>1</v>
      </c>
      <c r="K495" s="58" t="str">
        <f>_xlfn.IFNA(
INDEX(CA!E$2:E$78,MATCH($E495,CA!$A$2:$A$78,0)),
"")</f>
        <v>NORTH</v>
      </c>
      <c r="L495" s="15" t="e">
        <v>#VALUE!</v>
      </c>
      <c r="M495" s="15" t="e">
        <v>#VALUE!</v>
      </c>
      <c r="N495" s="15" t="e">
        <v>#VALUE!</v>
      </c>
      <c r="O495" s="15" t="e">
        <v>#VALUE!</v>
      </c>
      <c r="P495" s="15" t="e">
        <v>#VALUE!</v>
      </c>
      <c r="Q495" s="15" t="e">
        <v>#VALUE!</v>
      </c>
      <c r="R495" s="15" t="e">
        <v>#VALUE!</v>
      </c>
      <c r="S495" s="15" t="e">
        <v>#VALUE!</v>
      </c>
      <c r="T495" s="129">
        <v>0.12822167195514844</v>
      </c>
      <c r="U495" s="130" t="e">
        <f t="shared" si="31"/>
        <v>#VALUE!</v>
      </c>
      <c r="V495" s="129">
        <v>0.12822167195514844</v>
      </c>
      <c r="W495" s="130" t="e">
        <f t="shared" si="28"/>
        <v>#VALUE!</v>
      </c>
      <c r="X495" s="129">
        <v>0.12822167195514844</v>
      </c>
      <c r="Y495" s="130" t="e">
        <f t="shared" si="29"/>
        <v>#VALUE!</v>
      </c>
      <c r="Z495" s="129">
        <v>0.12822167195514844</v>
      </c>
      <c r="AA495" s="130" t="e">
        <f t="shared" si="30"/>
        <v>#VALUE!</v>
      </c>
    </row>
    <row r="496" spans="1:27" x14ac:dyDescent="0.3">
      <c r="A496">
        <v>50700</v>
      </c>
      <c r="B496">
        <v>17031050700</v>
      </c>
      <c r="C496">
        <v>17031</v>
      </c>
      <c r="D496">
        <v>2010</v>
      </c>
      <c r="E496">
        <v>5</v>
      </c>
      <c r="F496">
        <v>1766489.81016726</v>
      </c>
      <c r="G496" s="43">
        <v>6.3364103039172268E-2</v>
      </c>
      <c r="H496" s="58" t="str">
        <f>_xlfn.IFNA(
INDEX(CA!B$2:B$78,MATCH($E496,CA!$A$2:$A$78,0)),
"")</f>
        <v>NORTH CENTER</v>
      </c>
      <c r="I496" s="60" t="str">
        <f>_xlfn.IFNA(
INDEX(CA!C$2:C$78,MATCH($E496,CA!$A$2:$A$78,0)),
"")</f>
        <v>1-B</v>
      </c>
      <c r="J496" s="60">
        <f>_xlfn.IFNA(
INDEX(CA!D$2:D$78,MATCH($E496,CA!$A$2:$A$78,0)),
"")</f>
        <v>1</v>
      </c>
      <c r="K496" s="58" t="str">
        <f>_xlfn.IFNA(
INDEX(CA!E$2:E$78,MATCH($E496,CA!$A$2:$A$78,0)),
"")</f>
        <v>NORTH</v>
      </c>
      <c r="L496" s="15" t="e">
        <v>#VALUE!</v>
      </c>
      <c r="M496" s="15" t="e">
        <v>#VALUE!</v>
      </c>
      <c r="N496" s="15" t="e">
        <v>#VALUE!</v>
      </c>
      <c r="O496" s="15" t="e">
        <v>#VALUE!</v>
      </c>
      <c r="P496" s="15" t="e">
        <v>#VALUE!</v>
      </c>
      <c r="Q496" s="15" t="e">
        <v>#VALUE!</v>
      </c>
      <c r="R496" s="15" t="e">
        <v>#VALUE!</v>
      </c>
      <c r="S496" s="15" t="e">
        <v>#VALUE!</v>
      </c>
      <c r="T496" s="129">
        <v>6.3364104618661043E-2</v>
      </c>
      <c r="U496" s="130" t="e">
        <f t="shared" si="31"/>
        <v>#VALUE!</v>
      </c>
      <c r="V496" s="129">
        <v>6.3364104618661043E-2</v>
      </c>
      <c r="W496" s="130" t="e">
        <f t="shared" si="28"/>
        <v>#VALUE!</v>
      </c>
      <c r="X496" s="129">
        <v>6.3364104618661043E-2</v>
      </c>
      <c r="Y496" s="130" t="e">
        <f t="shared" si="29"/>
        <v>#VALUE!</v>
      </c>
      <c r="Z496" s="129">
        <v>6.3364104618661043E-2</v>
      </c>
      <c r="AA496" s="130" t="e">
        <f t="shared" si="30"/>
        <v>#VALUE!</v>
      </c>
    </row>
    <row r="497" spans="1:27" x14ac:dyDescent="0.3">
      <c r="A497">
        <v>50800</v>
      </c>
      <c r="B497">
        <v>17031050800</v>
      </c>
      <c r="C497">
        <v>17031</v>
      </c>
      <c r="D497">
        <v>2010</v>
      </c>
      <c r="E497">
        <v>5</v>
      </c>
      <c r="F497">
        <v>1752761.7837599299</v>
      </c>
      <c r="G497" s="43">
        <v>6.2871677849515389E-2</v>
      </c>
      <c r="H497" s="58" t="str">
        <f>_xlfn.IFNA(
INDEX(CA!B$2:B$78,MATCH($E497,CA!$A$2:$A$78,0)),
"")</f>
        <v>NORTH CENTER</v>
      </c>
      <c r="I497" s="60" t="str">
        <f>_xlfn.IFNA(
INDEX(CA!C$2:C$78,MATCH($E497,CA!$A$2:$A$78,0)),
"")</f>
        <v>1-B</v>
      </c>
      <c r="J497" s="60">
        <f>_xlfn.IFNA(
INDEX(CA!D$2:D$78,MATCH($E497,CA!$A$2:$A$78,0)),
"")</f>
        <v>1</v>
      </c>
      <c r="K497" s="58" t="str">
        <f>_xlfn.IFNA(
INDEX(CA!E$2:E$78,MATCH($E497,CA!$A$2:$A$78,0)),
"")</f>
        <v>NORTH</v>
      </c>
      <c r="L497" s="15" t="e">
        <v>#VALUE!</v>
      </c>
      <c r="M497" s="15" t="e">
        <v>#VALUE!</v>
      </c>
      <c r="N497" s="15" t="e">
        <v>#VALUE!</v>
      </c>
      <c r="O497" s="15" t="e">
        <v>#VALUE!</v>
      </c>
      <c r="P497" s="15" t="e">
        <v>#VALUE!</v>
      </c>
      <c r="Q497" s="15" t="e">
        <v>#VALUE!</v>
      </c>
      <c r="R497" s="15" t="e">
        <v>#VALUE!</v>
      </c>
      <c r="S497" s="15" t="e">
        <v>#VALUE!</v>
      </c>
      <c r="T497" s="129">
        <v>6.2871676882277669E-2</v>
      </c>
      <c r="U497" s="130" t="e">
        <f t="shared" si="31"/>
        <v>#VALUE!</v>
      </c>
      <c r="V497" s="129">
        <v>6.2871676882277669E-2</v>
      </c>
      <c r="W497" s="130" t="e">
        <f t="shared" si="28"/>
        <v>#VALUE!</v>
      </c>
      <c r="X497" s="129">
        <v>6.2871676882277669E-2</v>
      </c>
      <c r="Y497" s="130" t="e">
        <f t="shared" si="29"/>
        <v>#VALUE!</v>
      </c>
      <c r="Z497" s="129">
        <v>6.2871676882277669E-2</v>
      </c>
      <c r="AA497" s="130" t="e">
        <f t="shared" si="30"/>
        <v>#VALUE!</v>
      </c>
    </row>
    <row r="498" spans="1:27" x14ac:dyDescent="0.3">
      <c r="A498">
        <v>51000</v>
      </c>
      <c r="B498">
        <v>17031051000</v>
      </c>
      <c r="C498">
        <v>17031</v>
      </c>
      <c r="D498">
        <v>2010</v>
      </c>
      <c r="E498">
        <v>5</v>
      </c>
      <c r="F498">
        <v>1709145.9595221099</v>
      </c>
      <c r="G498" s="43">
        <v>6.1307175430516454E-2</v>
      </c>
      <c r="H498" s="58" t="str">
        <f>_xlfn.IFNA(
INDEX(CA!B$2:B$78,MATCH($E498,CA!$A$2:$A$78,0)),
"")</f>
        <v>NORTH CENTER</v>
      </c>
      <c r="I498" s="60" t="str">
        <f>_xlfn.IFNA(
INDEX(CA!C$2:C$78,MATCH($E498,CA!$A$2:$A$78,0)),
"")</f>
        <v>1-B</v>
      </c>
      <c r="J498" s="60">
        <f>_xlfn.IFNA(
INDEX(CA!D$2:D$78,MATCH($E498,CA!$A$2:$A$78,0)),
"")</f>
        <v>1</v>
      </c>
      <c r="K498" s="58" t="str">
        <f>_xlfn.IFNA(
INDEX(CA!E$2:E$78,MATCH($E498,CA!$A$2:$A$78,0)),
"")</f>
        <v>NORTH</v>
      </c>
      <c r="L498" s="15" t="e">
        <v>#VALUE!</v>
      </c>
      <c r="M498" s="15" t="e">
        <v>#VALUE!</v>
      </c>
      <c r="N498" s="15" t="e">
        <v>#VALUE!</v>
      </c>
      <c r="O498" s="15" t="e">
        <v>#VALUE!</v>
      </c>
      <c r="P498" s="15" t="e">
        <v>#VALUE!</v>
      </c>
      <c r="Q498" s="15" t="e">
        <v>#VALUE!</v>
      </c>
      <c r="R498" s="15" t="e">
        <v>#VALUE!</v>
      </c>
      <c r="S498" s="15" t="e">
        <v>#VALUE!</v>
      </c>
      <c r="T498" s="129">
        <v>6.1307174407783091E-2</v>
      </c>
      <c r="U498" s="130" t="e">
        <f t="shared" si="31"/>
        <v>#VALUE!</v>
      </c>
      <c r="V498" s="129">
        <v>6.1307174407783091E-2</v>
      </c>
      <c r="W498" s="130" t="e">
        <f t="shared" si="28"/>
        <v>#VALUE!</v>
      </c>
      <c r="X498" s="129">
        <v>6.1307174407783091E-2</v>
      </c>
      <c r="Y498" s="130" t="e">
        <f t="shared" si="29"/>
        <v>#VALUE!</v>
      </c>
      <c r="Z498" s="129">
        <v>6.1307174407783091E-2</v>
      </c>
      <c r="AA498" s="130" t="e">
        <f t="shared" si="30"/>
        <v>#VALUE!</v>
      </c>
    </row>
    <row r="499" spans="1:27" x14ac:dyDescent="0.3">
      <c r="A499">
        <v>51100</v>
      </c>
      <c r="B499">
        <v>17031051100</v>
      </c>
      <c r="C499">
        <v>17031</v>
      </c>
      <c r="D499">
        <v>2010</v>
      </c>
      <c r="E499">
        <v>5</v>
      </c>
      <c r="F499">
        <v>1751454.6771730999</v>
      </c>
      <c r="G499" s="43">
        <v>6.28247918522261E-2</v>
      </c>
      <c r="H499" s="58" t="str">
        <f>_xlfn.IFNA(
INDEX(CA!B$2:B$78,MATCH($E499,CA!$A$2:$A$78,0)),
"")</f>
        <v>NORTH CENTER</v>
      </c>
      <c r="I499" s="60" t="str">
        <f>_xlfn.IFNA(
INDEX(CA!C$2:C$78,MATCH($E499,CA!$A$2:$A$78,0)),
"")</f>
        <v>1-B</v>
      </c>
      <c r="J499" s="60">
        <f>_xlfn.IFNA(
INDEX(CA!D$2:D$78,MATCH($E499,CA!$A$2:$A$78,0)),
"")</f>
        <v>1</v>
      </c>
      <c r="K499" s="58" t="str">
        <f>_xlfn.IFNA(
INDEX(CA!E$2:E$78,MATCH($E499,CA!$A$2:$A$78,0)),
"")</f>
        <v>NORTH</v>
      </c>
      <c r="L499" s="15" t="e">
        <v>#VALUE!</v>
      </c>
      <c r="M499" s="15" t="e">
        <v>#VALUE!</v>
      </c>
      <c r="N499" s="15" t="e">
        <v>#VALUE!</v>
      </c>
      <c r="O499" s="15" t="e">
        <v>#VALUE!</v>
      </c>
      <c r="P499" s="15" t="e">
        <v>#VALUE!</v>
      </c>
      <c r="Q499" s="15" t="e">
        <v>#VALUE!</v>
      </c>
      <c r="R499" s="15" t="e">
        <v>#VALUE!</v>
      </c>
      <c r="S499" s="15" t="e">
        <v>#VALUE!</v>
      </c>
      <c r="T499" s="129">
        <v>6.282479108443921E-2</v>
      </c>
      <c r="U499" s="130" t="e">
        <f t="shared" si="31"/>
        <v>#VALUE!</v>
      </c>
      <c r="V499" s="129">
        <v>6.282479108443921E-2</v>
      </c>
      <c r="W499" s="130" t="e">
        <f t="shared" si="28"/>
        <v>#VALUE!</v>
      </c>
      <c r="X499" s="129">
        <v>6.282479108443921E-2</v>
      </c>
      <c r="Y499" s="130" t="e">
        <f t="shared" si="29"/>
        <v>#VALUE!</v>
      </c>
      <c r="Z499" s="129">
        <v>6.282479108443921E-2</v>
      </c>
      <c r="AA499" s="130" t="e">
        <f t="shared" si="30"/>
        <v>#VALUE!</v>
      </c>
    </row>
    <row r="500" spans="1:27" x14ac:dyDescent="0.3">
      <c r="A500">
        <v>51400</v>
      </c>
      <c r="B500">
        <v>17031051400</v>
      </c>
      <c r="C500">
        <v>17031</v>
      </c>
      <c r="D500">
        <v>2010</v>
      </c>
      <c r="E500">
        <v>5</v>
      </c>
      <c r="F500">
        <v>3857084.0313709001</v>
      </c>
      <c r="G500" s="43">
        <v>0.13835385213537721</v>
      </c>
      <c r="H500" s="58" t="str">
        <f>_xlfn.IFNA(
INDEX(CA!B$2:B$78,MATCH($E500,CA!$A$2:$A$78,0)),
"")</f>
        <v>NORTH CENTER</v>
      </c>
      <c r="I500" s="60" t="str">
        <f>_xlfn.IFNA(
INDEX(CA!C$2:C$78,MATCH($E500,CA!$A$2:$A$78,0)),
"")</f>
        <v>1-B</v>
      </c>
      <c r="J500" s="60">
        <f>_xlfn.IFNA(
INDEX(CA!D$2:D$78,MATCH($E500,CA!$A$2:$A$78,0)),
"")</f>
        <v>1</v>
      </c>
      <c r="K500" s="58" t="str">
        <f>_xlfn.IFNA(
INDEX(CA!E$2:E$78,MATCH($E500,CA!$A$2:$A$78,0)),
"")</f>
        <v>NORTH</v>
      </c>
      <c r="L500" s="15" t="e">
        <v>#VALUE!</v>
      </c>
      <c r="M500" s="15" t="e">
        <v>#VALUE!</v>
      </c>
      <c r="N500" s="15" t="e">
        <v>#VALUE!</v>
      </c>
      <c r="O500" s="15" t="e">
        <v>#VALUE!</v>
      </c>
      <c r="P500" s="15" t="e">
        <v>#VALUE!</v>
      </c>
      <c r="Q500" s="15" t="e">
        <v>#VALUE!</v>
      </c>
      <c r="R500" s="15" t="e">
        <v>#VALUE!</v>
      </c>
      <c r="S500" s="15" t="e">
        <v>#VALUE!</v>
      </c>
      <c r="T500" s="129">
        <v>0.13835385287823726</v>
      </c>
      <c r="U500" s="130" t="e">
        <f t="shared" si="31"/>
        <v>#VALUE!</v>
      </c>
      <c r="V500" s="129">
        <v>0.13835385287823726</v>
      </c>
      <c r="W500" s="130" t="e">
        <f t="shared" si="28"/>
        <v>#VALUE!</v>
      </c>
      <c r="X500" s="129">
        <v>0.13835385287823726</v>
      </c>
      <c r="Y500" s="130" t="e">
        <f t="shared" si="29"/>
        <v>#VALUE!</v>
      </c>
      <c r="Z500" s="129">
        <v>0.13835385287823726</v>
      </c>
      <c r="AA500" s="130" t="e">
        <f t="shared" si="30"/>
        <v>#VALUE!</v>
      </c>
    </row>
    <row r="501" spans="1:27" x14ac:dyDescent="0.3">
      <c r="A501">
        <v>50100</v>
      </c>
      <c r="B501">
        <v>17031050100</v>
      </c>
      <c r="C501">
        <v>17031</v>
      </c>
      <c r="D501">
        <v>2010</v>
      </c>
      <c r="E501">
        <v>5</v>
      </c>
      <c r="F501">
        <v>3604607.4471111</v>
      </c>
      <c r="G501" s="43">
        <v>0.12929750082899663</v>
      </c>
      <c r="H501" s="58" t="str">
        <f>_xlfn.IFNA(
INDEX(CA!B$2:B$78,MATCH($E501,CA!$A$2:$A$78,0)),
"")</f>
        <v>NORTH CENTER</v>
      </c>
      <c r="I501" s="60" t="str">
        <f>_xlfn.IFNA(
INDEX(CA!C$2:C$78,MATCH($E501,CA!$A$2:$A$78,0)),
"")</f>
        <v>1-B</v>
      </c>
      <c r="J501" s="60">
        <f>_xlfn.IFNA(
INDEX(CA!D$2:D$78,MATCH($E501,CA!$A$2:$A$78,0)),
"")</f>
        <v>1</v>
      </c>
      <c r="K501" s="58" t="str">
        <f>_xlfn.IFNA(
INDEX(CA!E$2:E$78,MATCH($E501,CA!$A$2:$A$78,0)),
"")</f>
        <v>NORTH</v>
      </c>
      <c r="L501" s="15" t="e">
        <v>#VALUE!</v>
      </c>
      <c r="M501" s="15" t="e">
        <v>#VALUE!</v>
      </c>
      <c r="N501" s="15" t="e">
        <v>#VALUE!</v>
      </c>
      <c r="O501" s="15" t="e">
        <v>#VALUE!</v>
      </c>
      <c r="P501" s="15" t="e">
        <v>#VALUE!</v>
      </c>
      <c r="Q501" s="15" t="e">
        <v>#VALUE!</v>
      </c>
      <c r="R501" s="15" t="e">
        <v>#VALUE!</v>
      </c>
      <c r="S501" s="15" t="e">
        <v>#VALUE!</v>
      </c>
      <c r="T501" s="129">
        <v>0.12929750024877684</v>
      </c>
      <c r="U501" s="130" t="e">
        <f t="shared" si="31"/>
        <v>#VALUE!</v>
      </c>
      <c r="V501" s="129">
        <v>0.12929750024877684</v>
      </c>
      <c r="W501" s="130" t="e">
        <f t="shared" si="28"/>
        <v>#VALUE!</v>
      </c>
      <c r="X501" s="129">
        <v>0.12929750024877684</v>
      </c>
      <c r="Y501" s="130" t="e">
        <f t="shared" si="29"/>
        <v>#VALUE!</v>
      </c>
      <c r="Z501" s="129">
        <v>0.12929750024877684</v>
      </c>
      <c r="AA501" s="130" t="e">
        <f t="shared" si="30"/>
        <v>#VALUE!</v>
      </c>
    </row>
    <row r="502" spans="1:27" x14ac:dyDescent="0.3">
      <c r="A502">
        <v>50200</v>
      </c>
      <c r="B502">
        <v>17031050200</v>
      </c>
      <c r="C502">
        <v>17031</v>
      </c>
      <c r="D502">
        <v>2010</v>
      </c>
      <c r="E502">
        <v>5</v>
      </c>
      <c r="F502">
        <v>7030904.82106141</v>
      </c>
      <c r="G502" s="43">
        <v>0.25219900787209487</v>
      </c>
      <c r="H502" s="58" t="str">
        <f>_xlfn.IFNA(
INDEX(CA!B$2:B$78,MATCH($E502,CA!$A$2:$A$78,0)),
"")</f>
        <v>NORTH CENTER</v>
      </c>
      <c r="I502" s="60" t="str">
        <f>_xlfn.IFNA(
INDEX(CA!C$2:C$78,MATCH($E502,CA!$A$2:$A$78,0)),
"")</f>
        <v>1-B</v>
      </c>
      <c r="J502" s="60">
        <f>_xlfn.IFNA(
INDEX(CA!D$2:D$78,MATCH($E502,CA!$A$2:$A$78,0)),
"")</f>
        <v>1</v>
      </c>
      <c r="K502" s="58" t="str">
        <f>_xlfn.IFNA(
INDEX(CA!E$2:E$78,MATCH($E502,CA!$A$2:$A$78,0)),
"")</f>
        <v>NORTH</v>
      </c>
      <c r="L502" s="15" t="e">
        <v>#VALUE!</v>
      </c>
      <c r="M502" s="15" t="e">
        <v>#VALUE!</v>
      </c>
      <c r="N502" s="15" t="e">
        <v>#VALUE!</v>
      </c>
      <c r="O502" s="15" t="e">
        <v>#VALUE!</v>
      </c>
      <c r="P502" s="15" t="e">
        <v>#VALUE!</v>
      </c>
      <c r="Q502" s="15" t="e">
        <v>#VALUE!</v>
      </c>
      <c r="R502" s="15" t="e">
        <v>#VALUE!</v>
      </c>
      <c r="S502" s="15" t="e">
        <v>#VALUE!</v>
      </c>
      <c r="T502" s="129">
        <v>0.25219900922133481</v>
      </c>
      <c r="U502" s="130" t="e">
        <f t="shared" si="31"/>
        <v>#VALUE!</v>
      </c>
      <c r="V502" s="129">
        <v>0.25219900922133481</v>
      </c>
      <c r="W502" s="130" t="e">
        <f t="shared" si="28"/>
        <v>#VALUE!</v>
      </c>
      <c r="X502" s="129">
        <v>0.25219900922133481</v>
      </c>
      <c r="Y502" s="130" t="e">
        <f t="shared" si="29"/>
        <v>#VALUE!</v>
      </c>
      <c r="Z502" s="129">
        <v>0.25219900922133481</v>
      </c>
      <c r="AA502" s="130" t="e">
        <f t="shared" si="30"/>
        <v>#VALUE!</v>
      </c>
    </row>
    <row r="503" spans="1:27" x14ac:dyDescent="0.3">
      <c r="A503">
        <v>50300</v>
      </c>
      <c r="B503">
        <v>17031050300</v>
      </c>
      <c r="C503">
        <v>17031</v>
      </c>
      <c r="D503">
        <v>2010</v>
      </c>
      <c r="E503">
        <v>5</v>
      </c>
      <c r="F503">
        <v>4277151.75183398</v>
      </c>
      <c r="G503" s="43">
        <v>0.15342170826998608</v>
      </c>
      <c r="H503" s="58" t="str">
        <f>_xlfn.IFNA(
INDEX(CA!B$2:B$78,MATCH($E503,CA!$A$2:$A$78,0)),
"")</f>
        <v>NORTH CENTER</v>
      </c>
      <c r="I503" s="60" t="str">
        <f>_xlfn.IFNA(
INDEX(CA!C$2:C$78,MATCH($E503,CA!$A$2:$A$78,0)),
"")</f>
        <v>1-B</v>
      </c>
      <c r="J503" s="60">
        <f>_xlfn.IFNA(
INDEX(CA!D$2:D$78,MATCH($E503,CA!$A$2:$A$78,0)),
"")</f>
        <v>1</v>
      </c>
      <c r="K503" s="58" t="str">
        <f>_xlfn.IFNA(
INDEX(CA!E$2:E$78,MATCH($E503,CA!$A$2:$A$78,0)),
"")</f>
        <v>NORTH</v>
      </c>
      <c r="L503" s="15" t="e">
        <v>#VALUE!</v>
      </c>
      <c r="M503" s="15" t="e">
        <v>#VALUE!</v>
      </c>
      <c r="N503" s="15" t="e">
        <v>#VALUE!</v>
      </c>
      <c r="O503" s="15" t="e">
        <v>#VALUE!</v>
      </c>
      <c r="P503" s="15" t="e">
        <v>#VALUE!</v>
      </c>
      <c r="Q503" s="15" t="e">
        <v>#VALUE!</v>
      </c>
      <c r="R503" s="15" t="e">
        <v>#VALUE!</v>
      </c>
      <c r="S503" s="15" t="e">
        <v>#VALUE!</v>
      </c>
      <c r="T503" s="129">
        <v>0.15342170821181059</v>
      </c>
      <c r="U503" s="130" t="e">
        <f t="shared" si="31"/>
        <v>#VALUE!</v>
      </c>
      <c r="V503" s="129">
        <v>0.15342170821181059</v>
      </c>
      <c r="W503" s="130" t="e">
        <f t="shared" si="28"/>
        <v>#VALUE!</v>
      </c>
      <c r="X503" s="129">
        <v>0.15342170821181059</v>
      </c>
      <c r="Y503" s="130" t="e">
        <f t="shared" si="29"/>
        <v>#VALUE!</v>
      </c>
      <c r="Z503" s="129">
        <v>0.15342170821181059</v>
      </c>
      <c r="AA503" s="130" t="e">
        <f t="shared" si="30"/>
        <v>#VALUE!</v>
      </c>
    </row>
    <row r="504" spans="1:27" x14ac:dyDescent="0.3">
      <c r="A504">
        <v>50900</v>
      </c>
      <c r="B504">
        <v>17031050900</v>
      </c>
      <c r="C504">
        <v>17031</v>
      </c>
      <c r="D504">
        <v>2010</v>
      </c>
      <c r="E504">
        <v>5</v>
      </c>
      <c r="F504">
        <v>1751600.2320596999</v>
      </c>
      <c r="G504" s="43">
        <v>6.283001291536458E-2</v>
      </c>
      <c r="H504" s="58" t="str">
        <f>_xlfn.IFNA(
INDEX(CA!B$2:B$78,MATCH($E504,CA!$A$2:$A$78,0)),
"")</f>
        <v>NORTH CENTER</v>
      </c>
      <c r="I504" s="60" t="str">
        <f>_xlfn.IFNA(
INDEX(CA!C$2:C$78,MATCH($E504,CA!$A$2:$A$78,0)),
"")</f>
        <v>1-B</v>
      </c>
      <c r="J504" s="60">
        <f>_xlfn.IFNA(
INDEX(CA!D$2:D$78,MATCH($E504,CA!$A$2:$A$78,0)),
"")</f>
        <v>1</v>
      </c>
      <c r="K504" s="58" t="str">
        <f>_xlfn.IFNA(
INDEX(CA!E$2:E$78,MATCH($E504,CA!$A$2:$A$78,0)),
"")</f>
        <v>NORTH</v>
      </c>
      <c r="L504" s="15" t="e">
        <v>#VALUE!</v>
      </c>
      <c r="M504" s="15" t="e">
        <v>#VALUE!</v>
      </c>
      <c r="N504" s="15" t="e">
        <v>#VALUE!</v>
      </c>
      <c r="O504" s="15" t="e">
        <v>#VALUE!</v>
      </c>
      <c r="P504" s="15" t="e">
        <v>#VALUE!</v>
      </c>
      <c r="Q504" s="15" t="e">
        <v>#VALUE!</v>
      </c>
      <c r="R504" s="15" t="e">
        <v>#VALUE!</v>
      </c>
      <c r="S504" s="15" t="e">
        <v>#VALUE!</v>
      </c>
      <c r="T504" s="129">
        <v>6.2830016077164041E-2</v>
      </c>
      <c r="U504" s="130" t="e">
        <f t="shared" si="31"/>
        <v>#VALUE!</v>
      </c>
      <c r="V504" s="129">
        <v>6.2830016077164041E-2</v>
      </c>
      <c r="W504" s="130" t="e">
        <f t="shared" si="28"/>
        <v>#VALUE!</v>
      </c>
      <c r="X504" s="129">
        <v>6.2830016077164041E-2</v>
      </c>
      <c r="Y504" s="130" t="e">
        <f t="shared" si="29"/>
        <v>#VALUE!</v>
      </c>
      <c r="Z504" s="129">
        <v>6.2830016077164041E-2</v>
      </c>
      <c r="AA504" s="130" t="e">
        <f t="shared" si="30"/>
        <v>#VALUE!</v>
      </c>
    </row>
    <row r="505" spans="1:27" x14ac:dyDescent="0.3">
      <c r="A505">
        <v>51300</v>
      </c>
      <c r="B505">
        <v>17031051300</v>
      </c>
      <c r="C505">
        <v>17031</v>
      </c>
      <c r="D505">
        <v>2010</v>
      </c>
      <c r="E505">
        <v>5</v>
      </c>
      <c r="F505">
        <v>3493213.6562975501</v>
      </c>
      <c r="G505" s="43">
        <v>0.12530179839221584</v>
      </c>
      <c r="H505" s="58" t="str">
        <f>_xlfn.IFNA(
INDEX(CA!B$2:B$78,MATCH($E505,CA!$A$2:$A$78,0)),
"")</f>
        <v>NORTH CENTER</v>
      </c>
      <c r="I505" s="60" t="str">
        <f>_xlfn.IFNA(
INDEX(CA!C$2:C$78,MATCH($E505,CA!$A$2:$A$78,0)),
"")</f>
        <v>1-B</v>
      </c>
      <c r="J505" s="60">
        <f>_xlfn.IFNA(
INDEX(CA!D$2:D$78,MATCH($E505,CA!$A$2:$A$78,0)),
"")</f>
        <v>1</v>
      </c>
      <c r="K505" s="58" t="str">
        <f>_xlfn.IFNA(
INDEX(CA!E$2:E$78,MATCH($E505,CA!$A$2:$A$78,0)),
"")</f>
        <v>NORTH</v>
      </c>
      <c r="L505" s="15" t="e">
        <v>#VALUE!</v>
      </c>
      <c r="M505" s="15" t="e">
        <v>#VALUE!</v>
      </c>
      <c r="N505" s="15" t="e">
        <v>#VALUE!</v>
      </c>
      <c r="O505" s="15" t="e">
        <v>#VALUE!</v>
      </c>
      <c r="P505" s="15" t="e">
        <v>#VALUE!</v>
      </c>
      <c r="Q505" s="15" t="e">
        <v>#VALUE!</v>
      </c>
      <c r="R505" s="15" t="e">
        <v>#VALUE!</v>
      </c>
      <c r="S505" s="15" t="e">
        <v>#VALUE!</v>
      </c>
      <c r="T505" s="129">
        <v>0.12530180198084109</v>
      </c>
      <c r="U505" s="130" t="e">
        <f t="shared" si="31"/>
        <v>#VALUE!</v>
      </c>
      <c r="V505" s="129">
        <v>0.12530180198084109</v>
      </c>
      <c r="W505" s="130" t="e">
        <f t="shared" si="28"/>
        <v>#VALUE!</v>
      </c>
      <c r="X505" s="129">
        <v>0.12530180198084109</v>
      </c>
      <c r="Y505" s="130" t="e">
        <f t="shared" si="29"/>
        <v>#VALUE!</v>
      </c>
      <c r="Z505" s="129">
        <v>0.12530180198084109</v>
      </c>
      <c r="AA505" s="130" t="e">
        <f t="shared" si="30"/>
        <v>#VALUE!</v>
      </c>
    </row>
    <row r="506" spans="1:27" x14ac:dyDescent="0.3">
      <c r="A506">
        <v>51200</v>
      </c>
      <c r="B506">
        <v>17031051200</v>
      </c>
      <c r="C506">
        <v>17031</v>
      </c>
      <c r="D506">
        <v>2010</v>
      </c>
      <c r="E506">
        <v>5</v>
      </c>
      <c r="F506">
        <v>1771408.38707975</v>
      </c>
      <c r="G506" s="43">
        <v>6.3540532709185249E-2</v>
      </c>
      <c r="H506" s="58" t="str">
        <f>_xlfn.IFNA(
INDEX(CA!B$2:B$78,MATCH($E506,CA!$A$2:$A$78,0)),
"")</f>
        <v>NORTH CENTER</v>
      </c>
      <c r="I506" s="60" t="str">
        <f>_xlfn.IFNA(
INDEX(CA!C$2:C$78,MATCH($E506,CA!$A$2:$A$78,0)),
"")</f>
        <v>1-B</v>
      </c>
      <c r="J506" s="60">
        <f>_xlfn.IFNA(
INDEX(CA!D$2:D$78,MATCH($E506,CA!$A$2:$A$78,0)),
"")</f>
        <v>1</v>
      </c>
      <c r="K506" s="58" t="str">
        <f>_xlfn.IFNA(
INDEX(CA!E$2:E$78,MATCH($E506,CA!$A$2:$A$78,0)),
"")</f>
        <v>NORTH</v>
      </c>
      <c r="L506" s="15" t="e">
        <v>#VALUE!</v>
      </c>
      <c r="M506" s="15" t="e">
        <v>#VALUE!</v>
      </c>
      <c r="N506" s="15" t="e">
        <v>#VALUE!</v>
      </c>
      <c r="O506" s="15" t="e">
        <v>#VALUE!</v>
      </c>
      <c r="P506" s="15" t="e">
        <v>#VALUE!</v>
      </c>
      <c r="Q506" s="15" t="e">
        <v>#VALUE!</v>
      </c>
      <c r="R506" s="15" t="e">
        <v>#VALUE!</v>
      </c>
      <c r="S506" s="15" t="e">
        <v>#VALUE!</v>
      </c>
      <c r="T506" s="129">
        <v>6.3540532994502547E-2</v>
      </c>
      <c r="U506" s="130" t="e">
        <f t="shared" si="31"/>
        <v>#VALUE!</v>
      </c>
      <c r="V506" s="129">
        <v>6.3540532994502547E-2</v>
      </c>
      <c r="W506" s="130" t="e">
        <f t="shared" si="28"/>
        <v>#VALUE!</v>
      </c>
      <c r="X506" s="129">
        <v>6.3540532994502547E-2</v>
      </c>
      <c r="Y506" s="130" t="e">
        <f t="shared" si="29"/>
        <v>#VALUE!</v>
      </c>
      <c r="Z506" s="129">
        <v>6.3540532994502547E-2</v>
      </c>
      <c r="AA506" s="130" t="e">
        <f t="shared" si="30"/>
        <v>#VALUE!</v>
      </c>
    </row>
    <row r="507" spans="1:27" x14ac:dyDescent="0.3">
      <c r="A507">
        <v>500100</v>
      </c>
      <c r="B507">
        <v>17031500100</v>
      </c>
      <c r="C507">
        <v>17031</v>
      </c>
      <c r="D507">
        <v>2010</v>
      </c>
      <c r="E507">
        <v>50</v>
      </c>
      <c r="F507">
        <v>28817314.8125664</v>
      </c>
      <c r="G507" s="43">
        <v>1.0336789346794077</v>
      </c>
      <c r="H507" s="58" t="str">
        <f>_xlfn.IFNA(
INDEX(CA!B$2:B$78,MATCH($E507,CA!$A$2:$A$78,0)),
"")</f>
        <v>PULLMAN</v>
      </c>
      <c r="I507" s="60" t="str">
        <f>_xlfn.IFNA(
INDEX(CA!C$2:C$78,MATCH($E507,CA!$A$2:$A$78,0)),
"")</f>
        <v>5-B</v>
      </c>
      <c r="J507" s="60">
        <f>_xlfn.IFNA(
INDEX(CA!D$2:D$78,MATCH($E507,CA!$A$2:$A$78,0)),
"")</f>
        <v>5</v>
      </c>
      <c r="K507" s="58" t="str">
        <f>_xlfn.IFNA(
INDEX(CA!E$2:E$78,MATCH($E507,CA!$A$2:$A$78,0)),
"")</f>
        <v>FAR SOUTH</v>
      </c>
      <c r="L507" s="15" t="e">
        <v>#VALUE!</v>
      </c>
      <c r="M507" s="15" t="e">
        <v>#VALUE!</v>
      </c>
      <c r="N507" s="15" t="e">
        <v>#VALUE!</v>
      </c>
      <c r="O507" s="15" t="e">
        <v>#VALUE!</v>
      </c>
      <c r="P507" s="15" t="e">
        <v>#VALUE!</v>
      </c>
      <c r="Q507" s="15" t="e">
        <v>#VALUE!</v>
      </c>
      <c r="R507" s="15" t="e">
        <v>#VALUE!</v>
      </c>
      <c r="S507" s="15" t="e">
        <v>#VALUE!</v>
      </c>
      <c r="T507" s="129">
        <v>0.77042147001272665</v>
      </c>
      <c r="U507" s="130" t="e">
        <f t="shared" si="31"/>
        <v>#VALUE!</v>
      </c>
      <c r="V507" s="129">
        <v>0.77042147001272665</v>
      </c>
      <c r="W507" s="130" t="e">
        <f t="shared" si="28"/>
        <v>#VALUE!</v>
      </c>
      <c r="X507" s="129">
        <v>0.77042147001272665</v>
      </c>
      <c r="Y507" s="130" t="e">
        <f t="shared" si="29"/>
        <v>#VALUE!</v>
      </c>
      <c r="Z507" s="129">
        <v>0.77042147001272665</v>
      </c>
      <c r="AA507" s="130" t="e">
        <f t="shared" si="30"/>
        <v>#VALUE!</v>
      </c>
    </row>
    <row r="508" spans="1:27" x14ac:dyDescent="0.3">
      <c r="A508">
        <v>500300</v>
      </c>
      <c r="B508">
        <v>17031500300</v>
      </c>
      <c r="C508">
        <v>17031</v>
      </c>
      <c r="D508">
        <v>2010</v>
      </c>
      <c r="E508">
        <v>50</v>
      </c>
      <c r="F508">
        <v>7629956.5029773796</v>
      </c>
      <c r="G508" s="43">
        <v>0.27368703020895674</v>
      </c>
      <c r="H508" s="58" t="str">
        <f>_xlfn.IFNA(
INDEX(CA!B$2:B$78,MATCH($E508,CA!$A$2:$A$78,0)),
"")</f>
        <v>PULLMAN</v>
      </c>
      <c r="I508" s="60" t="str">
        <f>_xlfn.IFNA(
INDEX(CA!C$2:C$78,MATCH($E508,CA!$A$2:$A$78,0)),
"")</f>
        <v>5-B</v>
      </c>
      <c r="J508" s="60">
        <f>_xlfn.IFNA(
INDEX(CA!D$2:D$78,MATCH($E508,CA!$A$2:$A$78,0)),
"")</f>
        <v>5</v>
      </c>
      <c r="K508" s="58" t="str">
        <f>_xlfn.IFNA(
INDEX(CA!E$2:E$78,MATCH($E508,CA!$A$2:$A$78,0)),
"")</f>
        <v>FAR SOUTH</v>
      </c>
      <c r="L508" s="15" t="e">
        <v>#VALUE!</v>
      </c>
      <c r="M508" s="15" t="e">
        <v>#VALUE!</v>
      </c>
      <c r="N508" s="15" t="e">
        <v>#VALUE!</v>
      </c>
      <c r="O508" s="15" t="e">
        <v>#VALUE!</v>
      </c>
      <c r="P508" s="15" t="e">
        <v>#VALUE!</v>
      </c>
      <c r="Q508" s="15" t="e">
        <v>#VALUE!</v>
      </c>
      <c r="R508" s="15" t="e">
        <v>#VALUE!</v>
      </c>
      <c r="S508" s="15" t="e">
        <v>#VALUE!</v>
      </c>
      <c r="T508" s="129">
        <v>0.27368703245078696</v>
      </c>
      <c r="U508" s="130" t="e">
        <f t="shared" si="31"/>
        <v>#VALUE!</v>
      </c>
      <c r="V508" s="129">
        <v>0.27368703245078696</v>
      </c>
      <c r="W508" s="130" t="e">
        <f t="shared" si="28"/>
        <v>#VALUE!</v>
      </c>
      <c r="X508" s="129">
        <v>0.27368703245078696</v>
      </c>
      <c r="Y508" s="130" t="e">
        <f t="shared" si="29"/>
        <v>#VALUE!</v>
      </c>
      <c r="Z508" s="129">
        <v>0.27368703245078696</v>
      </c>
      <c r="AA508" s="130" t="e">
        <f t="shared" si="30"/>
        <v>#VALUE!</v>
      </c>
    </row>
    <row r="509" spans="1:27" x14ac:dyDescent="0.3">
      <c r="A509">
        <v>500200</v>
      </c>
      <c r="B509">
        <v>17031500200</v>
      </c>
      <c r="C509">
        <v>17031</v>
      </c>
      <c r="D509">
        <v>2010</v>
      </c>
      <c r="E509">
        <v>50</v>
      </c>
      <c r="F509">
        <v>22554284.286392801</v>
      </c>
      <c r="G509" s="43">
        <v>0.8090236271232496</v>
      </c>
      <c r="H509" s="58" t="str">
        <f>_xlfn.IFNA(
INDEX(CA!B$2:B$78,MATCH($E509,CA!$A$2:$A$78,0)),
"")</f>
        <v>PULLMAN</v>
      </c>
      <c r="I509" s="60" t="str">
        <f>_xlfn.IFNA(
INDEX(CA!C$2:C$78,MATCH($E509,CA!$A$2:$A$78,0)),
"")</f>
        <v>5-B</v>
      </c>
      <c r="J509" s="60">
        <f>_xlfn.IFNA(
INDEX(CA!D$2:D$78,MATCH($E509,CA!$A$2:$A$78,0)),
"")</f>
        <v>5</v>
      </c>
      <c r="K509" s="58" t="str">
        <f>_xlfn.IFNA(
INDEX(CA!E$2:E$78,MATCH($E509,CA!$A$2:$A$78,0)),
"")</f>
        <v>FAR SOUTH</v>
      </c>
      <c r="L509" s="15" t="e">
        <v>#VALUE!</v>
      </c>
      <c r="M509" s="15" t="e">
        <v>#VALUE!</v>
      </c>
      <c r="N509" s="15" t="e">
        <v>#VALUE!</v>
      </c>
      <c r="O509" s="15" t="e">
        <v>#VALUE!</v>
      </c>
      <c r="P509" s="15" t="e">
        <v>#VALUE!</v>
      </c>
      <c r="Q509" s="15" t="e">
        <v>#VALUE!</v>
      </c>
      <c r="R509" s="15" t="e">
        <v>#VALUE!</v>
      </c>
      <c r="S509" s="15" t="e">
        <v>#VALUE!</v>
      </c>
      <c r="T509" s="129">
        <v>0.80902363021336221</v>
      </c>
      <c r="U509" s="130" t="e">
        <f t="shared" si="31"/>
        <v>#VALUE!</v>
      </c>
      <c r="V509" s="129">
        <v>0.80902363021336221</v>
      </c>
      <c r="W509" s="130" t="e">
        <f t="shared" si="28"/>
        <v>#VALUE!</v>
      </c>
      <c r="X509" s="129">
        <v>0.80902363021336221</v>
      </c>
      <c r="Y509" s="130" t="e">
        <f t="shared" si="29"/>
        <v>#VALUE!</v>
      </c>
      <c r="Z509" s="129">
        <v>0.80902363021336221</v>
      </c>
      <c r="AA509" s="130" t="e">
        <f t="shared" si="30"/>
        <v>#VALUE!</v>
      </c>
    </row>
    <row r="510" spans="1:27" x14ac:dyDescent="0.3">
      <c r="A510">
        <v>510100</v>
      </c>
      <c r="B510">
        <v>17031510100</v>
      </c>
      <c r="C510">
        <v>17031</v>
      </c>
      <c r="D510">
        <v>2010</v>
      </c>
      <c r="E510">
        <v>51</v>
      </c>
      <c r="F510">
        <v>25199181.5393852</v>
      </c>
      <c r="G510" s="43">
        <v>0.90389626159984793</v>
      </c>
      <c r="H510" s="58" t="str">
        <f>_xlfn.IFNA(
INDEX(CA!B$2:B$78,MATCH($E510,CA!$A$2:$A$78,0)),
"")</f>
        <v>SOUTH DEERING</v>
      </c>
      <c r="I510" s="60" t="str">
        <f>_xlfn.IFNA(
INDEX(CA!C$2:C$78,MATCH($E510,CA!$A$2:$A$78,0)),
"")</f>
        <v>5-C</v>
      </c>
      <c r="J510" s="60">
        <f>_xlfn.IFNA(
INDEX(CA!D$2:D$78,MATCH($E510,CA!$A$2:$A$78,0)),
"")</f>
        <v>5</v>
      </c>
      <c r="K510" s="58" t="str">
        <f>_xlfn.IFNA(
INDEX(CA!E$2:E$78,MATCH($E510,CA!$A$2:$A$78,0)),
"")</f>
        <v>FAR SOUTH</v>
      </c>
      <c r="L510" s="15" t="e">
        <v>#VALUE!</v>
      </c>
      <c r="M510" s="15" t="e">
        <v>#VALUE!</v>
      </c>
      <c r="N510" s="15" t="e">
        <v>#VALUE!</v>
      </c>
      <c r="O510" s="15" t="e">
        <v>#VALUE!</v>
      </c>
      <c r="P510" s="15" t="e">
        <v>#VALUE!</v>
      </c>
      <c r="Q510" s="15" t="e">
        <v>#VALUE!</v>
      </c>
      <c r="R510" s="15" t="e">
        <v>#VALUE!</v>
      </c>
      <c r="S510" s="15" t="e">
        <v>#VALUE!</v>
      </c>
      <c r="T510" s="129">
        <v>0.75295345082439813</v>
      </c>
      <c r="U510" s="130" t="e">
        <f t="shared" si="31"/>
        <v>#VALUE!</v>
      </c>
      <c r="V510" s="129">
        <v>0.75295345082439813</v>
      </c>
      <c r="W510" s="130" t="e">
        <f t="shared" si="28"/>
        <v>#VALUE!</v>
      </c>
      <c r="X510" s="129">
        <v>0.75295345082439813</v>
      </c>
      <c r="Y510" s="130" t="e">
        <f t="shared" si="29"/>
        <v>#VALUE!</v>
      </c>
      <c r="Z510" s="129">
        <v>0.75295345082439813</v>
      </c>
      <c r="AA510" s="130" t="e">
        <f t="shared" si="30"/>
        <v>#VALUE!</v>
      </c>
    </row>
    <row r="511" spans="1:27" x14ac:dyDescent="0.3">
      <c r="A511">
        <v>510300</v>
      </c>
      <c r="B511">
        <v>17031510300</v>
      </c>
      <c r="C511">
        <v>17031</v>
      </c>
      <c r="D511">
        <v>2010</v>
      </c>
      <c r="E511">
        <v>51</v>
      </c>
      <c r="F511">
        <v>31583913.7684162</v>
      </c>
      <c r="G511" s="43">
        <v>1.1329170170603837</v>
      </c>
      <c r="H511" s="58" t="str">
        <f>_xlfn.IFNA(
INDEX(CA!B$2:B$78,MATCH($E511,CA!$A$2:$A$78,0)),
"")</f>
        <v>SOUTH DEERING</v>
      </c>
      <c r="I511" s="60" t="str">
        <f>_xlfn.IFNA(
INDEX(CA!C$2:C$78,MATCH($E511,CA!$A$2:$A$78,0)),
"")</f>
        <v>5-C</v>
      </c>
      <c r="J511" s="60">
        <f>_xlfn.IFNA(
INDEX(CA!D$2:D$78,MATCH($E511,CA!$A$2:$A$78,0)),
"")</f>
        <v>5</v>
      </c>
      <c r="K511" s="58" t="str">
        <f>_xlfn.IFNA(
INDEX(CA!E$2:E$78,MATCH($E511,CA!$A$2:$A$78,0)),
"")</f>
        <v>FAR SOUTH</v>
      </c>
      <c r="L511" s="15" t="e">
        <v>#VALUE!</v>
      </c>
      <c r="M511" s="15" t="e">
        <v>#VALUE!</v>
      </c>
      <c r="N511" s="15" t="e">
        <v>#VALUE!</v>
      </c>
      <c r="O511" s="15" t="e">
        <v>#VALUE!</v>
      </c>
      <c r="P511" s="15" t="e">
        <v>#VALUE!</v>
      </c>
      <c r="Q511" s="15" t="e">
        <v>#VALUE!</v>
      </c>
      <c r="R511" s="15" t="e">
        <v>#VALUE!</v>
      </c>
      <c r="S511" s="15" t="e">
        <v>#VALUE!</v>
      </c>
      <c r="T511" s="129">
        <v>0.33180792160485356</v>
      </c>
      <c r="U511" s="130" t="e">
        <f t="shared" si="31"/>
        <v>#VALUE!</v>
      </c>
      <c r="V511" s="129">
        <v>0.33180792160485356</v>
      </c>
      <c r="W511" s="130" t="e">
        <f t="shared" si="28"/>
        <v>#VALUE!</v>
      </c>
      <c r="X511" s="129">
        <v>0.33180792160485356</v>
      </c>
      <c r="Y511" s="130" t="e">
        <f t="shared" si="29"/>
        <v>#VALUE!</v>
      </c>
      <c r="Z511" s="129">
        <v>0.33180792160485356</v>
      </c>
      <c r="AA511" s="130" t="e">
        <f t="shared" si="30"/>
        <v>#VALUE!</v>
      </c>
    </row>
    <row r="512" spans="1:27" x14ac:dyDescent="0.3">
      <c r="A512">
        <v>838800</v>
      </c>
      <c r="B512">
        <v>17031838800</v>
      </c>
      <c r="C512">
        <v>17031</v>
      </c>
      <c r="D512">
        <v>2010</v>
      </c>
      <c r="E512">
        <v>51</v>
      </c>
      <c r="F512">
        <v>233279575.35760999</v>
      </c>
      <c r="G512" s="43">
        <v>8.3677533630914969</v>
      </c>
      <c r="H512" s="58" t="str">
        <f>_xlfn.IFNA(
INDEX(CA!B$2:B$78,MATCH($E512,CA!$A$2:$A$78,0)),
"")</f>
        <v>SOUTH DEERING</v>
      </c>
      <c r="I512" s="60" t="str">
        <f>_xlfn.IFNA(
INDEX(CA!C$2:C$78,MATCH($E512,CA!$A$2:$A$78,0)),
"")</f>
        <v>5-C</v>
      </c>
      <c r="J512" s="60">
        <f>_xlfn.IFNA(
INDEX(CA!D$2:D$78,MATCH($E512,CA!$A$2:$A$78,0)),
"")</f>
        <v>5</v>
      </c>
      <c r="K512" s="58" t="str">
        <f>_xlfn.IFNA(
INDEX(CA!E$2:E$78,MATCH($E512,CA!$A$2:$A$78,0)),
"")</f>
        <v>FAR SOUTH</v>
      </c>
      <c r="L512" s="15" t="e">
        <v>#VALUE!</v>
      </c>
      <c r="M512" s="15" t="e">
        <v>#VALUE!</v>
      </c>
      <c r="N512" s="15" t="e">
        <v>#VALUE!</v>
      </c>
      <c r="O512" s="15" t="e">
        <v>#VALUE!</v>
      </c>
      <c r="P512" s="15" t="e">
        <v>#VALUE!</v>
      </c>
      <c r="Q512" s="15" t="e">
        <v>#VALUE!</v>
      </c>
      <c r="R512" s="15" t="e">
        <v>#VALUE!</v>
      </c>
      <c r="S512" s="15" t="e">
        <v>#VALUE!</v>
      </c>
      <c r="T512" s="129">
        <v>4.1481907146076171</v>
      </c>
      <c r="U512" s="130" t="e">
        <f t="shared" si="31"/>
        <v>#VALUE!</v>
      </c>
      <c r="V512" s="129">
        <v>4.1481907060299372</v>
      </c>
      <c r="W512" s="130" t="e">
        <f t="shared" si="28"/>
        <v>#VALUE!</v>
      </c>
      <c r="X512" s="129">
        <v>4.1481907060299372</v>
      </c>
      <c r="Y512" s="130" t="e">
        <f t="shared" si="29"/>
        <v>#VALUE!</v>
      </c>
      <c r="Z512" s="129">
        <v>4.1481907060299372</v>
      </c>
      <c r="AA512" s="130" t="e">
        <f t="shared" si="30"/>
        <v>#VALUE!</v>
      </c>
    </row>
    <row r="513" spans="1:27" x14ac:dyDescent="0.3">
      <c r="A513">
        <v>510200</v>
      </c>
      <c r="B513">
        <v>17031510200</v>
      </c>
      <c r="C513">
        <v>17031</v>
      </c>
      <c r="D513">
        <v>2010</v>
      </c>
      <c r="E513">
        <v>51</v>
      </c>
      <c r="F513">
        <v>13734388.9935674</v>
      </c>
      <c r="G513" s="43">
        <v>0.49265341603418417</v>
      </c>
      <c r="H513" s="58" t="str">
        <f>_xlfn.IFNA(
INDEX(CA!B$2:B$78,MATCH($E513,CA!$A$2:$A$78,0)),
"")</f>
        <v>SOUTH DEERING</v>
      </c>
      <c r="I513" s="60" t="str">
        <f>_xlfn.IFNA(
INDEX(CA!C$2:C$78,MATCH($E513,CA!$A$2:$A$78,0)),
"")</f>
        <v>5-C</v>
      </c>
      <c r="J513" s="60">
        <f>_xlfn.IFNA(
INDEX(CA!D$2:D$78,MATCH($E513,CA!$A$2:$A$78,0)),
"")</f>
        <v>5</v>
      </c>
      <c r="K513" s="58" t="str">
        <f>_xlfn.IFNA(
INDEX(CA!E$2:E$78,MATCH($E513,CA!$A$2:$A$78,0)),
"")</f>
        <v>FAR SOUTH</v>
      </c>
      <c r="L513" s="15" t="e">
        <v>#VALUE!</v>
      </c>
      <c r="M513" s="15" t="e">
        <v>#VALUE!</v>
      </c>
      <c r="N513" s="15" t="e">
        <v>#VALUE!</v>
      </c>
      <c r="O513" s="15" t="e">
        <v>#VALUE!</v>
      </c>
      <c r="P513" s="15" t="e">
        <v>#VALUE!</v>
      </c>
      <c r="Q513" s="15" t="e">
        <v>#VALUE!</v>
      </c>
      <c r="R513" s="15" t="e">
        <v>#VALUE!</v>
      </c>
      <c r="S513" s="15" t="e">
        <v>#VALUE!</v>
      </c>
      <c r="T513" s="129">
        <v>0.42318964492733085</v>
      </c>
      <c r="U513" s="130" t="e">
        <f t="shared" si="31"/>
        <v>#VALUE!</v>
      </c>
      <c r="V513" s="129">
        <v>0.42318964492733085</v>
      </c>
      <c r="W513" s="130" t="e">
        <f t="shared" si="28"/>
        <v>#VALUE!</v>
      </c>
      <c r="X513" s="129">
        <v>0.42318964492733085</v>
      </c>
      <c r="Y513" s="130" t="e">
        <f t="shared" si="29"/>
        <v>#VALUE!</v>
      </c>
      <c r="Z513" s="129">
        <v>0.42318964492733085</v>
      </c>
      <c r="AA513" s="130" t="e">
        <f t="shared" si="30"/>
        <v>#VALUE!</v>
      </c>
    </row>
    <row r="514" spans="1:27" x14ac:dyDescent="0.3">
      <c r="A514">
        <v>520300</v>
      </c>
      <c r="B514">
        <v>17031520300</v>
      </c>
      <c r="C514">
        <v>17031</v>
      </c>
      <c r="D514">
        <v>2010</v>
      </c>
      <c r="E514">
        <v>52</v>
      </c>
      <c r="F514">
        <v>10309910.297691301</v>
      </c>
      <c r="G514" s="43">
        <v>0.36981714509051095</v>
      </c>
      <c r="H514" s="58" t="str">
        <f>_xlfn.IFNA(
INDEX(CA!B$2:B$78,MATCH($E514,CA!$A$2:$A$78,0)),
"")</f>
        <v>EAST SIDE</v>
      </c>
      <c r="I514" s="60" t="str">
        <f>_xlfn.IFNA(
INDEX(CA!C$2:C$78,MATCH($E514,CA!$A$2:$A$78,0)),
"")</f>
        <v>5-C</v>
      </c>
      <c r="J514" s="60">
        <f>_xlfn.IFNA(
INDEX(CA!D$2:D$78,MATCH($E514,CA!$A$2:$A$78,0)),
"")</f>
        <v>5</v>
      </c>
      <c r="K514" s="58" t="str">
        <f>_xlfn.IFNA(
INDEX(CA!E$2:E$78,MATCH($E514,CA!$A$2:$A$78,0)),
"")</f>
        <v>FAR SOUTH</v>
      </c>
      <c r="L514" s="15" t="e">
        <v>#VALUE!</v>
      </c>
      <c r="M514" s="15" t="e">
        <v>#VALUE!</v>
      </c>
      <c r="N514" s="15" t="e">
        <v>#VALUE!</v>
      </c>
      <c r="O514" s="15" t="e">
        <v>#VALUE!</v>
      </c>
      <c r="P514" s="15" t="e">
        <v>#VALUE!</v>
      </c>
      <c r="Q514" s="15" t="e">
        <v>#VALUE!</v>
      </c>
      <c r="R514" s="15" t="e">
        <v>#VALUE!</v>
      </c>
      <c r="S514" s="15" t="e">
        <v>#VALUE!</v>
      </c>
      <c r="T514" s="129">
        <v>0.16800207110444645</v>
      </c>
      <c r="U514" s="130" t="e">
        <f t="shared" si="31"/>
        <v>#VALUE!</v>
      </c>
      <c r="V514" s="129">
        <v>0.16800207110444645</v>
      </c>
      <c r="W514" s="130" t="e">
        <f t="shared" si="28"/>
        <v>#VALUE!</v>
      </c>
      <c r="X514" s="129">
        <v>0.16800207110444645</v>
      </c>
      <c r="Y514" s="130" t="e">
        <f t="shared" si="29"/>
        <v>#VALUE!</v>
      </c>
      <c r="Z514" s="129">
        <v>0.16800207110444645</v>
      </c>
      <c r="AA514" s="130" t="e">
        <f t="shared" si="30"/>
        <v>#VALUE!</v>
      </c>
    </row>
    <row r="515" spans="1:27" x14ac:dyDescent="0.3">
      <c r="A515">
        <v>520400</v>
      </c>
      <c r="B515">
        <v>17031520400</v>
      </c>
      <c r="C515">
        <v>17031</v>
      </c>
      <c r="D515">
        <v>2010</v>
      </c>
      <c r="E515">
        <v>52</v>
      </c>
      <c r="F515">
        <v>7790598.7061173897</v>
      </c>
      <c r="G515" s="43">
        <v>0.27944927636153399</v>
      </c>
      <c r="H515" s="58" t="str">
        <f>_xlfn.IFNA(
INDEX(CA!B$2:B$78,MATCH($E515,CA!$A$2:$A$78,0)),
"")</f>
        <v>EAST SIDE</v>
      </c>
      <c r="I515" s="60" t="str">
        <f>_xlfn.IFNA(
INDEX(CA!C$2:C$78,MATCH($E515,CA!$A$2:$A$78,0)),
"")</f>
        <v>5-C</v>
      </c>
      <c r="J515" s="60">
        <f>_xlfn.IFNA(
INDEX(CA!D$2:D$78,MATCH($E515,CA!$A$2:$A$78,0)),
"")</f>
        <v>5</v>
      </c>
      <c r="K515" s="58" t="str">
        <f>_xlfn.IFNA(
INDEX(CA!E$2:E$78,MATCH($E515,CA!$A$2:$A$78,0)),
"")</f>
        <v>FAR SOUTH</v>
      </c>
      <c r="L515" s="15" t="e">
        <v>#VALUE!</v>
      </c>
      <c r="M515" s="15" t="e">
        <v>#VALUE!</v>
      </c>
      <c r="N515" s="15" t="e">
        <v>#VALUE!</v>
      </c>
      <c r="O515" s="15" t="e">
        <v>#VALUE!</v>
      </c>
      <c r="P515" s="15" t="e">
        <v>#VALUE!</v>
      </c>
      <c r="Q515" s="15" t="e">
        <v>#VALUE!</v>
      </c>
      <c r="R515" s="15" t="e">
        <v>#VALUE!</v>
      </c>
      <c r="S515" s="15" t="e">
        <v>#VALUE!</v>
      </c>
      <c r="T515" s="129">
        <v>0.27944927406852293</v>
      </c>
      <c r="U515" s="130" t="e">
        <f t="shared" si="31"/>
        <v>#VALUE!</v>
      </c>
      <c r="V515" s="129">
        <v>0.27944927406852293</v>
      </c>
      <c r="W515" s="130" t="e">
        <f t="shared" si="28"/>
        <v>#VALUE!</v>
      </c>
      <c r="X515" s="129">
        <v>0.27944927406852293</v>
      </c>
      <c r="Y515" s="130" t="e">
        <f t="shared" si="29"/>
        <v>#VALUE!</v>
      </c>
      <c r="Z515" s="129">
        <v>0.27944927406852293</v>
      </c>
      <c r="AA515" s="130" t="e">
        <f t="shared" si="30"/>
        <v>#VALUE!</v>
      </c>
    </row>
    <row r="516" spans="1:27" x14ac:dyDescent="0.3">
      <c r="A516">
        <v>520600</v>
      </c>
      <c r="B516">
        <v>17031520600</v>
      </c>
      <c r="C516">
        <v>17031</v>
      </c>
      <c r="D516">
        <v>2010</v>
      </c>
      <c r="E516">
        <v>52</v>
      </c>
      <c r="F516">
        <v>11662624.854294499</v>
      </c>
      <c r="G516" s="43">
        <v>0.41833910318721662</v>
      </c>
      <c r="H516" s="58" t="str">
        <f>_xlfn.IFNA(
INDEX(CA!B$2:B$78,MATCH($E516,CA!$A$2:$A$78,0)),
"")</f>
        <v>EAST SIDE</v>
      </c>
      <c r="I516" s="60" t="str">
        <f>_xlfn.IFNA(
INDEX(CA!C$2:C$78,MATCH($E516,CA!$A$2:$A$78,0)),
"")</f>
        <v>5-C</v>
      </c>
      <c r="J516" s="60">
        <f>_xlfn.IFNA(
INDEX(CA!D$2:D$78,MATCH($E516,CA!$A$2:$A$78,0)),
"")</f>
        <v>5</v>
      </c>
      <c r="K516" s="58" t="str">
        <f>_xlfn.IFNA(
INDEX(CA!E$2:E$78,MATCH($E516,CA!$A$2:$A$78,0)),
"")</f>
        <v>FAR SOUTH</v>
      </c>
      <c r="L516" s="15" t="e">
        <v>#VALUE!</v>
      </c>
      <c r="M516" s="15" t="e">
        <v>#VALUE!</v>
      </c>
      <c r="N516" s="15" t="e">
        <v>#VALUE!</v>
      </c>
      <c r="O516" s="15" t="e">
        <v>#VALUE!</v>
      </c>
      <c r="P516" s="15" t="e">
        <v>#VALUE!</v>
      </c>
      <c r="Q516" s="15" t="e">
        <v>#VALUE!</v>
      </c>
      <c r="R516" s="15" t="e">
        <v>#VALUE!</v>
      </c>
      <c r="S516" s="15" t="e">
        <v>#VALUE!</v>
      </c>
      <c r="T516" s="129">
        <v>0.19029043224952721</v>
      </c>
      <c r="U516" s="130" t="e">
        <f t="shared" si="31"/>
        <v>#VALUE!</v>
      </c>
      <c r="V516" s="129">
        <v>0.19029043224952721</v>
      </c>
      <c r="W516" s="130" t="e">
        <f t="shared" si="28"/>
        <v>#VALUE!</v>
      </c>
      <c r="X516" s="129">
        <v>0.19029043224952721</v>
      </c>
      <c r="Y516" s="130" t="e">
        <f t="shared" si="29"/>
        <v>#VALUE!</v>
      </c>
      <c r="Z516" s="129">
        <v>0.19029043224952721</v>
      </c>
      <c r="AA516" s="130" t="e">
        <f t="shared" si="30"/>
        <v>#VALUE!</v>
      </c>
    </row>
    <row r="517" spans="1:27" x14ac:dyDescent="0.3">
      <c r="A517">
        <v>520200</v>
      </c>
      <c r="B517">
        <v>17031520200</v>
      </c>
      <c r="C517">
        <v>17031</v>
      </c>
      <c r="D517">
        <v>2010</v>
      </c>
      <c r="E517">
        <v>52</v>
      </c>
      <c r="F517">
        <v>13418309.3702932</v>
      </c>
      <c r="G517" s="43">
        <v>0.48131561963000746</v>
      </c>
      <c r="H517" s="58" t="str">
        <f>_xlfn.IFNA(
INDEX(CA!B$2:B$78,MATCH($E517,CA!$A$2:$A$78,0)),
"")</f>
        <v>EAST SIDE</v>
      </c>
      <c r="I517" s="60" t="str">
        <f>_xlfn.IFNA(
INDEX(CA!C$2:C$78,MATCH($E517,CA!$A$2:$A$78,0)),
"")</f>
        <v>5-C</v>
      </c>
      <c r="J517" s="60">
        <f>_xlfn.IFNA(
INDEX(CA!D$2:D$78,MATCH($E517,CA!$A$2:$A$78,0)),
"")</f>
        <v>5</v>
      </c>
      <c r="K517" s="58" t="str">
        <f>_xlfn.IFNA(
INDEX(CA!E$2:E$78,MATCH($E517,CA!$A$2:$A$78,0)),
"")</f>
        <v>FAR SOUTH</v>
      </c>
      <c r="L517" s="15" t="e">
        <v>#VALUE!</v>
      </c>
      <c r="M517" s="15" t="e">
        <v>#VALUE!</v>
      </c>
      <c r="N517" s="15" t="e">
        <v>#VALUE!</v>
      </c>
      <c r="O517" s="15" t="e">
        <v>#VALUE!</v>
      </c>
      <c r="P517" s="15" t="e">
        <v>#VALUE!</v>
      </c>
      <c r="Q517" s="15" t="e">
        <v>#VALUE!</v>
      </c>
      <c r="R517" s="15" t="e">
        <v>#VALUE!</v>
      </c>
      <c r="S517" s="15" t="e">
        <v>#VALUE!</v>
      </c>
      <c r="T517" s="129">
        <v>0.42398178890307192</v>
      </c>
      <c r="U517" s="130" t="e">
        <f t="shared" si="31"/>
        <v>#VALUE!</v>
      </c>
      <c r="V517" s="129">
        <v>0.42398178890307192</v>
      </c>
      <c r="W517" s="130" t="e">
        <f t="shared" si="28"/>
        <v>#VALUE!</v>
      </c>
      <c r="X517" s="129">
        <v>0.42398178890307192</v>
      </c>
      <c r="Y517" s="130" t="e">
        <f t="shared" si="29"/>
        <v>#VALUE!</v>
      </c>
      <c r="Z517" s="129">
        <v>0.42398178890307192</v>
      </c>
      <c r="AA517" s="130" t="e">
        <f t="shared" si="30"/>
        <v>#VALUE!</v>
      </c>
    </row>
    <row r="518" spans="1:27" x14ac:dyDescent="0.3">
      <c r="A518">
        <v>520500</v>
      </c>
      <c r="B518">
        <v>17031520500</v>
      </c>
      <c r="C518">
        <v>17031</v>
      </c>
      <c r="D518">
        <v>2010</v>
      </c>
      <c r="E518">
        <v>52</v>
      </c>
      <c r="F518">
        <v>11249842.727182601</v>
      </c>
      <c r="G518" s="43">
        <v>0.40353258175442641</v>
      </c>
      <c r="H518" s="58" t="str">
        <f>_xlfn.IFNA(
INDEX(CA!B$2:B$78,MATCH($E518,CA!$A$2:$A$78,0)),
"")</f>
        <v>EAST SIDE</v>
      </c>
      <c r="I518" s="60" t="str">
        <f>_xlfn.IFNA(
INDEX(CA!C$2:C$78,MATCH($E518,CA!$A$2:$A$78,0)),
"")</f>
        <v>5-C</v>
      </c>
      <c r="J518" s="60">
        <f>_xlfn.IFNA(
INDEX(CA!D$2:D$78,MATCH($E518,CA!$A$2:$A$78,0)),
"")</f>
        <v>5</v>
      </c>
      <c r="K518" s="58" t="str">
        <f>_xlfn.IFNA(
INDEX(CA!E$2:E$78,MATCH($E518,CA!$A$2:$A$78,0)),
"")</f>
        <v>FAR SOUTH</v>
      </c>
      <c r="L518" s="15" t="e">
        <v>#VALUE!</v>
      </c>
      <c r="M518" s="15" t="e">
        <v>#VALUE!</v>
      </c>
      <c r="N518" s="15" t="e">
        <v>#VALUE!</v>
      </c>
      <c r="O518" s="15" t="e">
        <v>#VALUE!</v>
      </c>
      <c r="P518" s="15" t="e">
        <v>#VALUE!</v>
      </c>
      <c r="Q518" s="15" t="e">
        <v>#VALUE!</v>
      </c>
      <c r="R518" s="15" t="e">
        <v>#VALUE!</v>
      </c>
      <c r="S518" s="15" t="e">
        <v>#VALUE!</v>
      </c>
      <c r="T518" s="129">
        <v>0.40353258532029096</v>
      </c>
      <c r="U518" s="130" t="e">
        <f t="shared" si="31"/>
        <v>#VALUE!</v>
      </c>
      <c r="V518" s="129">
        <v>0.40353258532029096</v>
      </c>
      <c r="W518" s="130" t="e">
        <f t="shared" ref="W518:W581" si="32">(V518/$G518)*$L518</f>
        <v>#VALUE!</v>
      </c>
      <c r="X518" s="129">
        <v>0.40353258532029096</v>
      </c>
      <c r="Y518" s="130" t="e">
        <f t="shared" ref="Y518:Y581" si="33">(X518/$G518)*$L518</f>
        <v>#VALUE!</v>
      </c>
      <c r="Z518" s="129">
        <v>0.40353258532029096</v>
      </c>
      <c r="AA518" s="130" t="e">
        <f t="shared" ref="AA518:AA581" si="34">(Z518/$G518)*$L518</f>
        <v>#VALUE!</v>
      </c>
    </row>
    <row r="519" spans="1:27" x14ac:dyDescent="0.3">
      <c r="A519">
        <v>520100</v>
      </c>
      <c r="B519">
        <v>17031520100</v>
      </c>
      <c r="C519">
        <v>17031</v>
      </c>
      <c r="D519">
        <v>2010</v>
      </c>
      <c r="E519">
        <v>52</v>
      </c>
      <c r="F519">
        <v>28810442.223177399</v>
      </c>
      <c r="G519" s="43">
        <v>1.0334324144562601</v>
      </c>
      <c r="H519" s="58" t="str">
        <f>_xlfn.IFNA(
INDEX(CA!B$2:B$78,MATCH($E519,CA!$A$2:$A$78,0)),
"")</f>
        <v>EAST SIDE</v>
      </c>
      <c r="I519" s="60" t="str">
        <f>_xlfn.IFNA(
INDEX(CA!C$2:C$78,MATCH($E519,CA!$A$2:$A$78,0)),
"")</f>
        <v>5-C</v>
      </c>
      <c r="J519" s="60">
        <f>_xlfn.IFNA(
INDEX(CA!D$2:D$78,MATCH($E519,CA!$A$2:$A$78,0)),
"")</f>
        <v>5</v>
      </c>
      <c r="K519" s="58" t="str">
        <f>_xlfn.IFNA(
INDEX(CA!E$2:E$78,MATCH($E519,CA!$A$2:$A$78,0)),
"")</f>
        <v>FAR SOUTH</v>
      </c>
      <c r="L519" s="15" t="e">
        <v>#VALUE!</v>
      </c>
      <c r="M519" s="15" t="e">
        <v>#VALUE!</v>
      </c>
      <c r="N519" s="15" t="e">
        <v>#VALUE!</v>
      </c>
      <c r="O519" s="15" t="e">
        <v>#VALUE!</v>
      </c>
      <c r="P519" s="15" t="e">
        <v>#VALUE!</v>
      </c>
      <c r="Q519" s="15" t="e">
        <v>#VALUE!</v>
      </c>
      <c r="R519" s="15" t="e">
        <v>#VALUE!</v>
      </c>
      <c r="S519" s="15" t="e">
        <v>#VALUE!</v>
      </c>
      <c r="T519" s="129">
        <v>0.87721551715725077</v>
      </c>
      <c r="U519" s="130" t="e">
        <f t="shared" ref="U519:U582" si="35">(T519/$G519)*$L519</f>
        <v>#VALUE!</v>
      </c>
      <c r="V519" s="129">
        <v>0.87721551715725077</v>
      </c>
      <c r="W519" s="130" t="e">
        <f t="shared" si="32"/>
        <v>#VALUE!</v>
      </c>
      <c r="X519" s="129">
        <v>0.87721551715725077</v>
      </c>
      <c r="Y519" s="130" t="e">
        <f t="shared" si="33"/>
        <v>#VALUE!</v>
      </c>
      <c r="Z519" s="129">
        <v>0.87721551715725077</v>
      </c>
      <c r="AA519" s="130" t="e">
        <f t="shared" si="34"/>
        <v>#VALUE!</v>
      </c>
    </row>
    <row r="520" spans="1:27" x14ac:dyDescent="0.3">
      <c r="A520">
        <v>530400</v>
      </c>
      <c r="B520">
        <v>17031530400</v>
      </c>
      <c r="C520">
        <v>17031</v>
      </c>
      <c r="D520">
        <v>2010</v>
      </c>
      <c r="E520">
        <v>53</v>
      </c>
      <c r="F520">
        <v>14124186.5505965</v>
      </c>
      <c r="G520" s="43">
        <v>0.50663547946067566</v>
      </c>
      <c r="H520" s="58" t="str">
        <f>_xlfn.IFNA(
INDEX(CA!B$2:B$78,MATCH($E520,CA!$A$2:$A$78,0)),
"")</f>
        <v>WEST PULLMAN</v>
      </c>
      <c r="I520" s="60" t="str">
        <f>_xlfn.IFNA(
INDEX(CA!C$2:C$78,MATCH($E520,CA!$A$2:$A$78,0)),
"")</f>
        <v>5-B</v>
      </c>
      <c r="J520" s="60">
        <f>_xlfn.IFNA(
INDEX(CA!D$2:D$78,MATCH($E520,CA!$A$2:$A$78,0)),
"")</f>
        <v>5</v>
      </c>
      <c r="K520" s="58" t="str">
        <f>_xlfn.IFNA(
INDEX(CA!E$2:E$78,MATCH($E520,CA!$A$2:$A$78,0)),
"")</f>
        <v>FAR SOUTH</v>
      </c>
      <c r="L520" s="15" t="e">
        <v>#VALUE!</v>
      </c>
      <c r="M520" s="15" t="e">
        <v>#VALUE!</v>
      </c>
      <c r="N520" s="15" t="e">
        <v>#VALUE!</v>
      </c>
      <c r="O520" s="15" t="e">
        <v>#VALUE!</v>
      </c>
      <c r="P520" s="15" t="e">
        <v>#VALUE!</v>
      </c>
      <c r="Q520" s="15" t="e">
        <v>#VALUE!</v>
      </c>
      <c r="R520" s="15" t="e">
        <v>#VALUE!</v>
      </c>
      <c r="S520" s="15" t="e">
        <v>#VALUE!</v>
      </c>
      <c r="T520" s="129">
        <v>0.21889059041360515</v>
      </c>
      <c r="U520" s="130" t="e">
        <f t="shared" si="35"/>
        <v>#VALUE!</v>
      </c>
      <c r="V520" s="129">
        <v>0.21889059041360515</v>
      </c>
      <c r="W520" s="130" t="e">
        <f t="shared" si="32"/>
        <v>#VALUE!</v>
      </c>
      <c r="X520" s="129">
        <v>0.21889059041360515</v>
      </c>
      <c r="Y520" s="130" t="e">
        <f t="shared" si="33"/>
        <v>#VALUE!</v>
      </c>
      <c r="Z520" s="129">
        <v>0.21889059041360515</v>
      </c>
      <c r="AA520" s="130" t="e">
        <f t="shared" si="34"/>
        <v>#VALUE!</v>
      </c>
    </row>
    <row r="521" spans="1:27" x14ac:dyDescent="0.3">
      <c r="A521">
        <v>530501</v>
      </c>
      <c r="B521">
        <v>17031530501</v>
      </c>
      <c r="C521">
        <v>17031</v>
      </c>
      <c r="D521">
        <v>2010</v>
      </c>
      <c r="E521">
        <v>53</v>
      </c>
      <c r="F521">
        <v>13953946.8655804</v>
      </c>
      <c r="G521" s="43">
        <v>0.50052897101628502</v>
      </c>
      <c r="H521" s="58" t="str">
        <f>_xlfn.IFNA(
INDEX(CA!B$2:B$78,MATCH($E521,CA!$A$2:$A$78,0)),
"")</f>
        <v>WEST PULLMAN</v>
      </c>
      <c r="I521" s="60" t="str">
        <f>_xlfn.IFNA(
INDEX(CA!C$2:C$78,MATCH($E521,CA!$A$2:$A$78,0)),
"")</f>
        <v>5-B</v>
      </c>
      <c r="J521" s="60">
        <f>_xlfn.IFNA(
INDEX(CA!D$2:D$78,MATCH($E521,CA!$A$2:$A$78,0)),
"")</f>
        <v>5</v>
      </c>
      <c r="K521" s="58" t="str">
        <f>_xlfn.IFNA(
INDEX(CA!E$2:E$78,MATCH($E521,CA!$A$2:$A$78,0)),
"")</f>
        <v>FAR SOUTH</v>
      </c>
      <c r="L521" s="15" t="e">
        <v>#VALUE!</v>
      </c>
      <c r="M521" s="15" t="e">
        <v>#VALUE!</v>
      </c>
      <c r="N521" s="15" t="e">
        <v>#VALUE!</v>
      </c>
      <c r="O521" s="15" t="e">
        <v>#VALUE!</v>
      </c>
      <c r="P521" s="15" t="e">
        <v>#VALUE!</v>
      </c>
      <c r="Q521" s="15" t="e">
        <v>#VALUE!</v>
      </c>
      <c r="R521" s="15" t="e">
        <v>#VALUE!</v>
      </c>
      <c r="S521" s="15" t="e">
        <v>#VALUE!</v>
      </c>
      <c r="T521" s="129">
        <v>0.32284416456967113</v>
      </c>
      <c r="U521" s="130" t="e">
        <f t="shared" si="35"/>
        <v>#VALUE!</v>
      </c>
      <c r="V521" s="129">
        <v>0.32284416456967113</v>
      </c>
      <c r="W521" s="130" t="e">
        <f t="shared" si="32"/>
        <v>#VALUE!</v>
      </c>
      <c r="X521" s="129">
        <v>0.32284416456967113</v>
      </c>
      <c r="Y521" s="130" t="e">
        <f t="shared" si="33"/>
        <v>#VALUE!</v>
      </c>
      <c r="Z521" s="129">
        <v>0.32284416456967113</v>
      </c>
      <c r="AA521" s="130" t="e">
        <f t="shared" si="34"/>
        <v>#VALUE!</v>
      </c>
    </row>
    <row r="522" spans="1:27" x14ac:dyDescent="0.3">
      <c r="A522">
        <v>530300</v>
      </c>
      <c r="B522">
        <v>17031530300</v>
      </c>
      <c r="C522">
        <v>17031</v>
      </c>
      <c r="D522">
        <v>2010</v>
      </c>
      <c r="E522">
        <v>53</v>
      </c>
      <c r="F522">
        <v>14081418.9137723</v>
      </c>
      <c r="G522" s="43">
        <v>0.50510140157872407</v>
      </c>
      <c r="H522" s="58" t="str">
        <f>_xlfn.IFNA(
INDEX(CA!B$2:B$78,MATCH($E522,CA!$A$2:$A$78,0)),
"")</f>
        <v>WEST PULLMAN</v>
      </c>
      <c r="I522" s="60" t="str">
        <f>_xlfn.IFNA(
INDEX(CA!C$2:C$78,MATCH($E522,CA!$A$2:$A$78,0)),
"")</f>
        <v>5-B</v>
      </c>
      <c r="J522" s="60">
        <f>_xlfn.IFNA(
INDEX(CA!D$2:D$78,MATCH($E522,CA!$A$2:$A$78,0)),
"")</f>
        <v>5</v>
      </c>
      <c r="K522" s="58" t="str">
        <f>_xlfn.IFNA(
INDEX(CA!E$2:E$78,MATCH($E522,CA!$A$2:$A$78,0)),
"")</f>
        <v>FAR SOUTH</v>
      </c>
      <c r="L522" s="15" t="e">
        <v>#VALUE!</v>
      </c>
      <c r="M522" s="15" t="e">
        <v>#VALUE!</v>
      </c>
      <c r="N522" s="15" t="e">
        <v>#VALUE!</v>
      </c>
      <c r="O522" s="15" t="e">
        <v>#VALUE!</v>
      </c>
      <c r="P522" s="15" t="e">
        <v>#VALUE!</v>
      </c>
      <c r="Q522" s="15" t="e">
        <v>#VALUE!</v>
      </c>
      <c r="R522" s="15" t="e">
        <v>#VALUE!</v>
      </c>
      <c r="S522" s="15" t="e">
        <v>#VALUE!</v>
      </c>
      <c r="T522" s="129">
        <v>0.30571051657590387</v>
      </c>
      <c r="U522" s="130" t="e">
        <f t="shared" si="35"/>
        <v>#VALUE!</v>
      </c>
      <c r="V522" s="129">
        <v>0.30571051657590387</v>
      </c>
      <c r="W522" s="130" t="e">
        <f t="shared" si="32"/>
        <v>#VALUE!</v>
      </c>
      <c r="X522" s="129">
        <v>0.30571051657590387</v>
      </c>
      <c r="Y522" s="130" t="e">
        <f t="shared" si="33"/>
        <v>#VALUE!</v>
      </c>
      <c r="Z522" s="129">
        <v>0.30571051657590387</v>
      </c>
      <c r="AA522" s="130" t="e">
        <f t="shared" si="34"/>
        <v>#VALUE!</v>
      </c>
    </row>
    <row r="523" spans="1:27" x14ac:dyDescent="0.3">
      <c r="A523">
        <v>821402</v>
      </c>
      <c r="B523">
        <v>17031821402</v>
      </c>
      <c r="C523">
        <v>17031</v>
      </c>
      <c r="D523">
        <v>2010</v>
      </c>
      <c r="E523">
        <v>53</v>
      </c>
      <c r="F523">
        <v>163548.97179379701</v>
      </c>
      <c r="G523" s="43">
        <v>5.866512131033238E-3</v>
      </c>
      <c r="H523" s="58" t="str">
        <f>_xlfn.IFNA(
INDEX(CA!B$2:B$78,MATCH($E523,CA!$A$2:$A$78,0)),
"")</f>
        <v>WEST PULLMAN</v>
      </c>
      <c r="I523" s="60" t="str">
        <f>_xlfn.IFNA(
INDEX(CA!C$2:C$78,MATCH($E523,CA!$A$2:$A$78,0)),
"")</f>
        <v>5-B</v>
      </c>
      <c r="J523" s="60">
        <f>_xlfn.IFNA(
INDEX(CA!D$2:D$78,MATCH($E523,CA!$A$2:$A$78,0)),
"")</f>
        <v>5</v>
      </c>
      <c r="K523" s="58" t="str">
        <f>_xlfn.IFNA(
INDEX(CA!E$2:E$78,MATCH($E523,CA!$A$2:$A$78,0)),
"")</f>
        <v>FAR SOUTH</v>
      </c>
      <c r="L523" s="15" t="e">
        <v>#VALUE!</v>
      </c>
      <c r="M523" s="15" t="e">
        <v>#VALUE!</v>
      </c>
      <c r="N523" s="15" t="e">
        <v>#VALUE!</v>
      </c>
      <c r="O523" s="15" t="e">
        <v>#VALUE!</v>
      </c>
      <c r="P523" s="15" t="e">
        <v>#VALUE!</v>
      </c>
      <c r="Q523" s="15" t="e">
        <v>#VALUE!</v>
      </c>
      <c r="R523" s="15" t="e">
        <v>#VALUE!</v>
      </c>
      <c r="S523" s="15" t="e">
        <v>#VALUE!</v>
      </c>
      <c r="T523" s="129">
        <v>0</v>
      </c>
      <c r="U523" s="130" t="e">
        <f t="shared" si="35"/>
        <v>#VALUE!</v>
      </c>
      <c r="V523" s="129">
        <v>0</v>
      </c>
      <c r="W523" s="130" t="e">
        <f t="shared" si="32"/>
        <v>#VALUE!</v>
      </c>
      <c r="X523" s="129">
        <v>0</v>
      </c>
      <c r="Y523" s="130" t="e">
        <f t="shared" si="33"/>
        <v>#VALUE!</v>
      </c>
      <c r="Z523" s="129">
        <v>0</v>
      </c>
      <c r="AA523" s="130" t="e">
        <f t="shared" si="34"/>
        <v>#VALUE!</v>
      </c>
    </row>
    <row r="524" spans="1:27" x14ac:dyDescent="0.3">
      <c r="A524">
        <v>530502</v>
      </c>
      <c r="B524">
        <v>17031530502</v>
      </c>
      <c r="C524">
        <v>17031</v>
      </c>
      <c r="D524">
        <v>2010</v>
      </c>
      <c r="E524">
        <v>53</v>
      </c>
      <c r="F524">
        <v>7833771.1163433501</v>
      </c>
      <c r="G524" s="43">
        <v>0.28099787349142524</v>
      </c>
      <c r="H524" s="58" t="str">
        <f>_xlfn.IFNA(
INDEX(CA!B$2:B$78,MATCH($E524,CA!$A$2:$A$78,0)),
"")</f>
        <v>WEST PULLMAN</v>
      </c>
      <c r="I524" s="60" t="str">
        <f>_xlfn.IFNA(
INDEX(CA!C$2:C$78,MATCH($E524,CA!$A$2:$A$78,0)),
"")</f>
        <v>5-B</v>
      </c>
      <c r="J524" s="60">
        <f>_xlfn.IFNA(
INDEX(CA!D$2:D$78,MATCH($E524,CA!$A$2:$A$78,0)),
"")</f>
        <v>5</v>
      </c>
      <c r="K524" s="58" t="str">
        <f>_xlfn.IFNA(
INDEX(CA!E$2:E$78,MATCH($E524,CA!$A$2:$A$78,0)),
"")</f>
        <v>FAR SOUTH</v>
      </c>
      <c r="L524" s="15" t="e">
        <v>#VALUE!</v>
      </c>
      <c r="M524" s="15" t="e">
        <v>#VALUE!</v>
      </c>
      <c r="N524" s="15" t="e">
        <v>#VALUE!</v>
      </c>
      <c r="O524" s="15" t="e">
        <v>#VALUE!</v>
      </c>
      <c r="P524" s="15" t="e">
        <v>#VALUE!</v>
      </c>
      <c r="Q524" s="15" t="e">
        <v>#VALUE!</v>
      </c>
      <c r="R524" s="15" t="e">
        <v>#VALUE!</v>
      </c>
      <c r="S524" s="15" t="e">
        <v>#VALUE!</v>
      </c>
      <c r="T524" s="129">
        <v>0.17938002451327084</v>
      </c>
      <c r="U524" s="130" t="e">
        <f t="shared" si="35"/>
        <v>#VALUE!</v>
      </c>
      <c r="V524" s="129">
        <v>0.17938002451327084</v>
      </c>
      <c r="W524" s="130" t="e">
        <f t="shared" si="32"/>
        <v>#VALUE!</v>
      </c>
      <c r="X524" s="129">
        <v>0.17938002451327084</v>
      </c>
      <c r="Y524" s="130" t="e">
        <f t="shared" si="33"/>
        <v>#VALUE!</v>
      </c>
      <c r="Z524" s="129">
        <v>0.17938002451327084</v>
      </c>
      <c r="AA524" s="130" t="e">
        <f t="shared" si="34"/>
        <v>#VALUE!</v>
      </c>
    </row>
    <row r="525" spans="1:27" x14ac:dyDescent="0.3">
      <c r="A525">
        <v>530600</v>
      </c>
      <c r="B525">
        <v>17031530600</v>
      </c>
      <c r="C525">
        <v>17031</v>
      </c>
      <c r="D525">
        <v>2010</v>
      </c>
      <c r="E525">
        <v>53</v>
      </c>
      <c r="F525">
        <v>11060935.1611246</v>
      </c>
      <c r="G525" s="43">
        <v>0.39675645521710717</v>
      </c>
      <c r="H525" s="58" t="str">
        <f>_xlfn.IFNA(
INDEX(CA!B$2:B$78,MATCH($E525,CA!$A$2:$A$78,0)),
"")</f>
        <v>WEST PULLMAN</v>
      </c>
      <c r="I525" s="60" t="str">
        <f>_xlfn.IFNA(
INDEX(CA!C$2:C$78,MATCH($E525,CA!$A$2:$A$78,0)),
"")</f>
        <v>5-B</v>
      </c>
      <c r="J525" s="60">
        <f>_xlfn.IFNA(
INDEX(CA!D$2:D$78,MATCH($E525,CA!$A$2:$A$78,0)),
"")</f>
        <v>5</v>
      </c>
      <c r="K525" s="58" t="str">
        <f>_xlfn.IFNA(
INDEX(CA!E$2:E$78,MATCH($E525,CA!$A$2:$A$78,0)),
"")</f>
        <v>FAR SOUTH</v>
      </c>
      <c r="L525" s="15" t="e">
        <v>#VALUE!</v>
      </c>
      <c r="M525" s="15" t="e">
        <v>#VALUE!</v>
      </c>
      <c r="N525" s="15" t="e">
        <v>#VALUE!</v>
      </c>
      <c r="O525" s="15" t="e">
        <v>#VALUE!</v>
      </c>
      <c r="P525" s="15" t="e">
        <v>#VALUE!</v>
      </c>
      <c r="Q525" s="15" t="e">
        <v>#VALUE!</v>
      </c>
      <c r="R525" s="15" t="e">
        <v>#VALUE!</v>
      </c>
      <c r="S525" s="15" t="e">
        <v>#VALUE!</v>
      </c>
      <c r="T525" s="129">
        <v>5.8744245444521198E-7</v>
      </c>
      <c r="U525" s="130" t="e">
        <f t="shared" si="35"/>
        <v>#VALUE!</v>
      </c>
      <c r="V525" s="129">
        <v>0</v>
      </c>
      <c r="W525" s="130" t="e">
        <f t="shared" si="32"/>
        <v>#VALUE!</v>
      </c>
      <c r="X525" s="129">
        <v>0</v>
      </c>
      <c r="Y525" s="130" t="e">
        <f t="shared" si="33"/>
        <v>#VALUE!</v>
      </c>
      <c r="Z525" s="129">
        <v>0</v>
      </c>
      <c r="AA525" s="130" t="e">
        <f t="shared" si="34"/>
        <v>#VALUE!</v>
      </c>
    </row>
    <row r="526" spans="1:27" x14ac:dyDescent="0.3">
      <c r="A526">
        <v>530503</v>
      </c>
      <c r="B526">
        <v>17031530503</v>
      </c>
      <c r="C526">
        <v>17031</v>
      </c>
      <c r="D526">
        <v>2010</v>
      </c>
      <c r="E526">
        <v>53</v>
      </c>
      <c r="F526">
        <v>17174026.0623166</v>
      </c>
      <c r="G526" s="43">
        <v>0.61603341878718287</v>
      </c>
      <c r="H526" s="58" t="str">
        <f>_xlfn.IFNA(
INDEX(CA!B$2:B$78,MATCH($E526,CA!$A$2:$A$78,0)),
"")</f>
        <v>WEST PULLMAN</v>
      </c>
      <c r="I526" s="60" t="str">
        <f>_xlfn.IFNA(
INDEX(CA!C$2:C$78,MATCH($E526,CA!$A$2:$A$78,0)),
"")</f>
        <v>5-B</v>
      </c>
      <c r="J526" s="60">
        <f>_xlfn.IFNA(
INDEX(CA!D$2:D$78,MATCH($E526,CA!$A$2:$A$78,0)),
"")</f>
        <v>5</v>
      </c>
      <c r="K526" s="58" t="str">
        <f>_xlfn.IFNA(
INDEX(CA!E$2:E$78,MATCH($E526,CA!$A$2:$A$78,0)),
"")</f>
        <v>FAR SOUTH</v>
      </c>
      <c r="L526" s="15" t="e">
        <v>#VALUE!</v>
      </c>
      <c r="M526" s="15" t="e">
        <v>#VALUE!</v>
      </c>
      <c r="N526" s="15" t="e">
        <v>#VALUE!</v>
      </c>
      <c r="O526" s="15" t="e">
        <v>#VALUE!</v>
      </c>
      <c r="P526" s="15" t="e">
        <v>#VALUE!</v>
      </c>
      <c r="Q526" s="15" t="e">
        <v>#VALUE!</v>
      </c>
      <c r="R526" s="15" t="e">
        <v>#VALUE!</v>
      </c>
      <c r="S526" s="15" t="e">
        <v>#VALUE!</v>
      </c>
      <c r="T526" s="129">
        <v>0.54789407868784079</v>
      </c>
      <c r="U526" s="130" t="e">
        <f t="shared" si="35"/>
        <v>#VALUE!</v>
      </c>
      <c r="V526" s="129">
        <v>0.54789407868784079</v>
      </c>
      <c r="W526" s="130" t="e">
        <f t="shared" si="32"/>
        <v>#VALUE!</v>
      </c>
      <c r="X526" s="129">
        <v>0.54789407868784079</v>
      </c>
      <c r="Y526" s="130" t="e">
        <f t="shared" si="33"/>
        <v>#VALUE!</v>
      </c>
      <c r="Z526" s="129">
        <v>0.54789407868784079</v>
      </c>
      <c r="AA526" s="130" t="e">
        <f t="shared" si="34"/>
        <v>#VALUE!</v>
      </c>
    </row>
    <row r="527" spans="1:27" x14ac:dyDescent="0.3">
      <c r="A527">
        <v>530200</v>
      </c>
      <c r="B527">
        <v>17031530200</v>
      </c>
      <c r="C527">
        <v>17031</v>
      </c>
      <c r="D527">
        <v>2010</v>
      </c>
      <c r="E527">
        <v>53</v>
      </c>
      <c r="F527">
        <v>13964949.4327471</v>
      </c>
      <c r="G527" s="43">
        <v>0.50092363380779026</v>
      </c>
      <c r="H527" s="58" t="str">
        <f>_xlfn.IFNA(
INDEX(CA!B$2:B$78,MATCH($E527,CA!$A$2:$A$78,0)),
"")</f>
        <v>WEST PULLMAN</v>
      </c>
      <c r="I527" s="60" t="str">
        <f>_xlfn.IFNA(
INDEX(CA!C$2:C$78,MATCH($E527,CA!$A$2:$A$78,0)),
"")</f>
        <v>5-B</v>
      </c>
      <c r="J527" s="60">
        <f>_xlfn.IFNA(
INDEX(CA!D$2:D$78,MATCH($E527,CA!$A$2:$A$78,0)),
"")</f>
        <v>5</v>
      </c>
      <c r="K527" s="58" t="str">
        <f>_xlfn.IFNA(
INDEX(CA!E$2:E$78,MATCH($E527,CA!$A$2:$A$78,0)),
"")</f>
        <v>FAR SOUTH</v>
      </c>
      <c r="L527" s="15" t="e">
        <v>#VALUE!</v>
      </c>
      <c r="M527" s="15" t="e">
        <v>#VALUE!</v>
      </c>
      <c r="N527" s="15" t="e">
        <v>#VALUE!</v>
      </c>
      <c r="O527" s="15" t="e">
        <v>#VALUE!</v>
      </c>
      <c r="P527" s="15" t="e">
        <v>#VALUE!</v>
      </c>
      <c r="Q527" s="15" t="e">
        <v>#VALUE!</v>
      </c>
      <c r="R527" s="15" t="e">
        <v>#VALUE!</v>
      </c>
      <c r="S527" s="15" t="e">
        <v>#VALUE!</v>
      </c>
      <c r="T527" s="129">
        <v>0.42765101509852432</v>
      </c>
      <c r="U527" s="130" t="e">
        <f t="shared" si="35"/>
        <v>#VALUE!</v>
      </c>
      <c r="V527" s="129">
        <v>0.23050771350025898</v>
      </c>
      <c r="W527" s="130" t="e">
        <f t="shared" si="32"/>
        <v>#VALUE!</v>
      </c>
      <c r="X527" s="129">
        <v>0.23050771350025898</v>
      </c>
      <c r="Y527" s="130" t="e">
        <f t="shared" si="33"/>
        <v>#VALUE!</v>
      </c>
      <c r="Z527" s="129">
        <v>0.23050771350025898</v>
      </c>
      <c r="AA527" s="130" t="e">
        <f t="shared" si="34"/>
        <v>#VALUE!</v>
      </c>
    </row>
    <row r="528" spans="1:27" x14ac:dyDescent="0.3">
      <c r="A528">
        <v>530100</v>
      </c>
      <c r="B528">
        <v>17031530100</v>
      </c>
      <c r="C528">
        <v>17031</v>
      </c>
      <c r="D528">
        <v>2010</v>
      </c>
      <c r="E528">
        <v>53</v>
      </c>
      <c r="F528">
        <v>7008414.9019224504</v>
      </c>
      <c r="G528" s="43">
        <v>0.25139229302694738</v>
      </c>
      <c r="H528" s="58" t="str">
        <f>_xlfn.IFNA(
INDEX(CA!B$2:B$78,MATCH($E528,CA!$A$2:$A$78,0)),
"")</f>
        <v>WEST PULLMAN</v>
      </c>
      <c r="I528" s="60" t="str">
        <f>_xlfn.IFNA(
INDEX(CA!C$2:C$78,MATCH($E528,CA!$A$2:$A$78,0)),
"")</f>
        <v>5-B</v>
      </c>
      <c r="J528" s="60">
        <f>_xlfn.IFNA(
INDEX(CA!D$2:D$78,MATCH($E528,CA!$A$2:$A$78,0)),
"")</f>
        <v>5</v>
      </c>
      <c r="K528" s="58" t="str">
        <f>_xlfn.IFNA(
INDEX(CA!E$2:E$78,MATCH($E528,CA!$A$2:$A$78,0)),
"")</f>
        <v>FAR SOUTH</v>
      </c>
      <c r="L528" s="15" t="e">
        <v>#VALUE!</v>
      </c>
      <c r="M528" s="15" t="e">
        <v>#VALUE!</v>
      </c>
      <c r="N528" s="15" t="e">
        <v>#VALUE!</v>
      </c>
      <c r="O528" s="15" t="e">
        <v>#VALUE!</v>
      </c>
      <c r="P528" s="15" t="e">
        <v>#VALUE!</v>
      </c>
      <c r="Q528" s="15" t="e">
        <v>#VALUE!</v>
      </c>
      <c r="R528" s="15" t="e">
        <v>#VALUE!</v>
      </c>
      <c r="S528" s="15" t="e">
        <v>#VALUE!</v>
      </c>
      <c r="T528" s="129">
        <v>0.25035195881067779</v>
      </c>
      <c r="U528" s="130" t="e">
        <f t="shared" si="35"/>
        <v>#VALUE!</v>
      </c>
      <c r="V528" s="129">
        <v>0.1513623793037201</v>
      </c>
      <c r="W528" s="130" t="e">
        <f t="shared" si="32"/>
        <v>#VALUE!</v>
      </c>
      <c r="X528" s="129">
        <v>0.1513623793037201</v>
      </c>
      <c r="Y528" s="130" t="e">
        <f t="shared" si="33"/>
        <v>#VALUE!</v>
      </c>
      <c r="Z528" s="129">
        <v>0.1513623793037201</v>
      </c>
      <c r="AA528" s="130" t="e">
        <f t="shared" si="34"/>
        <v>#VALUE!</v>
      </c>
    </row>
    <row r="529" spans="1:27" x14ac:dyDescent="0.3">
      <c r="A529">
        <v>540101</v>
      </c>
      <c r="B529">
        <v>17031540101</v>
      </c>
      <c r="C529">
        <v>17031</v>
      </c>
      <c r="D529">
        <v>2010</v>
      </c>
      <c r="E529">
        <v>54</v>
      </c>
      <c r="F529">
        <v>41489845.062581196</v>
      </c>
      <c r="G529" s="43">
        <v>1.488243409326977</v>
      </c>
      <c r="H529" s="58" t="str">
        <f>_xlfn.IFNA(
INDEX(CA!B$2:B$78,MATCH($E529,CA!$A$2:$A$78,0)),
"")</f>
        <v>RIVERDALE</v>
      </c>
      <c r="I529" s="60" t="str">
        <f>_xlfn.IFNA(
INDEX(CA!C$2:C$78,MATCH($E529,CA!$A$2:$A$78,0)),
"")</f>
        <v>5-C</v>
      </c>
      <c r="J529" s="60">
        <f>_xlfn.IFNA(
INDEX(CA!D$2:D$78,MATCH($E529,CA!$A$2:$A$78,0)),
"")</f>
        <v>5</v>
      </c>
      <c r="K529" s="58" t="str">
        <f>_xlfn.IFNA(
INDEX(CA!E$2:E$78,MATCH($E529,CA!$A$2:$A$78,0)),
"")</f>
        <v>FAR SOUTH</v>
      </c>
      <c r="L529" s="15" t="e">
        <v>#VALUE!</v>
      </c>
      <c r="M529" s="15" t="e">
        <v>#VALUE!</v>
      </c>
      <c r="N529" s="15" t="e">
        <v>#VALUE!</v>
      </c>
      <c r="O529" s="15" t="e">
        <v>#VALUE!</v>
      </c>
      <c r="P529" s="15" t="e">
        <v>#VALUE!</v>
      </c>
      <c r="Q529" s="15" t="e">
        <v>#VALUE!</v>
      </c>
      <c r="R529" s="15" t="e">
        <v>#VALUE!</v>
      </c>
      <c r="S529" s="15" t="e">
        <v>#VALUE!</v>
      </c>
      <c r="T529" s="129">
        <v>0</v>
      </c>
      <c r="U529" s="130" t="e">
        <f t="shared" si="35"/>
        <v>#VALUE!</v>
      </c>
      <c r="V529" s="129">
        <v>0</v>
      </c>
      <c r="W529" s="130" t="e">
        <f t="shared" si="32"/>
        <v>#VALUE!</v>
      </c>
      <c r="X529" s="129">
        <v>0</v>
      </c>
      <c r="Y529" s="130" t="e">
        <f t="shared" si="33"/>
        <v>#VALUE!</v>
      </c>
      <c r="Z529" s="129">
        <v>0</v>
      </c>
      <c r="AA529" s="130" t="e">
        <f t="shared" si="34"/>
        <v>#VALUE!</v>
      </c>
    </row>
    <row r="530" spans="1:27" x14ac:dyDescent="0.3">
      <c r="A530">
        <v>540102</v>
      </c>
      <c r="B530">
        <v>17031540102</v>
      </c>
      <c r="C530">
        <v>17031</v>
      </c>
      <c r="D530">
        <v>2010</v>
      </c>
      <c r="E530">
        <v>54</v>
      </c>
      <c r="F530">
        <v>56899652.400020599</v>
      </c>
      <c r="G530" s="43">
        <v>2.0409941890503256</v>
      </c>
      <c r="H530" s="58" t="str">
        <f>_xlfn.IFNA(
INDEX(CA!B$2:B$78,MATCH($E530,CA!$A$2:$A$78,0)),
"")</f>
        <v>RIVERDALE</v>
      </c>
      <c r="I530" s="60" t="str">
        <f>_xlfn.IFNA(
INDEX(CA!C$2:C$78,MATCH($E530,CA!$A$2:$A$78,0)),
"")</f>
        <v>5-C</v>
      </c>
      <c r="J530" s="60">
        <f>_xlfn.IFNA(
INDEX(CA!D$2:D$78,MATCH($E530,CA!$A$2:$A$78,0)),
"")</f>
        <v>5</v>
      </c>
      <c r="K530" s="58" t="str">
        <f>_xlfn.IFNA(
INDEX(CA!E$2:E$78,MATCH($E530,CA!$A$2:$A$78,0)),
"")</f>
        <v>FAR SOUTH</v>
      </c>
      <c r="L530" s="15" t="e">
        <v>#VALUE!</v>
      </c>
      <c r="M530" s="15" t="e">
        <v>#VALUE!</v>
      </c>
      <c r="N530" s="15" t="e">
        <v>#VALUE!</v>
      </c>
      <c r="O530" s="15" t="e">
        <v>#VALUE!</v>
      </c>
      <c r="P530" s="15" t="e">
        <v>#VALUE!</v>
      </c>
      <c r="Q530" s="15" t="e">
        <v>#VALUE!</v>
      </c>
      <c r="R530" s="15" t="e">
        <v>#VALUE!</v>
      </c>
      <c r="S530" s="15" t="e">
        <v>#VALUE!</v>
      </c>
      <c r="T530" s="129">
        <v>0.24517772899179543</v>
      </c>
      <c r="U530" s="130" t="e">
        <f t="shared" si="35"/>
        <v>#VALUE!</v>
      </c>
      <c r="V530" s="129">
        <v>0.24431619575074073</v>
      </c>
      <c r="W530" s="130" t="e">
        <f t="shared" si="32"/>
        <v>#VALUE!</v>
      </c>
      <c r="X530" s="129">
        <v>0.24431619575074073</v>
      </c>
      <c r="Y530" s="130" t="e">
        <f t="shared" si="33"/>
        <v>#VALUE!</v>
      </c>
      <c r="Z530" s="129">
        <v>0.24431619575074073</v>
      </c>
      <c r="AA530" s="130" t="e">
        <f t="shared" si="34"/>
        <v>#VALUE!</v>
      </c>
    </row>
    <row r="531" spans="1:27" x14ac:dyDescent="0.3">
      <c r="A531">
        <v>550200</v>
      </c>
      <c r="B531">
        <v>17031550200</v>
      </c>
      <c r="C531">
        <v>17031</v>
      </c>
      <c r="D531">
        <v>2010</v>
      </c>
      <c r="E531">
        <v>55</v>
      </c>
      <c r="F531">
        <v>57541045.805164002</v>
      </c>
      <c r="G531" s="43">
        <v>2.0640010117210457</v>
      </c>
      <c r="H531" s="58" t="str">
        <f>_xlfn.IFNA(
INDEX(CA!B$2:B$78,MATCH($E531,CA!$A$2:$A$78,0)),
"")</f>
        <v>HEGEWISCH</v>
      </c>
      <c r="I531" s="60" t="str">
        <f>_xlfn.IFNA(
INDEX(CA!C$2:C$78,MATCH($E531,CA!$A$2:$A$78,0)),
"")</f>
        <v>5-C</v>
      </c>
      <c r="J531" s="60">
        <f>_xlfn.IFNA(
INDEX(CA!D$2:D$78,MATCH($E531,CA!$A$2:$A$78,0)),
"")</f>
        <v>5</v>
      </c>
      <c r="K531" s="58" t="str">
        <f>_xlfn.IFNA(
INDEX(CA!E$2:E$78,MATCH($E531,CA!$A$2:$A$78,0)),
"")</f>
        <v>FAR SOUTH</v>
      </c>
      <c r="L531" s="15" t="e">
        <v>#VALUE!</v>
      </c>
      <c r="M531" s="15" t="e">
        <v>#VALUE!</v>
      </c>
      <c r="N531" s="15" t="e">
        <v>#VALUE!</v>
      </c>
      <c r="O531" s="15" t="e">
        <v>#VALUE!</v>
      </c>
      <c r="P531" s="15" t="e">
        <v>#VALUE!</v>
      </c>
      <c r="Q531" s="15" t="e">
        <v>#VALUE!</v>
      </c>
      <c r="R531" s="15" t="e">
        <v>#VALUE!</v>
      </c>
      <c r="S531" s="15" t="e">
        <v>#VALUE!</v>
      </c>
      <c r="T531" s="129">
        <v>0.94545566288034111</v>
      </c>
      <c r="U531" s="130" t="e">
        <f t="shared" si="35"/>
        <v>#VALUE!</v>
      </c>
      <c r="V531" s="129">
        <v>0.94545566288034111</v>
      </c>
      <c r="W531" s="130" t="e">
        <f t="shared" si="32"/>
        <v>#VALUE!</v>
      </c>
      <c r="X531" s="129">
        <v>0.94545566288034111</v>
      </c>
      <c r="Y531" s="130" t="e">
        <f t="shared" si="33"/>
        <v>#VALUE!</v>
      </c>
      <c r="Z531" s="129">
        <v>0.94545566288034111</v>
      </c>
      <c r="AA531" s="130" t="e">
        <f t="shared" si="34"/>
        <v>#VALUE!</v>
      </c>
    </row>
    <row r="532" spans="1:27" x14ac:dyDescent="0.3">
      <c r="A532">
        <v>550100</v>
      </c>
      <c r="B532">
        <v>17031550100</v>
      </c>
      <c r="C532">
        <v>17031</v>
      </c>
      <c r="D532">
        <v>2010</v>
      </c>
      <c r="E532">
        <v>55</v>
      </c>
      <c r="F532">
        <v>88424695.440493807</v>
      </c>
      <c r="G532" s="43">
        <v>3.1717995093152336</v>
      </c>
      <c r="H532" s="58" t="str">
        <f>_xlfn.IFNA(
INDEX(CA!B$2:B$78,MATCH($E532,CA!$A$2:$A$78,0)),
"")</f>
        <v>HEGEWISCH</v>
      </c>
      <c r="I532" s="60" t="str">
        <f>_xlfn.IFNA(
INDEX(CA!C$2:C$78,MATCH($E532,CA!$A$2:$A$78,0)),
"")</f>
        <v>5-C</v>
      </c>
      <c r="J532" s="60">
        <f>_xlfn.IFNA(
INDEX(CA!D$2:D$78,MATCH($E532,CA!$A$2:$A$78,0)),
"")</f>
        <v>5</v>
      </c>
      <c r="K532" s="58" t="str">
        <f>_xlfn.IFNA(
INDEX(CA!E$2:E$78,MATCH($E532,CA!$A$2:$A$78,0)),
"")</f>
        <v>FAR SOUTH</v>
      </c>
      <c r="L532" s="15" t="e">
        <v>#VALUE!</v>
      </c>
      <c r="M532" s="15" t="e">
        <v>#VALUE!</v>
      </c>
      <c r="N532" s="15" t="e">
        <v>#VALUE!</v>
      </c>
      <c r="O532" s="15" t="e">
        <v>#VALUE!</v>
      </c>
      <c r="P532" s="15" t="e">
        <v>#VALUE!</v>
      </c>
      <c r="Q532" s="15" t="e">
        <v>#VALUE!</v>
      </c>
      <c r="R532" s="15" t="e">
        <v>#VALUE!</v>
      </c>
      <c r="S532" s="15" t="e">
        <v>#VALUE!</v>
      </c>
      <c r="T532" s="129">
        <v>2.2195005242041224</v>
      </c>
      <c r="U532" s="130" t="e">
        <f t="shared" si="35"/>
        <v>#VALUE!</v>
      </c>
      <c r="V532" s="129">
        <v>2.2195005242041224</v>
      </c>
      <c r="W532" s="130" t="e">
        <f t="shared" si="32"/>
        <v>#VALUE!</v>
      </c>
      <c r="X532" s="129">
        <v>2.2195005242041224</v>
      </c>
      <c r="Y532" s="130" t="e">
        <f t="shared" si="33"/>
        <v>#VALUE!</v>
      </c>
      <c r="Z532" s="129">
        <v>2.2195005242041224</v>
      </c>
      <c r="AA532" s="130" t="e">
        <f t="shared" si="34"/>
        <v>#VALUE!</v>
      </c>
    </row>
    <row r="533" spans="1:27" x14ac:dyDescent="0.3">
      <c r="A533">
        <v>560700</v>
      </c>
      <c r="B533">
        <v>17031560700</v>
      </c>
      <c r="C533">
        <v>17031</v>
      </c>
      <c r="D533">
        <v>2010</v>
      </c>
      <c r="E533">
        <v>56</v>
      </c>
      <c r="F533">
        <v>7117045.9846674995</v>
      </c>
      <c r="G533" s="43">
        <v>0.25528889694772655</v>
      </c>
      <c r="H533" s="58" t="str">
        <f>_xlfn.IFNA(
INDEX(CA!B$2:B$78,MATCH($E533,CA!$A$2:$A$78,0)),
"")</f>
        <v>GARFIELD RIDGE</v>
      </c>
      <c r="I533" s="60" t="str">
        <f>_xlfn.IFNA(
INDEX(CA!C$2:C$78,MATCH($E533,CA!$A$2:$A$78,0)),
"")</f>
        <v>4-B</v>
      </c>
      <c r="J533" s="60">
        <f>_xlfn.IFNA(
INDEX(CA!D$2:D$78,MATCH($E533,CA!$A$2:$A$78,0)),
"")</f>
        <v>4</v>
      </c>
      <c r="K533" s="58" t="str">
        <f>_xlfn.IFNA(
INDEX(CA!E$2:E$78,MATCH($E533,CA!$A$2:$A$78,0)),
"")</f>
        <v>SOUTHWEST</v>
      </c>
      <c r="L533" s="15" t="e">
        <v>#VALUE!</v>
      </c>
      <c r="M533" s="15" t="e">
        <v>#VALUE!</v>
      </c>
      <c r="N533" s="15" t="e">
        <v>#VALUE!</v>
      </c>
      <c r="O533" s="15" t="e">
        <v>#VALUE!</v>
      </c>
      <c r="P533" s="15" t="e">
        <v>#VALUE!</v>
      </c>
      <c r="Q533" s="15" t="e">
        <v>#VALUE!</v>
      </c>
      <c r="R533" s="15" t="e">
        <v>#VALUE!</v>
      </c>
      <c r="S533" s="15" t="e">
        <v>#VALUE!</v>
      </c>
      <c r="T533" s="129">
        <v>0</v>
      </c>
      <c r="U533" s="130" t="e">
        <f t="shared" si="35"/>
        <v>#VALUE!</v>
      </c>
      <c r="V533" s="129">
        <v>0</v>
      </c>
      <c r="W533" s="130" t="e">
        <f t="shared" si="32"/>
        <v>#VALUE!</v>
      </c>
      <c r="X533" s="129">
        <v>0</v>
      </c>
      <c r="Y533" s="130" t="e">
        <f t="shared" si="33"/>
        <v>#VALUE!</v>
      </c>
      <c r="Z533" s="129">
        <v>0</v>
      </c>
      <c r="AA533" s="130" t="e">
        <f t="shared" si="34"/>
        <v>#VALUE!</v>
      </c>
    </row>
    <row r="534" spans="1:27" x14ac:dyDescent="0.3">
      <c r="A534">
        <v>560800</v>
      </c>
      <c r="B534">
        <v>17031560800</v>
      </c>
      <c r="C534">
        <v>17031</v>
      </c>
      <c r="D534">
        <v>2010</v>
      </c>
      <c r="E534">
        <v>56</v>
      </c>
      <c r="F534">
        <v>14221500.3239349</v>
      </c>
      <c r="G534" s="43">
        <v>0.51012613076557123</v>
      </c>
      <c r="H534" s="58" t="str">
        <f>_xlfn.IFNA(
INDEX(CA!B$2:B$78,MATCH($E534,CA!$A$2:$A$78,0)),
"")</f>
        <v>GARFIELD RIDGE</v>
      </c>
      <c r="I534" s="60" t="str">
        <f>_xlfn.IFNA(
INDEX(CA!C$2:C$78,MATCH($E534,CA!$A$2:$A$78,0)),
"")</f>
        <v>4-B</v>
      </c>
      <c r="J534" s="60">
        <f>_xlfn.IFNA(
INDEX(CA!D$2:D$78,MATCH($E534,CA!$A$2:$A$78,0)),
"")</f>
        <v>4</v>
      </c>
      <c r="K534" s="58" t="str">
        <f>_xlfn.IFNA(
INDEX(CA!E$2:E$78,MATCH($E534,CA!$A$2:$A$78,0)),
"")</f>
        <v>SOUTHWEST</v>
      </c>
      <c r="L534" s="15" t="e">
        <v>#VALUE!</v>
      </c>
      <c r="M534" s="15" t="e">
        <v>#VALUE!</v>
      </c>
      <c r="N534" s="15" t="e">
        <v>#VALUE!</v>
      </c>
      <c r="O534" s="15" t="e">
        <v>#VALUE!</v>
      </c>
      <c r="P534" s="15" t="e">
        <v>#VALUE!</v>
      </c>
      <c r="Q534" s="15" t="e">
        <v>#VALUE!</v>
      </c>
      <c r="R534" s="15" t="e">
        <v>#VALUE!</v>
      </c>
      <c r="S534" s="15" t="e">
        <v>#VALUE!</v>
      </c>
      <c r="T534" s="129">
        <v>0</v>
      </c>
      <c r="U534" s="130" t="e">
        <f t="shared" si="35"/>
        <v>#VALUE!</v>
      </c>
      <c r="V534" s="129">
        <v>0</v>
      </c>
      <c r="W534" s="130" t="e">
        <f t="shared" si="32"/>
        <v>#VALUE!</v>
      </c>
      <c r="X534" s="129">
        <v>0</v>
      </c>
      <c r="Y534" s="130" t="e">
        <f t="shared" si="33"/>
        <v>#VALUE!</v>
      </c>
      <c r="Z534" s="129">
        <v>0</v>
      </c>
      <c r="AA534" s="130" t="e">
        <f t="shared" si="34"/>
        <v>#VALUE!</v>
      </c>
    </row>
    <row r="535" spans="1:27" x14ac:dyDescent="0.3">
      <c r="A535">
        <v>560300</v>
      </c>
      <c r="B535">
        <v>17031560300</v>
      </c>
      <c r="C535">
        <v>17031</v>
      </c>
      <c r="D535">
        <v>2010</v>
      </c>
      <c r="E535">
        <v>56</v>
      </c>
      <c r="F535">
        <v>7094219.8788849497</v>
      </c>
      <c r="G535" s="43">
        <v>0.2544701230660637</v>
      </c>
      <c r="H535" s="58" t="str">
        <f>_xlfn.IFNA(
INDEX(CA!B$2:B$78,MATCH($E535,CA!$A$2:$A$78,0)),
"")</f>
        <v>GARFIELD RIDGE</v>
      </c>
      <c r="I535" s="60" t="str">
        <f>_xlfn.IFNA(
INDEX(CA!C$2:C$78,MATCH($E535,CA!$A$2:$A$78,0)),
"")</f>
        <v>4-B</v>
      </c>
      <c r="J535" s="60">
        <f>_xlfn.IFNA(
INDEX(CA!D$2:D$78,MATCH($E535,CA!$A$2:$A$78,0)),
"")</f>
        <v>4</v>
      </c>
      <c r="K535" s="58" t="str">
        <f>_xlfn.IFNA(
INDEX(CA!E$2:E$78,MATCH($E535,CA!$A$2:$A$78,0)),
"")</f>
        <v>SOUTHWEST</v>
      </c>
      <c r="L535" s="15" t="e">
        <v>#VALUE!</v>
      </c>
      <c r="M535" s="15" t="e">
        <v>#VALUE!</v>
      </c>
      <c r="N535" s="15" t="e">
        <v>#VALUE!</v>
      </c>
      <c r="O535" s="15" t="e">
        <v>#VALUE!</v>
      </c>
      <c r="P535" s="15" t="e">
        <v>#VALUE!</v>
      </c>
      <c r="Q535" s="15" t="e">
        <v>#VALUE!</v>
      </c>
      <c r="R535" s="15" t="e">
        <v>#VALUE!</v>
      </c>
      <c r="S535" s="15" t="e">
        <v>#VALUE!</v>
      </c>
      <c r="T535" s="129">
        <v>0</v>
      </c>
      <c r="U535" s="130" t="e">
        <f t="shared" si="35"/>
        <v>#VALUE!</v>
      </c>
      <c r="V535" s="129">
        <v>0</v>
      </c>
      <c r="W535" s="130" t="e">
        <f t="shared" si="32"/>
        <v>#VALUE!</v>
      </c>
      <c r="X535" s="129">
        <v>0</v>
      </c>
      <c r="Y535" s="130" t="e">
        <f t="shared" si="33"/>
        <v>#VALUE!</v>
      </c>
      <c r="Z535" s="129">
        <v>0</v>
      </c>
      <c r="AA535" s="130" t="e">
        <f t="shared" si="34"/>
        <v>#VALUE!</v>
      </c>
    </row>
    <row r="536" spans="1:27" x14ac:dyDescent="0.3">
      <c r="A536">
        <v>560100</v>
      </c>
      <c r="B536">
        <v>17031560100</v>
      </c>
      <c r="C536">
        <v>17031</v>
      </c>
      <c r="D536">
        <v>2010</v>
      </c>
      <c r="E536">
        <v>56</v>
      </c>
      <c r="F536">
        <v>7676923.2446705997</v>
      </c>
      <c r="G536" s="43">
        <v>0.27537173025247502</v>
      </c>
      <c r="H536" s="58" t="str">
        <f>_xlfn.IFNA(
INDEX(CA!B$2:B$78,MATCH($E536,CA!$A$2:$A$78,0)),
"")</f>
        <v>GARFIELD RIDGE</v>
      </c>
      <c r="I536" s="60" t="str">
        <f>_xlfn.IFNA(
INDEX(CA!C$2:C$78,MATCH($E536,CA!$A$2:$A$78,0)),
"")</f>
        <v>4-B</v>
      </c>
      <c r="J536" s="60">
        <f>_xlfn.IFNA(
INDEX(CA!D$2:D$78,MATCH($E536,CA!$A$2:$A$78,0)),
"")</f>
        <v>4</v>
      </c>
      <c r="K536" s="58" t="str">
        <f>_xlfn.IFNA(
INDEX(CA!E$2:E$78,MATCH($E536,CA!$A$2:$A$78,0)),
"")</f>
        <v>SOUTHWEST</v>
      </c>
      <c r="L536" s="15" t="e">
        <v>#VALUE!</v>
      </c>
      <c r="M536" s="15" t="e">
        <v>#VALUE!</v>
      </c>
      <c r="N536" s="15" t="e">
        <v>#VALUE!</v>
      </c>
      <c r="O536" s="15" t="e">
        <v>#VALUE!</v>
      </c>
      <c r="P536" s="15" t="e">
        <v>#VALUE!</v>
      </c>
      <c r="Q536" s="15" t="e">
        <v>#VALUE!</v>
      </c>
      <c r="R536" s="15" t="e">
        <v>#VALUE!</v>
      </c>
      <c r="S536" s="15" t="e">
        <v>#VALUE!</v>
      </c>
      <c r="T536" s="129">
        <v>0</v>
      </c>
      <c r="U536" s="130" t="e">
        <f t="shared" si="35"/>
        <v>#VALUE!</v>
      </c>
      <c r="V536" s="129">
        <v>0</v>
      </c>
      <c r="W536" s="130" t="e">
        <f t="shared" si="32"/>
        <v>#VALUE!</v>
      </c>
      <c r="X536" s="129">
        <v>0</v>
      </c>
      <c r="Y536" s="130" t="e">
        <f t="shared" si="33"/>
        <v>#VALUE!</v>
      </c>
      <c r="Z536" s="129">
        <v>0</v>
      </c>
      <c r="AA536" s="130" t="e">
        <f t="shared" si="34"/>
        <v>#VALUE!</v>
      </c>
    </row>
    <row r="537" spans="1:27" x14ac:dyDescent="0.3">
      <c r="A537">
        <v>561100</v>
      </c>
      <c r="B537">
        <v>17031561100</v>
      </c>
      <c r="C537">
        <v>17031</v>
      </c>
      <c r="D537">
        <v>2010</v>
      </c>
      <c r="E537">
        <v>56</v>
      </c>
      <c r="F537">
        <v>14230962.5730065</v>
      </c>
      <c r="G537" s="43">
        <v>0.5104655422479949</v>
      </c>
      <c r="H537" s="58" t="str">
        <f>_xlfn.IFNA(
INDEX(CA!B$2:B$78,MATCH($E537,CA!$A$2:$A$78,0)),
"")</f>
        <v>GARFIELD RIDGE</v>
      </c>
      <c r="I537" s="60" t="str">
        <f>_xlfn.IFNA(
INDEX(CA!C$2:C$78,MATCH($E537,CA!$A$2:$A$78,0)),
"")</f>
        <v>4-B</v>
      </c>
      <c r="J537" s="60">
        <f>_xlfn.IFNA(
INDEX(CA!D$2:D$78,MATCH($E537,CA!$A$2:$A$78,0)),
"")</f>
        <v>4</v>
      </c>
      <c r="K537" s="58" t="str">
        <f>_xlfn.IFNA(
INDEX(CA!E$2:E$78,MATCH($E537,CA!$A$2:$A$78,0)),
"")</f>
        <v>SOUTHWEST</v>
      </c>
      <c r="L537" s="15" t="e">
        <v>#VALUE!</v>
      </c>
      <c r="M537" s="15" t="e">
        <v>#VALUE!</v>
      </c>
      <c r="N537" s="15" t="e">
        <v>#VALUE!</v>
      </c>
      <c r="O537" s="15" t="e">
        <v>#VALUE!</v>
      </c>
      <c r="P537" s="15" t="e">
        <v>#VALUE!</v>
      </c>
      <c r="Q537" s="15" t="e">
        <v>#VALUE!</v>
      </c>
      <c r="R537" s="15" t="e">
        <v>#VALUE!</v>
      </c>
      <c r="S537" s="15" t="e">
        <v>#VALUE!</v>
      </c>
      <c r="T537" s="129">
        <v>0</v>
      </c>
      <c r="U537" s="130" t="e">
        <f t="shared" si="35"/>
        <v>#VALUE!</v>
      </c>
      <c r="V537" s="129">
        <v>0</v>
      </c>
      <c r="W537" s="130" t="e">
        <f t="shared" si="32"/>
        <v>#VALUE!</v>
      </c>
      <c r="X537" s="129">
        <v>0</v>
      </c>
      <c r="Y537" s="130" t="e">
        <f t="shared" si="33"/>
        <v>#VALUE!</v>
      </c>
      <c r="Z537" s="129">
        <v>0</v>
      </c>
      <c r="AA537" s="130" t="e">
        <f t="shared" si="34"/>
        <v>#VALUE!</v>
      </c>
    </row>
    <row r="538" spans="1:27" x14ac:dyDescent="0.3">
      <c r="A538">
        <v>560400</v>
      </c>
      <c r="B538">
        <v>17031560400</v>
      </c>
      <c r="C538">
        <v>17031</v>
      </c>
      <c r="D538">
        <v>2010</v>
      </c>
      <c r="E538">
        <v>56</v>
      </c>
      <c r="F538">
        <v>3545305.2554700002</v>
      </c>
      <c r="G538" s="43">
        <v>0.1271703274029356</v>
      </c>
      <c r="H538" s="58" t="str">
        <f>_xlfn.IFNA(
INDEX(CA!B$2:B$78,MATCH($E538,CA!$A$2:$A$78,0)),
"")</f>
        <v>GARFIELD RIDGE</v>
      </c>
      <c r="I538" s="60" t="str">
        <f>_xlfn.IFNA(
INDEX(CA!C$2:C$78,MATCH($E538,CA!$A$2:$A$78,0)),
"")</f>
        <v>4-B</v>
      </c>
      <c r="J538" s="60">
        <f>_xlfn.IFNA(
INDEX(CA!D$2:D$78,MATCH($E538,CA!$A$2:$A$78,0)),
"")</f>
        <v>4</v>
      </c>
      <c r="K538" s="58" t="str">
        <f>_xlfn.IFNA(
INDEX(CA!E$2:E$78,MATCH($E538,CA!$A$2:$A$78,0)),
"")</f>
        <v>SOUTHWEST</v>
      </c>
      <c r="L538" s="15" t="e">
        <v>#VALUE!</v>
      </c>
      <c r="M538" s="15" t="e">
        <v>#VALUE!</v>
      </c>
      <c r="N538" s="15" t="e">
        <v>#VALUE!</v>
      </c>
      <c r="O538" s="15" t="e">
        <v>#VALUE!</v>
      </c>
      <c r="P538" s="15" t="e">
        <v>#VALUE!</v>
      </c>
      <c r="Q538" s="15" t="e">
        <v>#VALUE!</v>
      </c>
      <c r="R538" s="15" t="e">
        <v>#VALUE!</v>
      </c>
      <c r="S538" s="15" t="e">
        <v>#VALUE!</v>
      </c>
      <c r="T538" s="129">
        <v>0</v>
      </c>
      <c r="U538" s="130" t="e">
        <f t="shared" si="35"/>
        <v>#VALUE!</v>
      </c>
      <c r="V538" s="129">
        <v>0</v>
      </c>
      <c r="W538" s="130" t="e">
        <f t="shared" si="32"/>
        <v>#VALUE!</v>
      </c>
      <c r="X538" s="129">
        <v>0</v>
      </c>
      <c r="Y538" s="130" t="e">
        <f t="shared" si="33"/>
        <v>#VALUE!</v>
      </c>
      <c r="Z538" s="129">
        <v>0</v>
      </c>
      <c r="AA538" s="130" t="e">
        <f t="shared" si="34"/>
        <v>#VALUE!</v>
      </c>
    </row>
    <row r="539" spans="1:27" x14ac:dyDescent="0.3">
      <c r="A539">
        <v>560200</v>
      </c>
      <c r="B539">
        <v>17031560200</v>
      </c>
      <c r="C539">
        <v>17031</v>
      </c>
      <c r="D539">
        <v>2010</v>
      </c>
      <c r="E539">
        <v>56</v>
      </c>
      <c r="F539">
        <v>7119167.7014212096</v>
      </c>
      <c r="G539" s="43">
        <v>0.25536500306406429</v>
      </c>
      <c r="H539" s="58" t="str">
        <f>_xlfn.IFNA(
INDEX(CA!B$2:B$78,MATCH($E539,CA!$A$2:$A$78,0)),
"")</f>
        <v>GARFIELD RIDGE</v>
      </c>
      <c r="I539" s="60" t="str">
        <f>_xlfn.IFNA(
INDEX(CA!C$2:C$78,MATCH($E539,CA!$A$2:$A$78,0)),
"")</f>
        <v>4-B</v>
      </c>
      <c r="J539" s="60">
        <f>_xlfn.IFNA(
INDEX(CA!D$2:D$78,MATCH($E539,CA!$A$2:$A$78,0)),
"")</f>
        <v>4</v>
      </c>
      <c r="K539" s="58" t="str">
        <f>_xlfn.IFNA(
INDEX(CA!E$2:E$78,MATCH($E539,CA!$A$2:$A$78,0)),
"")</f>
        <v>SOUTHWEST</v>
      </c>
      <c r="L539" s="15" t="e">
        <v>#VALUE!</v>
      </c>
      <c r="M539" s="15" t="e">
        <v>#VALUE!</v>
      </c>
      <c r="N539" s="15" t="e">
        <v>#VALUE!</v>
      </c>
      <c r="O539" s="15" t="e">
        <v>#VALUE!</v>
      </c>
      <c r="P539" s="15" t="e">
        <v>#VALUE!</v>
      </c>
      <c r="Q539" s="15" t="e">
        <v>#VALUE!</v>
      </c>
      <c r="R539" s="15" t="e">
        <v>#VALUE!</v>
      </c>
      <c r="S539" s="15" t="e">
        <v>#VALUE!</v>
      </c>
      <c r="T539" s="129">
        <v>0</v>
      </c>
      <c r="U539" s="130" t="e">
        <f t="shared" si="35"/>
        <v>#VALUE!</v>
      </c>
      <c r="V539" s="129">
        <v>0</v>
      </c>
      <c r="W539" s="130" t="e">
        <f t="shared" si="32"/>
        <v>#VALUE!</v>
      </c>
      <c r="X539" s="129">
        <v>0</v>
      </c>
      <c r="Y539" s="130" t="e">
        <f t="shared" si="33"/>
        <v>#VALUE!</v>
      </c>
      <c r="Z539" s="129">
        <v>0</v>
      </c>
      <c r="AA539" s="130" t="e">
        <f t="shared" si="34"/>
        <v>#VALUE!</v>
      </c>
    </row>
    <row r="540" spans="1:27" x14ac:dyDescent="0.3">
      <c r="A540">
        <v>561000</v>
      </c>
      <c r="B540">
        <v>17031561000</v>
      </c>
      <c r="C540">
        <v>17031</v>
      </c>
      <c r="D540">
        <v>2010</v>
      </c>
      <c r="E540">
        <v>56</v>
      </c>
      <c r="F540">
        <v>14297329.7187772</v>
      </c>
      <c r="G540" s="43">
        <v>0.51284613603281393</v>
      </c>
      <c r="H540" s="58" t="str">
        <f>_xlfn.IFNA(
INDEX(CA!B$2:B$78,MATCH($E540,CA!$A$2:$A$78,0)),
"")</f>
        <v>GARFIELD RIDGE</v>
      </c>
      <c r="I540" s="60" t="str">
        <f>_xlfn.IFNA(
INDEX(CA!C$2:C$78,MATCH($E540,CA!$A$2:$A$78,0)),
"")</f>
        <v>4-B</v>
      </c>
      <c r="J540" s="60">
        <f>_xlfn.IFNA(
INDEX(CA!D$2:D$78,MATCH($E540,CA!$A$2:$A$78,0)),
"")</f>
        <v>4</v>
      </c>
      <c r="K540" s="58" t="str">
        <f>_xlfn.IFNA(
INDEX(CA!E$2:E$78,MATCH($E540,CA!$A$2:$A$78,0)),
"")</f>
        <v>SOUTHWEST</v>
      </c>
      <c r="L540" s="15" t="e">
        <v>#VALUE!</v>
      </c>
      <c r="M540" s="15" t="e">
        <v>#VALUE!</v>
      </c>
      <c r="N540" s="15" t="e">
        <v>#VALUE!</v>
      </c>
      <c r="O540" s="15" t="e">
        <v>#VALUE!</v>
      </c>
      <c r="P540" s="15" t="e">
        <v>#VALUE!</v>
      </c>
      <c r="Q540" s="15" t="e">
        <v>#VALUE!</v>
      </c>
      <c r="R540" s="15" t="e">
        <v>#VALUE!</v>
      </c>
      <c r="S540" s="15" t="e">
        <v>#VALUE!</v>
      </c>
      <c r="T540" s="129">
        <v>0</v>
      </c>
      <c r="U540" s="130" t="e">
        <f t="shared" si="35"/>
        <v>#VALUE!</v>
      </c>
      <c r="V540" s="129">
        <v>0</v>
      </c>
      <c r="W540" s="130" t="e">
        <f t="shared" si="32"/>
        <v>#VALUE!</v>
      </c>
      <c r="X540" s="129">
        <v>0</v>
      </c>
      <c r="Y540" s="130" t="e">
        <f t="shared" si="33"/>
        <v>#VALUE!</v>
      </c>
      <c r="Z540" s="129">
        <v>0</v>
      </c>
      <c r="AA540" s="130" t="e">
        <f t="shared" si="34"/>
        <v>#VALUE!</v>
      </c>
    </row>
    <row r="541" spans="1:27" x14ac:dyDescent="0.3">
      <c r="A541">
        <v>560900</v>
      </c>
      <c r="B541">
        <v>17031560900</v>
      </c>
      <c r="C541">
        <v>17031</v>
      </c>
      <c r="D541">
        <v>2010</v>
      </c>
      <c r="E541">
        <v>56</v>
      </c>
      <c r="F541">
        <v>14105221.187154001</v>
      </c>
      <c r="G541" s="43">
        <v>0.50595519065491568</v>
      </c>
      <c r="H541" s="58" t="str">
        <f>_xlfn.IFNA(
INDEX(CA!B$2:B$78,MATCH($E541,CA!$A$2:$A$78,0)),
"")</f>
        <v>GARFIELD RIDGE</v>
      </c>
      <c r="I541" s="60" t="str">
        <f>_xlfn.IFNA(
INDEX(CA!C$2:C$78,MATCH($E541,CA!$A$2:$A$78,0)),
"")</f>
        <v>4-B</v>
      </c>
      <c r="J541" s="60">
        <f>_xlfn.IFNA(
INDEX(CA!D$2:D$78,MATCH($E541,CA!$A$2:$A$78,0)),
"")</f>
        <v>4</v>
      </c>
      <c r="K541" s="58" t="str">
        <f>_xlfn.IFNA(
INDEX(CA!E$2:E$78,MATCH($E541,CA!$A$2:$A$78,0)),
"")</f>
        <v>SOUTHWEST</v>
      </c>
      <c r="L541" s="15" t="e">
        <v>#VALUE!</v>
      </c>
      <c r="M541" s="15" t="e">
        <v>#VALUE!</v>
      </c>
      <c r="N541" s="15" t="e">
        <v>#VALUE!</v>
      </c>
      <c r="O541" s="15" t="e">
        <v>#VALUE!</v>
      </c>
      <c r="P541" s="15" t="e">
        <v>#VALUE!</v>
      </c>
      <c r="Q541" s="15" t="e">
        <v>#VALUE!</v>
      </c>
      <c r="R541" s="15" t="e">
        <v>#VALUE!</v>
      </c>
      <c r="S541" s="15" t="e">
        <v>#VALUE!</v>
      </c>
      <c r="T541" s="129">
        <v>0</v>
      </c>
      <c r="U541" s="130" t="e">
        <f t="shared" si="35"/>
        <v>#VALUE!</v>
      </c>
      <c r="V541" s="129">
        <v>0</v>
      </c>
      <c r="W541" s="130" t="e">
        <f t="shared" si="32"/>
        <v>#VALUE!</v>
      </c>
      <c r="X541" s="129">
        <v>0</v>
      </c>
      <c r="Y541" s="130" t="e">
        <f t="shared" si="33"/>
        <v>#VALUE!</v>
      </c>
      <c r="Z541" s="129">
        <v>0</v>
      </c>
      <c r="AA541" s="130" t="e">
        <f t="shared" si="34"/>
        <v>#VALUE!</v>
      </c>
    </row>
    <row r="542" spans="1:27" x14ac:dyDescent="0.3">
      <c r="A542">
        <v>835200</v>
      </c>
      <c r="B542">
        <v>17031835200</v>
      </c>
      <c r="C542">
        <v>17031</v>
      </c>
      <c r="D542">
        <v>2010</v>
      </c>
      <c r="E542">
        <v>56</v>
      </c>
      <c r="F542">
        <v>10646560.4275888</v>
      </c>
      <c r="G542" s="43">
        <v>0.38189280688952021</v>
      </c>
      <c r="H542" s="58" t="str">
        <f>_xlfn.IFNA(
INDEX(CA!B$2:B$78,MATCH($E542,CA!$A$2:$A$78,0)),
"")</f>
        <v>GARFIELD RIDGE</v>
      </c>
      <c r="I542" s="60" t="str">
        <f>_xlfn.IFNA(
INDEX(CA!C$2:C$78,MATCH($E542,CA!$A$2:$A$78,0)),
"")</f>
        <v>4-B</v>
      </c>
      <c r="J542" s="60">
        <f>_xlfn.IFNA(
INDEX(CA!D$2:D$78,MATCH($E542,CA!$A$2:$A$78,0)),
"")</f>
        <v>4</v>
      </c>
      <c r="K542" s="58" t="str">
        <f>_xlfn.IFNA(
INDEX(CA!E$2:E$78,MATCH($E542,CA!$A$2:$A$78,0)),
"")</f>
        <v>SOUTHWEST</v>
      </c>
      <c r="L542" s="15" t="e">
        <v>#VALUE!</v>
      </c>
      <c r="M542" s="15" t="e">
        <v>#VALUE!</v>
      </c>
      <c r="N542" s="15" t="e">
        <v>#VALUE!</v>
      </c>
      <c r="O542" s="15" t="e">
        <v>#VALUE!</v>
      </c>
      <c r="P542" s="15" t="e">
        <v>#VALUE!</v>
      </c>
      <c r="Q542" s="15" t="e">
        <v>#VALUE!</v>
      </c>
      <c r="R542" s="15" t="e">
        <v>#VALUE!</v>
      </c>
      <c r="S542" s="15" t="e">
        <v>#VALUE!</v>
      </c>
      <c r="T542" s="129">
        <v>0</v>
      </c>
      <c r="U542" s="130" t="e">
        <f t="shared" si="35"/>
        <v>#VALUE!</v>
      </c>
      <c r="V542" s="129">
        <v>0</v>
      </c>
      <c r="W542" s="130" t="e">
        <f t="shared" si="32"/>
        <v>#VALUE!</v>
      </c>
      <c r="X542" s="129">
        <v>0</v>
      </c>
      <c r="Y542" s="130" t="e">
        <f t="shared" si="33"/>
        <v>#VALUE!</v>
      </c>
      <c r="Z542" s="129">
        <v>0</v>
      </c>
      <c r="AA542" s="130" t="e">
        <f t="shared" si="34"/>
        <v>#VALUE!</v>
      </c>
    </row>
    <row r="543" spans="1:27" x14ac:dyDescent="0.3">
      <c r="A543">
        <v>570100</v>
      </c>
      <c r="B543">
        <v>17031570100</v>
      </c>
      <c r="C543">
        <v>17031</v>
      </c>
      <c r="D543">
        <v>2010</v>
      </c>
      <c r="E543">
        <v>57</v>
      </c>
      <c r="F543">
        <v>16496078.2358294</v>
      </c>
      <c r="G543" s="43">
        <v>0.59171538667317347</v>
      </c>
      <c r="H543" s="58" t="str">
        <f>_xlfn.IFNA(
INDEX(CA!B$2:B$78,MATCH($E543,CA!$A$2:$A$78,0)),
"")</f>
        <v>ARCHER HEIGHTS</v>
      </c>
      <c r="I543" s="60" t="str">
        <f>_xlfn.IFNA(
INDEX(CA!C$2:C$78,MATCH($E543,CA!$A$2:$A$78,0)),
"")</f>
        <v>4-B</v>
      </c>
      <c r="J543" s="60">
        <f>_xlfn.IFNA(
INDEX(CA!D$2:D$78,MATCH($E543,CA!$A$2:$A$78,0)),
"")</f>
        <v>4</v>
      </c>
      <c r="K543" s="58" t="str">
        <f>_xlfn.IFNA(
INDEX(CA!E$2:E$78,MATCH($E543,CA!$A$2:$A$78,0)),
"")</f>
        <v>SOUTHWEST</v>
      </c>
      <c r="L543" s="15" t="e">
        <v>#VALUE!</v>
      </c>
      <c r="M543" s="15" t="e">
        <v>#VALUE!</v>
      </c>
      <c r="N543" s="15" t="e">
        <v>#VALUE!</v>
      </c>
      <c r="O543" s="15" t="e">
        <v>#VALUE!</v>
      </c>
      <c r="P543" s="15" t="e">
        <v>#VALUE!</v>
      </c>
      <c r="Q543" s="15" t="e">
        <v>#VALUE!</v>
      </c>
      <c r="R543" s="15" t="e">
        <v>#VALUE!</v>
      </c>
      <c r="S543" s="15" t="e">
        <v>#VALUE!</v>
      </c>
      <c r="T543" s="129">
        <v>0</v>
      </c>
      <c r="U543" s="130" t="e">
        <f t="shared" si="35"/>
        <v>#VALUE!</v>
      </c>
      <c r="V543" s="129">
        <v>0</v>
      </c>
      <c r="W543" s="130" t="e">
        <f t="shared" si="32"/>
        <v>#VALUE!</v>
      </c>
      <c r="X543" s="129">
        <v>0</v>
      </c>
      <c r="Y543" s="130" t="e">
        <f t="shared" si="33"/>
        <v>#VALUE!</v>
      </c>
      <c r="Z543" s="129">
        <v>0</v>
      </c>
      <c r="AA543" s="130" t="e">
        <f t="shared" si="34"/>
        <v>#VALUE!</v>
      </c>
    </row>
    <row r="544" spans="1:27" x14ac:dyDescent="0.3">
      <c r="A544">
        <v>570200</v>
      </c>
      <c r="B544">
        <v>17031570200</v>
      </c>
      <c r="C544">
        <v>17031</v>
      </c>
      <c r="D544">
        <v>2010</v>
      </c>
      <c r="E544">
        <v>57</v>
      </c>
      <c r="F544">
        <v>19212604.007449899</v>
      </c>
      <c r="G544" s="43">
        <v>0.68915734071718249</v>
      </c>
      <c r="H544" s="58" t="str">
        <f>_xlfn.IFNA(
INDEX(CA!B$2:B$78,MATCH($E544,CA!$A$2:$A$78,0)),
"")</f>
        <v>ARCHER HEIGHTS</v>
      </c>
      <c r="I544" s="60" t="str">
        <f>_xlfn.IFNA(
INDEX(CA!C$2:C$78,MATCH($E544,CA!$A$2:$A$78,0)),
"")</f>
        <v>4-B</v>
      </c>
      <c r="J544" s="60">
        <f>_xlfn.IFNA(
INDEX(CA!D$2:D$78,MATCH($E544,CA!$A$2:$A$78,0)),
"")</f>
        <v>4</v>
      </c>
      <c r="K544" s="58" t="str">
        <f>_xlfn.IFNA(
INDEX(CA!E$2:E$78,MATCH($E544,CA!$A$2:$A$78,0)),
"")</f>
        <v>SOUTHWEST</v>
      </c>
      <c r="L544" s="15" t="e">
        <v>#VALUE!</v>
      </c>
      <c r="M544" s="15" t="e">
        <v>#VALUE!</v>
      </c>
      <c r="N544" s="15" t="e">
        <v>#VALUE!</v>
      </c>
      <c r="O544" s="15" t="e">
        <v>#VALUE!</v>
      </c>
      <c r="P544" s="15" t="e">
        <v>#VALUE!</v>
      </c>
      <c r="Q544" s="15" t="e">
        <v>#VALUE!</v>
      </c>
      <c r="R544" s="15" t="e">
        <v>#VALUE!</v>
      </c>
      <c r="S544" s="15" t="e">
        <v>#VALUE!</v>
      </c>
      <c r="T544" s="129">
        <v>0</v>
      </c>
      <c r="U544" s="130" t="e">
        <f t="shared" si="35"/>
        <v>#VALUE!</v>
      </c>
      <c r="V544" s="129">
        <v>0</v>
      </c>
      <c r="W544" s="130" t="e">
        <f t="shared" si="32"/>
        <v>#VALUE!</v>
      </c>
      <c r="X544" s="129">
        <v>0</v>
      </c>
      <c r="Y544" s="130" t="e">
        <f t="shared" si="33"/>
        <v>#VALUE!</v>
      </c>
      <c r="Z544" s="129">
        <v>0</v>
      </c>
      <c r="AA544" s="130" t="e">
        <f t="shared" si="34"/>
        <v>#VALUE!</v>
      </c>
    </row>
    <row r="545" spans="1:27" x14ac:dyDescent="0.3">
      <c r="A545">
        <v>570500</v>
      </c>
      <c r="B545">
        <v>17031570500</v>
      </c>
      <c r="C545">
        <v>17031</v>
      </c>
      <c r="D545">
        <v>2010</v>
      </c>
      <c r="E545">
        <v>57</v>
      </c>
      <c r="F545">
        <v>4585827.2689995104</v>
      </c>
      <c r="G545" s="43">
        <v>0.16449391891211512</v>
      </c>
      <c r="H545" s="58" t="str">
        <f>_xlfn.IFNA(
INDEX(CA!B$2:B$78,MATCH($E545,CA!$A$2:$A$78,0)),
"")</f>
        <v>ARCHER HEIGHTS</v>
      </c>
      <c r="I545" s="60" t="str">
        <f>_xlfn.IFNA(
INDEX(CA!C$2:C$78,MATCH($E545,CA!$A$2:$A$78,0)),
"")</f>
        <v>4-B</v>
      </c>
      <c r="J545" s="60">
        <f>_xlfn.IFNA(
INDEX(CA!D$2:D$78,MATCH($E545,CA!$A$2:$A$78,0)),
"")</f>
        <v>4</v>
      </c>
      <c r="K545" s="58" t="str">
        <f>_xlfn.IFNA(
INDEX(CA!E$2:E$78,MATCH($E545,CA!$A$2:$A$78,0)),
"")</f>
        <v>SOUTHWEST</v>
      </c>
      <c r="L545" s="15" t="e">
        <v>#VALUE!</v>
      </c>
      <c r="M545" s="15" t="e">
        <v>#VALUE!</v>
      </c>
      <c r="N545" s="15" t="e">
        <v>#VALUE!</v>
      </c>
      <c r="O545" s="15" t="e">
        <v>#VALUE!</v>
      </c>
      <c r="P545" s="15" t="e">
        <v>#VALUE!</v>
      </c>
      <c r="Q545" s="15" t="e">
        <v>#VALUE!</v>
      </c>
      <c r="R545" s="15" t="e">
        <v>#VALUE!</v>
      </c>
      <c r="S545" s="15" t="e">
        <v>#VALUE!</v>
      </c>
      <c r="T545" s="129">
        <v>0</v>
      </c>
      <c r="U545" s="130" t="e">
        <f t="shared" si="35"/>
        <v>#VALUE!</v>
      </c>
      <c r="V545" s="129">
        <v>0</v>
      </c>
      <c r="W545" s="130" t="e">
        <f t="shared" si="32"/>
        <v>#VALUE!</v>
      </c>
      <c r="X545" s="129">
        <v>0</v>
      </c>
      <c r="Y545" s="130" t="e">
        <f t="shared" si="33"/>
        <v>#VALUE!</v>
      </c>
      <c r="Z545" s="129">
        <v>0</v>
      </c>
      <c r="AA545" s="130" t="e">
        <f t="shared" si="34"/>
        <v>#VALUE!</v>
      </c>
    </row>
    <row r="546" spans="1:27" x14ac:dyDescent="0.3">
      <c r="A546">
        <v>570400</v>
      </c>
      <c r="B546">
        <v>17031570400</v>
      </c>
      <c r="C546">
        <v>17031</v>
      </c>
      <c r="D546">
        <v>2010</v>
      </c>
      <c r="E546">
        <v>57</v>
      </c>
      <c r="F546">
        <v>5024781.5952496296</v>
      </c>
      <c r="G546" s="43">
        <v>0.18023923881032017</v>
      </c>
      <c r="H546" s="58" t="str">
        <f>_xlfn.IFNA(
INDEX(CA!B$2:B$78,MATCH($E546,CA!$A$2:$A$78,0)),
"")</f>
        <v>ARCHER HEIGHTS</v>
      </c>
      <c r="I546" s="60" t="str">
        <f>_xlfn.IFNA(
INDEX(CA!C$2:C$78,MATCH($E546,CA!$A$2:$A$78,0)),
"")</f>
        <v>4-B</v>
      </c>
      <c r="J546" s="60">
        <f>_xlfn.IFNA(
INDEX(CA!D$2:D$78,MATCH($E546,CA!$A$2:$A$78,0)),
"")</f>
        <v>4</v>
      </c>
      <c r="K546" s="58" t="str">
        <f>_xlfn.IFNA(
INDEX(CA!E$2:E$78,MATCH($E546,CA!$A$2:$A$78,0)),
"")</f>
        <v>SOUTHWEST</v>
      </c>
      <c r="L546" s="15" t="e">
        <v>#VALUE!</v>
      </c>
      <c r="M546" s="15" t="e">
        <v>#VALUE!</v>
      </c>
      <c r="N546" s="15" t="e">
        <v>#VALUE!</v>
      </c>
      <c r="O546" s="15" t="e">
        <v>#VALUE!</v>
      </c>
      <c r="P546" s="15" t="e">
        <v>#VALUE!</v>
      </c>
      <c r="Q546" s="15" t="e">
        <v>#VALUE!</v>
      </c>
      <c r="R546" s="15" t="e">
        <v>#VALUE!</v>
      </c>
      <c r="S546" s="15" t="e">
        <v>#VALUE!</v>
      </c>
      <c r="T546" s="129">
        <v>0</v>
      </c>
      <c r="U546" s="130" t="e">
        <f t="shared" si="35"/>
        <v>#VALUE!</v>
      </c>
      <c r="V546" s="129">
        <v>0</v>
      </c>
      <c r="W546" s="130" t="e">
        <f t="shared" si="32"/>
        <v>#VALUE!</v>
      </c>
      <c r="X546" s="129">
        <v>0</v>
      </c>
      <c r="Y546" s="130" t="e">
        <f t="shared" si="33"/>
        <v>#VALUE!</v>
      </c>
      <c r="Z546" s="129">
        <v>0</v>
      </c>
      <c r="AA546" s="130" t="e">
        <f t="shared" si="34"/>
        <v>#VALUE!</v>
      </c>
    </row>
    <row r="547" spans="1:27" x14ac:dyDescent="0.3">
      <c r="A547">
        <v>570300</v>
      </c>
      <c r="B547">
        <v>17031570300</v>
      </c>
      <c r="C547">
        <v>17031</v>
      </c>
      <c r="D547">
        <v>2010</v>
      </c>
      <c r="E547">
        <v>57</v>
      </c>
      <c r="F547">
        <v>10603214.6137165</v>
      </c>
      <c r="G547" s="43">
        <v>0.38033798975968852</v>
      </c>
      <c r="H547" s="58" t="str">
        <f>_xlfn.IFNA(
INDEX(CA!B$2:B$78,MATCH($E547,CA!$A$2:$A$78,0)),
"")</f>
        <v>ARCHER HEIGHTS</v>
      </c>
      <c r="I547" s="60" t="str">
        <f>_xlfn.IFNA(
INDEX(CA!C$2:C$78,MATCH($E547,CA!$A$2:$A$78,0)),
"")</f>
        <v>4-B</v>
      </c>
      <c r="J547" s="60">
        <f>_xlfn.IFNA(
INDEX(CA!D$2:D$78,MATCH($E547,CA!$A$2:$A$78,0)),
"")</f>
        <v>4</v>
      </c>
      <c r="K547" s="58" t="str">
        <f>_xlfn.IFNA(
INDEX(CA!E$2:E$78,MATCH($E547,CA!$A$2:$A$78,0)),
"")</f>
        <v>SOUTHWEST</v>
      </c>
      <c r="L547" s="15" t="e">
        <v>#VALUE!</v>
      </c>
      <c r="M547" s="15" t="e">
        <v>#VALUE!</v>
      </c>
      <c r="N547" s="15" t="e">
        <v>#VALUE!</v>
      </c>
      <c r="O547" s="15" t="e">
        <v>#VALUE!</v>
      </c>
      <c r="P547" s="15" t="e">
        <v>#VALUE!</v>
      </c>
      <c r="Q547" s="15" t="e">
        <v>#VALUE!</v>
      </c>
      <c r="R547" s="15" t="e">
        <v>#VALUE!</v>
      </c>
      <c r="S547" s="15" t="e">
        <v>#VALUE!</v>
      </c>
      <c r="T547" s="129">
        <v>0</v>
      </c>
      <c r="U547" s="130" t="e">
        <f t="shared" si="35"/>
        <v>#VALUE!</v>
      </c>
      <c r="V547" s="129">
        <v>0</v>
      </c>
      <c r="W547" s="130" t="e">
        <f t="shared" si="32"/>
        <v>#VALUE!</v>
      </c>
      <c r="X547" s="129">
        <v>0</v>
      </c>
      <c r="Y547" s="130" t="e">
        <f t="shared" si="33"/>
        <v>#VALUE!</v>
      </c>
      <c r="Z547" s="129">
        <v>0</v>
      </c>
      <c r="AA547" s="130" t="e">
        <f t="shared" si="34"/>
        <v>#VALUE!</v>
      </c>
    </row>
    <row r="548" spans="1:27" x14ac:dyDescent="0.3">
      <c r="A548">
        <v>842800</v>
      </c>
      <c r="B548">
        <v>17031842800</v>
      </c>
      <c r="C548">
        <v>17031</v>
      </c>
      <c r="D548">
        <v>2010</v>
      </c>
      <c r="E548">
        <v>58</v>
      </c>
      <c r="F548">
        <v>16447467.904929901</v>
      </c>
      <c r="G548" s="43">
        <v>0.58997173097917743</v>
      </c>
      <c r="H548" s="58" t="str">
        <f>_xlfn.IFNA(
INDEX(CA!B$2:B$78,MATCH($E548,CA!$A$2:$A$78,0)),
"")</f>
        <v>BRIGHTON PARK</v>
      </c>
      <c r="I548" s="60" t="str">
        <f>_xlfn.IFNA(
INDEX(CA!C$2:C$78,MATCH($E548,CA!$A$2:$A$78,0)),
"")</f>
        <v>4-B</v>
      </c>
      <c r="J548" s="60">
        <f>_xlfn.IFNA(
INDEX(CA!D$2:D$78,MATCH($E548,CA!$A$2:$A$78,0)),
"")</f>
        <v>4</v>
      </c>
      <c r="K548" s="58" t="str">
        <f>_xlfn.IFNA(
INDEX(CA!E$2:E$78,MATCH($E548,CA!$A$2:$A$78,0)),
"")</f>
        <v>SOUTHWEST</v>
      </c>
      <c r="L548" s="15" t="e">
        <v>#VALUE!</v>
      </c>
      <c r="M548" s="15" t="e">
        <v>#VALUE!</v>
      </c>
      <c r="N548" s="15" t="e">
        <v>#VALUE!</v>
      </c>
      <c r="O548" s="15" t="e">
        <v>#VALUE!</v>
      </c>
      <c r="P548" s="15" t="e">
        <v>#VALUE!</v>
      </c>
      <c r="Q548" s="15" t="e">
        <v>#VALUE!</v>
      </c>
      <c r="R548" s="15" t="e">
        <v>#VALUE!</v>
      </c>
      <c r="S548" s="15" t="e">
        <v>#VALUE!</v>
      </c>
      <c r="T548" s="129">
        <v>0</v>
      </c>
      <c r="U548" s="130" t="e">
        <f t="shared" si="35"/>
        <v>#VALUE!</v>
      </c>
      <c r="V548" s="129">
        <v>0</v>
      </c>
      <c r="W548" s="130" t="e">
        <f t="shared" si="32"/>
        <v>#VALUE!</v>
      </c>
      <c r="X548" s="129">
        <v>0</v>
      </c>
      <c r="Y548" s="130" t="e">
        <f t="shared" si="33"/>
        <v>#VALUE!</v>
      </c>
      <c r="Z548" s="129">
        <v>0</v>
      </c>
      <c r="AA548" s="130" t="e">
        <f t="shared" si="34"/>
        <v>#VALUE!</v>
      </c>
    </row>
    <row r="549" spans="1:27" x14ac:dyDescent="0.3">
      <c r="A549">
        <v>580501</v>
      </c>
      <c r="B549">
        <v>17031580501</v>
      </c>
      <c r="C549">
        <v>17031</v>
      </c>
      <c r="D549">
        <v>2010</v>
      </c>
      <c r="E549">
        <v>58</v>
      </c>
      <c r="F549">
        <v>5297212.7778151296</v>
      </c>
      <c r="G549" s="43">
        <v>0.19001136284059092</v>
      </c>
      <c r="H549" s="58" t="str">
        <f>_xlfn.IFNA(
INDEX(CA!B$2:B$78,MATCH($E549,CA!$A$2:$A$78,0)),
"")</f>
        <v>BRIGHTON PARK</v>
      </c>
      <c r="I549" s="60" t="str">
        <f>_xlfn.IFNA(
INDEX(CA!C$2:C$78,MATCH($E549,CA!$A$2:$A$78,0)),
"")</f>
        <v>4-B</v>
      </c>
      <c r="J549" s="60">
        <f>_xlfn.IFNA(
INDEX(CA!D$2:D$78,MATCH($E549,CA!$A$2:$A$78,0)),
"")</f>
        <v>4</v>
      </c>
      <c r="K549" s="58" t="str">
        <f>_xlfn.IFNA(
INDEX(CA!E$2:E$78,MATCH($E549,CA!$A$2:$A$78,0)),
"")</f>
        <v>SOUTHWEST</v>
      </c>
      <c r="L549" s="15" t="e">
        <v>#VALUE!</v>
      </c>
      <c r="M549" s="15" t="e">
        <v>#VALUE!</v>
      </c>
      <c r="N549" s="15" t="e">
        <v>#VALUE!</v>
      </c>
      <c r="O549" s="15" t="e">
        <v>#VALUE!</v>
      </c>
      <c r="P549" s="15" t="e">
        <v>#VALUE!</v>
      </c>
      <c r="Q549" s="15" t="e">
        <v>#VALUE!</v>
      </c>
      <c r="R549" s="15" t="e">
        <v>#VALUE!</v>
      </c>
      <c r="S549" s="15" t="e">
        <v>#VALUE!</v>
      </c>
      <c r="T549" s="129">
        <v>0</v>
      </c>
      <c r="U549" s="130" t="e">
        <f t="shared" si="35"/>
        <v>#VALUE!</v>
      </c>
      <c r="V549" s="129">
        <v>0</v>
      </c>
      <c r="W549" s="130" t="e">
        <f t="shared" si="32"/>
        <v>#VALUE!</v>
      </c>
      <c r="X549" s="129">
        <v>0</v>
      </c>
      <c r="Y549" s="130" t="e">
        <f t="shared" si="33"/>
        <v>#VALUE!</v>
      </c>
      <c r="Z549" s="129">
        <v>0</v>
      </c>
      <c r="AA549" s="130" t="e">
        <f t="shared" si="34"/>
        <v>#VALUE!</v>
      </c>
    </row>
    <row r="550" spans="1:27" x14ac:dyDescent="0.3">
      <c r="A550">
        <v>580100</v>
      </c>
      <c r="B550">
        <v>17031580100</v>
      </c>
      <c r="C550">
        <v>17031</v>
      </c>
      <c r="D550">
        <v>2010</v>
      </c>
      <c r="E550">
        <v>58</v>
      </c>
      <c r="F550">
        <v>8263148.8468819195</v>
      </c>
      <c r="G550" s="43">
        <v>0.29639968028588154</v>
      </c>
      <c r="H550" s="58" t="str">
        <f>_xlfn.IFNA(
INDEX(CA!B$2:B$78,MATCH($E550,CA!$A$2:$A$78,0)),
"")</f>
        <v>BRIGHTON PARK</v>
      </c>
      <c r="I550" s="60" t="str">
        <f>_xlfn.IFNA(
INDEX(CA!C$2:C$78,MATCH($E550,CA!$A$2:$A$78,0)),
"")</f>
        <v>4-B</v>
      </c>
      <c r="J550" s="60">
        <f>_xlfn.IFNA(
INDEX(CA!D$2:D$78,MATCH($E550,CA!$A$2:$A$78,0)),
"")</f>
        <v>4</v>
      </c>
      <c r="K550" s="58" t="str">
        <f>_xlfn.IFNA(
INDEX(CA!E$2:E$78,MATCH($E550,CA!$A$2:$A$78,0)),
"")</f>
        <v>SOUTHWEST</v>
      </c>
      <c r="L550" s="15" t="e">
        <v>#VALUE!</v>
      </c>
      <c r="M550" s="15" t="e">
        <v>#VALUE!</v>
      </c>
      <c r="N550" s="15" t="e">
        <v>#VALUE!</v>
      </c>
      <c r="O550" s="15" t="e">
        <v>#VALUE!</v>
      </c>
      <c r="P550" s="15" t="e">
        <v>#VALUE!</v>
      </c>
      <c r="Q550" s="15" t="e">
        <v>#VALUE!</v>
      </c>
      <c r="R550" s="15" t="e">
        <v>#VALUE!</v>
      </c>
      <c r="S550" s="15" t="e">
        <v>#VALUE!</v>
      </c>
      <c r="T550" s="129">
        <v>0.25729772412802854</v>
      </c>
      <c r="U550" s="130" t="e">
        <f t="shared" si="35"/>
        <v>#VALUE!</v>
      </c>
      <c r="V550" s="129">
        <v>0.25729772412802854</v>
      </c>
      <c r="W550" s="130" t="e">
        <f t="shared" si="32"/>
        <v>#VALUE!</v>
      </c>
      <c r="X550" s="129">
        <v>0.25729772412802854</v>
      </c>
      <c r="Y550" s="130" t="e">
        <f t="shared" si="33"/>
        <v>#VALUE!</v>
      </c>
      <c r="Z550" s="129">
        <v>0.25729772412802854</v>
      </c>
      <c r="AA550" s="130" t="e">
        <f t="shared" si="34"/>
        <v>#VALUE!</v>
      </c>
    </row>
    <row r="551" spans="1:27" x14ac:dyDescent="0.3">
      <c r="A551">
        <v>580700</v>
      </c>
      <c r="B551">
        <v>17031580700</v>
      </c>
      <c r="C551">
        <v>17031</v>
      </c>
      <c r="D551">
        <v>2010</v>
      </c>
      <c r="E551">
        <v>58</v>
      </c>
      <c r="F551">
        <v>5923102.9612501496</v>
      </c>
      <c r="G551" s="43">
        <v>0.21246208395209731</v>
      </c>
      <c r="H551" s="58" t="str">
        <f>_xlfn.IFNA(
INDEX(CA!B$2:B$78,MATCH($E551,CA!$A$2:$A$78,0)),
"")</f>
        <v>BRIGHTON PARK</v>
      </c>
      <c r="I551" s="60" t="str">
        <f>_xlfn.IFNA(
INDEX(CA!C$2:C$78,MATCH($E551,CA!$A$2:$A$78,0)),
"")</f>
        <v>4-B</v>
      </c>
      <c r="J551" s="60">
        <f>_xlfn.IFNA(
INDEX(CA!D$2:D$78,MATCH($E551,CA!$A$2:$A$78,0)),
"")</f>
        <v>4</v>
      </c>
      <c r="K551" s="58" t="str">
        <f>_xlfn.IFNA(
INDEX(CA!E$2:E$78,MATCH($E551,CA!$A$2:$A$78,0)),
"")</f>
        <v>SOUTHWEST</v>
      </c>
      <c r="L551" s="15" t="e">
        <v>#VALUE!</v>
      </c>
      <c r="M551" s="15" t="e">
        <v>#VALUE!</v>
      </c>
      <c r="N551" s="15" t="e">
        <v>#VALUE!</v>
      </c>
      <c r="O551" s="15" t="e">
        <v>#VALUE!</v>
      </c>
      <c r="P551" s="15" t="e">
        <v>#VALUE!</v>
      </c>
      <c r="Q551" s="15" t="e">
        <v>#VALUE!</v>
      </c>
      <c r="R551" s="15" t="e">
        <v>#VALUE!</v>
      </c>
      <c r="S551" s="15" t="e">
        <v>#VALUE!</v>
      </c>
      <c r="T551" s="129">
        <v>0.13530226049725164</v>
      </c>
      <c r="U551" s="130" t="e">
        <f t="shared" si="35"/>
        <v>#VALUE!</v>
      </c>
      <c r="V551" s="129">
        <v>0.13530226049725164</v>
      </c>
      <c r="W551" s="130" t="e">
        <f t="shared" si="32"/>
        <v>#VALUE!</v>
      </c>
      <c r="X551" s="129">
        <v>0.13530226049725164</v>
      </c>
      <c r="Y551" s="130" t="e">
        <f t="shared" si="33"/>
        <v>#VALUE!</v>
      </c>
      <c r="Z551" s="129">
        <v>0.13530226049725164</v>
      </c>
      <c r="AA551" s="130" t="e">
        <f t="shared" si="34"/>
        <v>#VALUE!</v>
      </c>
    </row>
    <row r="552" spans="1:27" x14ac:dyDescent="0.3">
      <c r="A552">
        <v>580502</v>
      </c>
      <c r="B552">
        <v>17031580502</v>
      </c>
      <c r="C552">
        <v>17031</v>
      </c>
      <c r="D552">
        <v>2010</v>
      </c>
      <c r="E552">
        <v>58</v>
      </c>
      <c r="F552">
        <v>5322099.3338118903</v>
      </c>
      <c r="G552" s="43">
        <v>0.19090404520388152</v>
      </c>
      <c r="H552" s="58" t="str">
        <f>_xlfn.IFNA(
INDEX(CA!B$2:B$78,MATCH($E552,CA!$A$2:$A$78,0)),
"")</f>
        <v>BRIGHTON PARK</v>
      </c>
      <c r="I552" s="60" t="str">
        <f>_xlfn.IFNA(
INDEX(CA!C$2:C$78,MATCH($E552,CA!$A$2:$A$78,0)),
"")</f>
        <v>4-B</v>
      </c>
      <c r="J552" s="60">
        <f>_xlfn.IFNA(
INDEX(CA!D$2:D$78,MATCH($E552,CA!$A$2:$A$78,0)),
"")</f>
        <v>4</v>
      </c>
      <c r="K552" s="58" t="str">
        <f>_xlfn.IFNA(
INDEX(CA!E$2:E$78,MATCH($E552,CA!$A$2:$A$78,0)),
"")</f>
        <v>SOUTHWEST</v>
      </c>
      <c r="L552" s="15" t="e">
        <v>#VALUE!</v>
      </c>
      <c r="M552" s="15" t="e">
        <v>#VALUE!</v>
      </c>
      <c r="N552" s="15" t="e">
        <v>#VALUE!</v>
      </c>
      <c r="O552" s="15" t="e">
        <v>#VALUE!</v>
      </c>
      <c r="P552" s="15" t="e">
        <v>#VALUE!</v>
      </c>
      <c r="Q552" s="15" t="e">
        <v>#VALUE!</v>
      </c>
      <c r="R552" s="15" t="e">
        <v>#VALUE!</v>
      </c>
      <c r="S552" s="15" t="e">
        <v>#VALUE!</v>
      </c>
      <c r="T552" s="129">
        <v>0</v>
      </c>
      <c r="U552" s="130" t="e">
        <f t="shared" si="35"/>
        <v>#VALUE!</v>
      </c>
      <c r="V552" s="129">
        <v>0</v>
      </c>
      <c r="W552" s="130" t="e">
        <f t="shared" si="32"/>
        <v>#VALUE!</v>
      </c>
      <c r="X552" s="129">
        <v>0</v>
      </c>
      <c r="Y552" s="130" t="e">
        <f t="shared" si="33"/>
        <v>#VALUE!</v>
      </c>
      <c r="Z552" s="129">
        <v>0</v>
      </c>
      <c r="AA552" s="130" t="e">
        <f t="shared" si="34"/>
        <v>#VALUE!</v>
      </c>
    </row>
    <row r="553" spans="1:27" x14ac:dyDescent="0.3">
      <c r="A553">
        <v>580800</v>
      </c>
      <c r="B553">
        <v>17031580800</v>
      </c>
      <c r="C553">
        <v>17031</v>
      </c>
      <c r="D553">
        <v>2010</v>
      </c>
      <c r="E553">
        <v>58</v>
      </c>
      <c r="F553">
        <v>1971910.20687707</v>
      </c>
      <c r="G553" s="43">
        <v>7.0732545873402705E-2</v>
      </c>
      <c r="H553" s="58" t="str">
        <f>_xlfn.IFNA(
INDEX(CA!B$2:B$78,MATCH($E553,CA!$A$2:$A$78,0)),
"")</f>
        <v>BRIGHTON PARK</v>
      </c>
      <c r="I553" s="60" t="str">
        <f>_xlfn.IFNA(
INDEX(CA!C$2:C$78,MATCH($E553,CA!$A$2:$A$78,0)),
"")</f>
        <v>4-B</v>
      </c>
      <c r="J553" s="60">
        <f>_xlfn.IFNA(
INDEX(CA!D$2:D$78,MATCH($E553,CA!$A$2:$A$78,0)),
"")</f>
        <v>4</v>
      </c>
      <c r="K553" s="58" t="str">
        <f>_xlfn.IFNA(
INDEX(CA!E$2:E$78,MATCH($E553,CA!$A$2:$A$78,0)),
"")</f>
        <v>SOUTHWEST</v>
      </c>
      <c r="L553" s="15" t="e">
        <v>#VALUE!</v>
      </c>
      <c r="M553" s="15" t="e">
        <v>#VALUE!</v>
      </c>
      <c r="N553" s="15" t="e">
        <v>#VALUE!</v>
      </c>
      <c r="O553" s="15" t="e">
        <v>#VALUE!</v>
      </c>
      <c r="P553" s="15" t="e">
        <v>#VALUE!</v>
      </c>
      <c r="Q553" s="15" t="e">
        <v>#VALUE!</v>
      </c>
      <c r="R553" s="15" t="e">
        <v>#VALUE!</v>
      </c>
      <c r="S553" s="15" t="e">
        <v>#VALUE!</v>
      </c>
      <c r="T553" s="129">
        <v>2.650198923179982E-3</v>
      </c>
      <c r="U553" s="130" t="e">
        <f t="shared" si="35"/>
        <v>#VALUE!</v>
      </c>
      <c r="V553" s="129">
        <v>0</v>
      </c>
      <c r="W553" s="130" t="e">
        <f t="shared" si="32"/>
        <v>#VALUE!</v>
      </c>
      <c r="X553" s="129">
        <v>0</v>
      </c>
      <c r="Y553" s="130" t="e">
        <f t="shared" si="33"/>
        <v>#VALUE!</v>
      </c>
      <c r="Z553" s="129">
        <v>0</v>
      </c>
      <c r="AA553" s="130" t="e">
        <f t="shared" si="34"/>
        <v>#VALUE!</v>
      </c>
    </row>
    <row r="554" spans="1:27" x14ac:dyDescent="0.3">
      <c r="A554">
        <v>580300</v>
      </c>
      <c r="B554">
        <v>17031580300</v>
      </c>
      <c r="C554">
        <v>17031</v>
      </c>
      <c r="D554">
        <v>2010</v>
      </c>
      <c r="E554">
        <v>58</v>
      </c>
      <c r="F554">
        <v>4958721.5705467397</v>
      </c>
      <c r="G554" s="43">
        <v>0.17786966147794492</v>
      </c>
      <c r="H554" s="58" t="str">
        <f>_xlfn.IFNA(
INDEX(CA!B$2:B$78,MATCH($E554,CA!$A$2:$A$78,0)),
"")</f>
        <v>BRIGHTON PARK</v>
      </c>
      <c r="I554" s="60" t="str">
        <f>_xlfn.IFNA(
INDEX(CA!C$2:C$78,MATCH($E554,CA!$A$2:$A$78,0)),
"")</f>
        <v>4-B</v>
      </c>
      <c r="J554" s="60">
        <f>_xlfn.IFNA(
INDEX(CA!D$2:D$78,MATCH($E554,CA!$A$2:$A$78,0)),
"")</f>
        <v>4</v>
      </c>
      <c r="K554" s="58" t="str">
        <f>_xlfn.IFNA(
INDEX(CA!E$2:E$78,MATCH($E554,CA!$A$2:$A$78,0)),
"")</f>
        <v>SOUTHWEST</v>
      </c>
      <c r="L554" s="15" t="e">
        <v>#VALUE!</v>
      </c>
      <c r="M554" s="15" t="e">
        <v>#VALUE!</v>
      </c>
      <c r="N554" s="15" t="e">
        <v>#VALUE!</v>
      </c>
      <c r="O554" s="15" t="e">
        <v>#VALUE!</v>
      </c>
      <c r="P554" s="15" t="e">
        <v>#VALUE!</v>
      </c>
      <c r="Q554" s="15" t="e">
        <v>#VALUE!</v>
      </c>
      <c r="R554" s="15" t="e">
        <v>#VALUE!</v>
      </c>
      <c r="S554" s="15" t="e">
        <v>#VALUE!</v>
      </c>
      <c r="T554" s="129">
        <v>0</v>
      </c>
      <c r="U554" s="130" t="e">
        <f t="shared" si="35"/>
        <v>#VALUE!</v>
      </c>
      <c r="V554" s="129">
        <v>0</v>
      </c>
      <c r="W554" s="130" t="e">
        <f t="shared" si="32"/>
        <v>#VALUE!</v>
      </c>
      <c r="X554" s="129">
        <v>0</v>
      </c>
      <c r="Y554" s="130" t="e">
        <f t="shared" si="33"/>
        <v>#VALUE!</v>
      </c>
      <c r="Z554" s="129">
        <v>0</v>
      </c>
      <c r="AA554" s="130" t="e">
        <f t="shared" si="34"/>
        <v>#VALUE!</v>
      </c>
    </row>
    <row r="555" spans="1:27" x14ac:dyDescent="0.3">
      <c r="A555">
        <v>580600</v>
      </c>
      <c r="B555">
        <v>17031580600</v>
      </c>
      <c r="C555">
        <v>17031</v>
      </c>
      <c r="D555">
        <v>2010</v>
      </c>
      <c r="E555">
        <v>58</v>
      </c>
      <c r="F555">
        <v>5304262.9605195401</v>
      </c>
      <c r="G555" s="43">
        <v>0.1902642533473779</v>
      </c>
      <c r="H555" s="58" t="str">
        <f>_xlfn.IFNA(
INDEX(CA!B$2:B$78,MATCH($E555,CA!$A$2:$A$78,0)),
"")</f>
        <v>BRIGHTON PARK</v>
      </c>
      <c r="I555" s="60" t="str">
        <f>_xlfn.IFNA(
INDEX(CA!C$2:C$78,MATCH($E555,CA!$A$2:$A$78,0)),
"")</f>
        <v>4-B</v>
      </c>
      <c r="J555" s="60">
        <f>_xlfn.IFNA(
INDEX(CA!D$2:D$78,MATCH($E555,CA!$A$2:$A$78,0)),
"")</f>
        <v>4</v>
      </c>
      <c r="K555" s="58" t="str">
        <f>_xlfn.IFNA(
INDEX(CA!E$2:E$78,MATCH($E555,CA!$A$2:$A$78,0)),
"")</f>
        <v>SOUTHWEST</v>
      </c>
      <c r="L555" s="15" t="e">
        <v>#VALUE!</v>
      </c>
      <c r="M555" s="15" t="e">
        <v>#VALUE!</v>
      </c>
      <c r="N555" s="15" t="e">
        <v>#VALUE!</v>
      </c>
      <c r="O555" s="15" t="e">
        <v>#VALUE!</v>
      </c>
      <c r="P555" s="15" t="e">
        <v>#VALUE!</v>
      </c>
      <c r="Q555" s="15" t="e">
        <v>#VALUE!</v>
      </c>
      <c r="R555" s="15" t="e">
        <v>#VALUE!</v>
      </c>
      <c r="S555" s="15" t="e">
        <v>#VALUE!</v>
      </c>
      <c r="T555" s="129">
        <v>7.5517861584929194E-2</v>
      </c>
      <c r="U555" s="130" t="e">
        <f t="shared" si="35"/>
        <v>#VALUE!</v>
      </c>
      <c r="V555" s="129">
        <v>7.5517861584929194E-2</v>
      </c>
      <c r="W555" s="130" t="e">
        <f t="shared" si="32"/>
        <v>#VALUE!</v>
      </c>
      <c r="X555" s="129">
        <v>7.5517861584929194E-2</v>
      </c>
      <c r="Y555" s="130" t="e">
        <f t="shared" si="33"/>
        <v>#VALUE!</v>
      </c>
      <c r="Z555" s="129">
        <v>7.5517861584929194E-2</v>
      </c>
      <c r="AA555" s="130" t="e">
        <f t="shared" si="34"/>
        <v>#VALUE!</v>
      </c>
    </row>
    <row r="556" spans="1:27" x14ac:dyDescent="0.3">
      <c r="A556">
        <v>580200</v>
      </c>
      <c r="B556">
        <v>17031580200</v>
      </c>
      <c r="C556">
        <v>17031</v>
      </c>
      <c r="D556">
        <v>2010</v>
      </c>
      <c r="E556">
        <v>58</v>
      </c>
      <c r="F556">
        <v>8014143.0831089299</v>
      </c>
      <c r="G556" s="43">
        <v>0.28746782753346428</v>
      </c>
      <c r="H556" s="58" t="str">
        <f>_xlfn.IFNA(
INDEX(CA!B$2:B$78,MATCH($E556,CA!$A$2:$A$78,0)),
"")</f>
        <v>BRIGHTON PARK</v>
      </c>
      <c r="I556" s="60" t="str">
        <f>_xlfn.IFNA(
INDEX(CA!C$2:C$78,MATCH($E556,CA!$A$2:$A$78,0)),
"")</f>
        <v>4-B</v>
      </c>
      <c r="J556" s="60">
        <f>_xlfn.IFNA(
INDEX(CA!D$2:D$78,MATCH($E556,CA!$A$2:$A$78,0)),
"")</f>
        <v>4</v>
      </c>
      <c r="K556" s="58" t="str">
        <f>_xlfn.IFNA(
INDEX(CA!E$2:E$78,MATCH($E556,CA!$A$2:$A$78,0)),
"")</f>
        <v>SOUTHWEST</v>
      </c>
      <c r="L556" s="15" t="e">
        <v>#VALUE!</v>
      </c>
      <c r="M556" s="15" t="e">
        <v>#VALUE!</v>
      </c>
      <c r="N556" s="15" t="e">
        <v>#VALUE!</v>
      </c>
      <c r="O556" s="15" t="e">
        <v>#VALUE!</v>
      </c>
      <c r="P556" s="15" t="e">
        <v>#VALUE!</v>
      </c>
      <c r="Q556" s="15" t="e">
        <v>#VALUE!</v>
      </c>
      <c r="R556" s="15" t="e">
        <v>#VALUE!</v>
      </c>
      <c r="S556" s="15" t="e">
        <v>#VALUE!</v>
      </c>
      <c r="T556" s="129">
        <v>9.7786666843644541E-3</v>
      </c>
      <c r="U556" s="130" t="e">
        <f t="shared" si="35"/>
        <v>#VALUE!</v>
      </c>
      <c r="V556" s="129">
        <v>9.7786666843644541E-3</v>
      </c>
      <c r="W556" s="130" t="e">
        <f t="shared" si="32"/>
        <v>#VALUE!</v>
      </c>
      <c r="X556" s="129">
        <v>9.7786666843644541E-3</v>
      </c>
      <c r="Y556" s="130" t="e">
        <f t="shared" si="33"/>
        <v>#VALUE!</v>
      </c>
      <c r="Z556" s="129">
        <v>9.7786666843644541E-3</v>
      </c>
      <c r="AA556" s="130" t="e">
        <f t="shared" si="34"/>
        <v>#VALUE!</v>
      </c>
    </row>
    <row r="557" spans="1:27" x14ac:dyDescent="0.3">
      <c r="A557">
        <v>580400</v>
      </c>
      <c r="B557">
        <v>17031580400</v>
      </c>
      <c r="C557">
        <v>17031</v>
      </c>
      <c r="D557">
        <v>2010</v>
      </c>
      <c r="E557">
        <v>58</v>
      </c>
      <c r="F557">
        <v>14191818.943568099</v>
      </c>
      <c r="G557" s="43">
        <v>0.50906145774391998</v>
      </c>
      <c r="H557" s="58" t="str">
        <f>_xlfn.IFNA(
INDEX(CA!B$2:B$78,MATCH($E557,CA!$A$2:$A$78,0)),
"")</f>
        <v>BRIGHTON PARK</v>
      </c>
      <c r="I557" s="60" t="str">
        <f>_xlfn.IFNA(
INDEX(CA!C$2:C$78,MATCH($E557,CA!$A$2:$A$78,0)),
"")</f>
        <v>4-B</v>
      </c>
      <c r="J557" s="60">
        <f>_xlfn.IFNA(
INDEX(CA!D$2:D$78,MATCH($E557,CA!$A$2:$A$78,0)),
"")</f>
        <v>4</v>
      </c>
      <c r="K557" s="58" t="str">
        <f>_xlfn.IFNA(
INDEX(CA!E$2:E$78,MATCH($E557,CA!$A$2:$A$78,0)),
"")</f>
        <v>SOUTHWEST</v>
      </c>
      <c r="L557" s="15" t="e">
        <v>#VALUE!</v>
      </c>
      <c r="M557" s="15" t="e">
        <v>#VALUE!</v>
      </c>
      <c r="N557" s="15" t="e">
        <v>#VALUE!</v>
      </c>
      <c r="O557" s="15" t="e">
        <v>#VALUE!</v>
      </c>
      <c r="P557" s="15" t="e">
        <v>#VALUE!</v>
      </c>
      <c r="Q557" s="15" t="e">
        <v>#VALUE!</v>
      </c>
      <c r="R557" s="15" t="e">
        <v>#VALUE!</v>
      </c>
      <c r="S557" s="15" t="e">
        <v>#VALUE!</v>
      </c>
      <c r="T557" s="129">
        <v>0</v>
      </c>
      <c r="U557" s="130" t="e">
        <f t="shared" si="35"/>
        <v>#VALUE!</v>
      </c>
      <c r="V557" s="129">
        <v>0</v>
      </c>
      <c r="W557" s="130" t="e">
        <f t="shared" si="32"/>
        <v>#VALUE!</v>
      </c>
      <c r="X557" s="129">
        <v>0</v>
      </c>
      <c r="Y557" s="130" t="e">
        <f t="shared" si="33"/>
        <v>#VALUE!</v>
      </c>
      <c r="Z557" s="129">
        <v>0</v>
      </c>
      <c r="AA557" s="130" t="e">
        <f t="shared" si="34"/>
        <v>#VALUE!</v>
      </c>
    </row>
    <row r="558" spans="1:27" x14ac:dyDescent="0.3">
      <c r="A558">
        <v>590500</v>
      </c>
      <c r="B558">
        <v>17031590500</v>
      </c>
      <c r="C558">
        <v>17031</v>
      </c>
      <c r="D558">
        <v>2010</v>
      </c>
      <c r="E558">
        <v>59</v>
      </c>
      <c r="F558">
        <v>6419890.5390271796</v>
      </c>
      <c r="G558" s="43">
        <v>0.23028188630004517</v>
      </c>
      <c r="H558" s="58" t="str">
        <f>_xlfn.IFNA(
INDEX(CA!B$2:B$78,MATCH($E558,CA!$A$2:$A$78,0)),
"")</f>
        <v>MCKINLEY PARK</v>
      </c>
      <c r="I558" s="60" t="str">
        <f>_xlfn.IFNA(
INDEX(CA!C$2:C$78,MATCH($E558,CA!$A$2:$A$78,0)),
"")</f>
        <v>4-A</v>
      </c>
      <c r="J558" s="60">
        <f>_xlfn.IFNA(
INDEX(CA!D$2:D$78,MATCH($E558,CA!$A$2:$A$78,0)),
"")</f>
        <v>4</v>
      </c>
      <c r="K558" s="58" t="str">
        <f>_xlfn.IFNA(
INDEX(CA!E$2:E$78,MATCH($E558,CA!$A$2:$A$78,0)),
"")</f>
        <v>SOUTHWEST</v>
      </c>
      <c r="L558" s="15" t="e">
        <v>#VALUE!</v>
      </c>
      <c r="M558" s="15" t="e">
        <v>#VALUE!</v>
      </c>
      <c r="N558" s="15" t="e">
        <v>#VALUE!</v>
      </c>
      <c r="O558" s="15" t="e">
        <v>#VALUE!</v>
      </c>
      <c r="P558" s="15" t="e">
        <v>#VALUE!</v>
      </c>
      <c r="Q558" s="15" t="e">
        <v>#VALUE!</v>
      </c>
      <c r="R558" s="15" t="e">
        <v>#VALUE!</v>
      </c>
      <c r="S558" s="15" t="e">
        <v>#VALUE!</v>
      </c>
      <c r="T558" s="129">
        <v>0.23015635859298023</v>
      </c>
      <c r="U558" s="130" t="e">
        <f t="shared" si="35"/>
        <v>#VALUE!</v>
      </c>
      <c r="V558" s="129">
        <v>0.23015635859298023</v>
      </c>
      <c r="W558" s="130" t="e">
        <f t="shared" si="32"/>
        <v>#VALUE!</v>
      </c>
      <c r="X558" s="129">
        <v>0.23015635859298023</v>
      </c>
      <c r="Y558" s="130" t="e">
        <f t="shared" si="33"/>
        <v>#VALUE!</v>
      </c>
      <c r="Z558" s="129">
        <v>0.23015635859298023</v>
      </c>
      <c r="AA558" s="130" t="e">
        <f t="shared" si="34"/>
        <v>#VALUE!</v>
      </c>
    </row>
    <row r="559" spans="1:27" x14ac:dyDescent="0.3">
      <c r="A559">
        <v>590600</v>
      </c>
      <c r="B559">
        <v>17031590600</v>
      </c>
      <c r="C559">
        <v>17031</v>
      </c>
      <c r="D559">
        <v>2010</v>
      </c>
      <c r="E559">
        <v>59</v>
      </c>
      <c r="F559">
        <v>3747092.0958322999</v>
      </c>
      <c r="G559" s="43">
        <v>0.13440843433741892</v>
      </c>
      <c r="H559" s="58" t="str">
        <f>_xlfn.IFNA(
INDEX(CA!B$2:B$78,MATCH($E559,CA!$A$2:$A$78,0)),
"")</f>
        <v>MCKINLEY PARK</v>
      </c>
      <c r="I559" s="60" t="str">
        <f>_xlfn.IFNA(
INDEX(CA!C$2:C$78,MATCH($E559,CA!$A$2:$A$78,0)),
"")</f>
        <v>4-A</v>
      </c>
      <c r="J559" s="60">
        <f>_xlfn.IFNA(
INDEX(CA!D$2:D$78,MATCH($E559,CA!$A$2:$A$78,0)),
"")</f>
        <v>4</v>
      </c>
      <c r="K559" s="58" t="str">
        <f>_xlfn.IFNA(
INDEX(CA!E$2:E$78,MATCH($E559,CA!$A$2:$A$78,0)),
"")</f>
        <v>SOUTHWEST</v>
      </c>
      <c r="L559" s="15" t="e">
        <v>#VALUE!</v>
      </c>
      <c r="M559" s="15" t="e">
        <v>#VALUE!</v>
      </c>
      <c r="N559" s="15" t="e">
        <v>#VALUE!</v>
      </c>
      <c r="O559" s="15" t="e">
        <v>#VALUE!</v>
      </c>
      <c r="P559" s="15" t="e">
        <v>#VALUE!</v>
      </c>
      <c r="Q559" s="15" t="e">
        <v>#VALUE!</v>
      </c>
      <c r="R559" s="15" t="e">
        <v>#VALUE!</v>
      </c>
      <c r="S559" s="15" t="e">
        <v>#VALUE!</v>
      </c>
      <c r="T559" s="129">
        <v>0.1338638501711637</v>
      </c>
      <c r="U559" s="130" t="e">
        <f t="shared" si="35"/>
        <v>#VALUE!</v>
      </c>
      <c r="V559" s="129">
        <v>0.1338638501711637</v>
      </c>
      <c r="W559" s="130" t="e">
        <f t="shared" si="32"/>
        <v>#VALUE!</v>
      </c>
      <c r="X559" s="129">
        <v>0.1338638501711637</v>
      </c>
      <c r="Y559" s="130" t="e">
        <f t="shared" si="33"/>
        <v>#VALUE!</v>
      </c>
      <c r="Z559" s="129">
        <v>0.1338638501711637</v>
      </c>
      <c r="AA559" s="130" t="e">
        <f t="shared" si="34"/>
        <v>#VALUE!</v>
      </c>
    </row>
    <row r="560" spans="1:27" x14ac:dyDescent="0.3">
      <c r="A560">
        <v>590700</v>
      </c>
      <c r="B560">
        <v>17031590700</v>
      </c>
      <c r="C560">
        <v>17031</v>
      </c>
      <c r="D560">
        <v>2010</v>
      </c>
      <c r="E560">
        <v>59</v>
      </c>
      <c r="F560">
        <v>9458119.1487668492</v>
      </c>
      <c r="G560" s="43">
        <v>0.33926334182617546</v>
      </c>
      <c r="H560" s="58" t="str">
        <f>_xlfn.IFNA(
INDEX(CA!B$2:B$78,MATCH($E560,CA!$A$2:$A$78,0)),
"")</f>
        <v>MCKINLEY PARK</v>
      </c>
      <c r="I560" s="60" t="str">
        <f>_xlfn.IFNA(
INDEX(CA!C$2:C$78,MATCH($E560,CA!$A$2:$A$78,0)),
"")</f>
        <v>4-A</v>
      </c>
      <c r="J560" s="60">
        <f>_xlfn.IFNA(
INDEX(CA!D$2:D$78,MATCH($E560,CA!$A$2:$A$78,0)),
"")</f>
        <v>4</v>
      </c>
      <c r="K560" s="58" t="str">
        <f>_xlfn.IFNA(
INDEX(CA!E$2:E$78,MATCH($E560,CA!$A$2:$A$78,0)),
"")</f>
        <v>SOUTHWEST</v>
      </c>
      <c r="L560" s="15" t="e">
        <v>#VALUE!</v>
      </c>
      <c r="M560" s="15" t="e">
        <v>#VALUE!</v>
      </c>
      <c r="N560" s="15" t="e">
        <v>#VALUE!</v>
      </c>
      <c r="O560" s="15" t="e">
        <v>#VALUE!</v>
      </c>
      <c r="P560" s="15" t="e">
        <v>#VALUE!</v>
      </c>
      <c r="Q560" s="15" t="e">
        <v>#VALUE!</v>
      </c>
      <c r="R560" s="15" t="e">
        <v>#VALUE!</v>
      </c>
      <c r="S560" s="15" t="e">
        <v>#VALUE!</v>
      </c>
      <c r="T560" s="129">
        <v>0.30913422665837886</v>
      </c>
      <c r="U560" s="130" t="e">
        <f t="shared" si="35"/>
        <v>#VALUE!</v>
      </c>
      <c r="V560" s="129">
        <v>0.30913422665837886</v>
      </c>
      <c r="W560" s="130" t="e">
        <f t="shared" si="32"/>
        <v>#VALUE!</v>
      </c>
      <c r="X560" s="129">
        <v>0.30913422665837886</v>
      </c>
      <c r="Y560" s="130" t="e">
        <f t="shared" si="33"/>
        <v>#VALUE!</v>
      </c>
      <c r="Z560" s="129">
        <v>0.30913422665837886</v>
      </c>
      <c r="AA560" s="130" t="e">
        <f t="shared" si="34"/>
        <v>#VALUE!</v>
      </c>
    </row>
    <row r="561" spans="1:27" x14ac:dyDescent="0.3">
      <c r="A561">
        <v>840400</v>
      </c>
      <c r="B561">
        <v>17031840400</v>
      </c>
      <c r="C561">
        <v>17031</v>
      </c>
      <c r="D561">
        <v>2010</v>
      </c>
      <c r="E561">
        <v>59</v>
      </c>
      <c r="F561">
        <v>10678999.7238236</v>
      </c>
      <c r="G561" s="43">
        <v>0.383056406530633</v>
      </c>
      <c r="H561" s="58" t="str">
        <f>_xlfn.IFNA(
INDEX(CA!B$2:B$78,MATCH($E561,CA!$A$2:$A$78,0)),
"")</f>
        <v>MCKINLEY PARK</v>
      </c>
      <c r="I561" s="60" t="str">
        <f>_xlfn.IFNA(
INDEX(CA!C$2:C$78,MATCH($E561,CA!$A$2:$A$78,0)),
"")</f>
        <v>4-A</v>
      </c>
      <c r="J561" s="60">
        <f>_xlfn.IFNA(
INDEX(CA!D$2:D$78,MATCH($E561,CA!$A$2:$A$78,0)),
"")</f>
        <v>4</v>
      </c>
      <c r="K561" s="58" t="str">
        <f>_xlfn.IFNA(
INDEX(CA!E$2:E$78,MATCH($E561,CA!$A$2:$A$78,0)),
"")</f>
        <v>SOUTHWEST</v>
      </c>
      <c r="L561" s="15" t="e">
        <v>#VALUE!</v>
      </c>
      <c r="M561" s="15" t="e">
        <v>#VALUE!</v>
      </c>
      <c r="N561" s="15" t="e">
        <v>#VALUE!</v>
      </c>
      <c r="O561" s="15" t="e">
        <v>#VALUE!</v>
      </c>
      <c r="P561" s="15" t="e">
        <v>#VALUE!</v>
      </c>
      <c r="Q561" s="15" t="e">
        <v>#VALUE!</v>
      </c>
      <c r="R561" s="15" t="e">
        <v>#VALUE!</v>
      </c>
      <c r="S561" s="15" t="e">
        <v>#VALUE!</v>
      </c>
      <c r="T561" s="129">
        <v>1.1212354713796452E-2</v>
      </c>
      <c r="U561" s="130" t="e">
        <f t="shared" si="35"/>
        <v>#VALUE!</v>
      </c>
      <c r="V561" s="129">
        <v>1.1212354713796452E-2</v>
      </c>
      <c r="W561" s="130" t="e">
        <f t="shared" si="32"/>
        <v>#VALUE!</v>
      </c>
      <c r="X561" s="129">
        <v>1.1212354713796452E-2</v>
      </c>
      <c r="Y561" s="130" t="e">
        <f t="shared" si="33"/>
        <v>#VALUE!</v>
      </c>
      <c r="Z561" s="129">
        <v>1.1212354713796452E-2</v>
      </c>
      <c r="AA561" s="130" t="e">
        <f t="shared" si="34"/>
        <v>#VALUE!</v>
      </c>
    </row>
    <row r="562" spans="1:27" x14ac:dyDescent="0.3">
      <c r="A562">
        <v>840300</v>
      </c>
      <c r="B562">
        <v>17031840300</v>
      </c>
      <c r="C562">
        <v>17031</v>
      </c>
      <c r="D562">
        <v>2010</v>
      </c>
      <c r="E562">
        <v>59</v>
      </c>
      <c r="F562">
        <v>9127698.1404613405</v>
      </c>
      <c r="G562" s="43">
        <v>0.32741111901907355</v>
      </c>
      <c r="H562" s="58" t="str">
        <f>_xlfn.IFNA(
INDEX(CA!B$2:B$78,MATCH($E562,CA!$A$2:$A$78,0)),
"")</f>
        <v>MCKINLEY PARK</v>
      </c>
      <c r="I562" s="60" t="str">
        <f>_xlfn.IFNA(
INDEX(CA!C$2:C$78,MATCH($E562,CA!$A$2:$A$78,0)),
"")</f>
        <v>4-A</v>
      </c>
      <c r="J562" s="60">
        <f>_xlfn.IFNA(
INDEX(CA!D$2:D$78,MATCH($E562,CA!$A$2:$A$78,0)),
"")</f>
        <v>4</v>
      </c>
      <c r="K562" s="58" t="str">
        <f>_xlfn.IFNA(
INDEX(CA!E$2:E$78,MATCH($E562,CA!$A$2:$A$78,0)),
"")</f>
        <v>SOUTHWEST</v>
      </c>
      <c r="L562" s="15" t="e">
        <v>#VALUE!</v>
      </c>
      <c r="M562" s="15" t="e">
        <v>#VALUE!</v>
      </c>
      <c r="N562" s="15" t="e">
        <v>#VALUE!</v>
      </c>
      <c r="O562" s="15" t="e">
        <v>#VALUE!</v>
      </c>
      <c r="P562" s="15" t="e">
        <v>#VALUE!</v>
      </c>
      <c r="Q562" s="15" t="e">
        <v>#VALUE!</v>
      </c>
      <c r="R562" s="15" t="e">
        <v>#VALUE!</v>
      </c>
      <c r="S562" s="15" t="e">
        <v>#VALUE!</v>
      </c>
      <c r="T562" s="129">
        <v>0.32514794847043588</v>
      </c>
      <c r="U562" s="130" t="e">
        <f t="shared" si="35"/>
        <v>#VALUE!</v>
      </c>
      <c r="V562" s="129">
        <v>0.32514794847043588</v>
      </c>
      <c r="W562" s="130" t="e">
        <f t="shared" si="32"/>
        <v>#VALUE!</v>
      </c>
      <c r="X562" s="129">
        <v>0.32514794847043588</v>
      </c>
      <c r="Y562" s="130" t="e">
        <f t="shared" si="33"/>
        <v>#VALUE!</v>
      </c>
      <c r="Z562" s="129">
        <v>0.32514794847043588</v>
      </c>
      <c r="AA562" s="130" t="e">
        <f t="shared" si="34"/>
        <v>#VALUE!</v>
      </c>
    </row>
    <row r="563" spans="1:27" x14ac:dyDescent="0.3">
      <c r="A563">
        <v>63100</v>
      </c>
      <c r="B563">
        <v>17031063100</v>
      </c>
      <c r="C563">
        <v>17031</v>
      </c>
      <c r="D563">
        <v>2010</v>
      </c>
      <c r="E563">
        <v>6</v>
      </c>
      <c r="F563">
        <v>1719580.4646203101</v>
      </c>
      <c r="G563" s="43">
        <v>6.168146179911007E-2</v>
      </c>
      <c r="H563" s="58" t="str">
        <f>_xlfn.IFNA(
INDEX(CA!B$2:B$78,MATCH($E563,CA!$A$2:$A$78,0)),
"")</f>
        <v>LAKE VIEW</v>
      </c>
      <c r="I563" s="60" t="str">
        <f>_xlfn.IFNA(
INDEX(CA!C$2:C$78,MATCH($E563,CA!$A$2:$A$78,0)),
"")</f>
        <v>1-B</v>
      </c>
      <c r="J563" s="60">
        <f>_xlfn.IFNA(
INDEX(CA!D$2:D$78,MATCH($E563,CA!$A$2:$A$78,0)),
"")</f>
        <v>1</v>
      </c>
      <c r="K563" s="58" t="str">
        <f>_xlfn.IFNA(
INDEX(CA!E$2:E$78,MATCH($E563,CA!$A$2:$A$78,0)),
"")</f>
        <v>NORTH</v>
      </c>
      <c r="L563" s="15" t="e">
        <v>#VALUE!</v>
      </c>
      <c r="M563" s="15" t="e">
        <v>#VALUE!</v>
      </c>
      <c r="N563" s="15" t="e">
        <v>#VALUE!</v>
      </c>
      <c r="O563" s="15" t="e">
        <v>#VALUE!</v>
      </c>
      <c r="P563" s="15" t="e">
        <v>#VALUE!</v>
      </c>
      <c r="Q563" s="15" t="e">
        <v>#VALUE!</v>
      </c>
      <c r="R563" s="15" t="e">
        <v>#VALUE!</v>
      </c>
      <c r="S563" s="15" t="e">
        <v>#VALUE!</v>
      </c>
      <c r="T563" s="129">
        <v>6.1681463700855504E-2</v>
      </c>
      <c r="U563" s="130" t="e">
        <f t="shared" si="35"/>
        <v>#VALUE!</v>
      </c>
      <c r="V563" s="129">
        <v>6.1681463700855504E-2</v>
      </c>
      <c r="W563" s="130" t="e">
        <f t="shared" si="32"/>
        <v>#VALUE!</v>
      </c>
      <c r="X563" s="129">
        <v>6.1681463700855504E-2</v>
      </c>
      <c r="Y563" s="130" t="e">
        <f t="shared" si="33"/>
        <v>#VALUE!</v>
      </c>
      <c r="Z563" s="129">
        <v>6.1681463700855504E-2</v>
      </c>
      <c r="AA563" s="130" t="e">
        <f t="shared" si="34"/>
        <v>#VALUE!</v>
      </c>
    </row>
    <row r="564" spans="1:27" x14ac:dyDescent="0.3">
      <c r="A564">
        <v>61000</v>
      </c>
      <c r="B564">
        <v>17031061000</v>
      </c>
      <c r="C564">
        <v>17031</v>
      </c>
      <c r="D564">
        <v>2010</v>
      </c>
      <c r="E564">
        <v>6</v>
      </c>
      <c r="F564">
        <v>1860324.71467542</v>
      </c>
      <c r="G564" s="43">
        <v>6.6729967095508352E-2</v>
      </c>
      <c r="H564" s="58" t="str">
        <f>_xlfn.IFNA(
INDEX(CA!B$2:B$78,MATCH($E564,CA!$A$2:$A$78,0)),
"")</f>
        <v>LAKE VIEW</v>
      </c>
      <c r="I564" s="60" t="str">
        <f>_xlfn.IFNA(
INDEX(CA!C$2:C$78,MATCH($E564,CA!$A$2:$A$78,0)),
"")</f>
        <v>1-B</v>
      </c>
      <c r="J564" s="60">
        <f>_xlfn.IFNA(
INDEX(CA!D$2:D$78,MATCH($E564,CA!$A$2:$A$78,0)),
"")</f>
        <v>1</v>
      </c>
      <c r="K564" s="58" t="str">
        <f>_xlfn.IFNA(
INDEX(CA!E$2:E$78,MATCH($E564,CA!$A$2:$A$78,0)),
"")</f>
        <v>NORTH</v>
      </c>
      <c r="L564" s="15" t="e">
        <v>#VALUE!</v>
      </c>
      <c r="M564" s="15" t="e">
        <v>#VALUE!</v>
      </c>
      <c r="N564" s="15" t="e">
        <v>#VALUE!</v>
      </c>
      <c r="O564" s="15" t="e">
        <v>#VALUE!</v>
      </c>
      <c r="P564" s="15" t="e">
        <v>#VALUE!</v>
      </c>
      <c r="Q564" s="15" t="e">
        <v>#VALUE!</v>
      </c>
      <c r="R564" s="15" t="e">
        <v>#VALUE!</v>
      </c>
      <c r="S564" s="15" t="e">
        <v>#VALUE!</v>
      </c>
      <c r="T564" s="129">
        <v>6.6729969243079584E-2</v>
      </c>
      <c r="U564" s="130" t="e">
        <f t="shared" si="35"/>
        <v>#VALUE!</v>
      </c>
      <c r="V564" s="129">
        <v>6.6729969243079584E-2</v>
      </c>
      <c r="W564" s="130" t="e">
        <f t="shared" si="32"/>
        <v>#VALUE!</v>
      </c>
      <c r="X564" s="129">
        <v>6.6729969243079584E-2</v>
      </c>
      <c r="Y564" s="130" t="e">
        <f t="shared" si="33"/>
        <v>#VALUE!</v>
      </c>
      <c r="Z564" s="129">
        <v>6.6729969243079584E-2</v>
      </c>
      <c r="AA564" s="130" t="e">
        <f t="shared" si="34"/>
        <v>#VALUE!</v>
      </c>
    </row>
    <row r="565" spans="1:27" x14ac:dyDescent="0.3">
      <c r="A565">
        <v>61500</v>
      </c>
      <c r="B565">
        <v>17031061500</v>
      </c>
      <c r="C565">
        <v>17031</v>
      </c>
      <c r="D565">
        <v>2010</v>
      </c>
      <c r="E565">
        <v>6</v>
      </c>
      <c r="F565">
        <v>1753942.1843640499</v>
      </c>
      <c r="G565" s="43">
        <v>6.2914018895060334E-2</v>
      </c>
      <c r="H565" s="58" t="str">
        <f>_xlfn.IFNA(
INDEX(CA!B$2:B$78,MATCH($E565,CA!$A$2:$A$78,0)),
"")</f>
        <v>LAKE VIEW</v>
      </c>
      <c r="I565" s="60" t="str">
        <f>_xlfn.IFNA(
INDEX(CA!C$2:C$78,MATCH($E565,CA!$A$2:$A$78,0)),
"")</f>
        <v>1-B</v>
      </c>
      <c r="J565" s="60">
        <f>_xlfn.IFNA(
INDEX(CA!D$2:D$78,MATCH($E565,CA!$A$2:$A$78,0)),
"")</f>
        <v>1</v>
      </c>
      <c r="K565" s="58" t="str">
        <f>_xlfn.IFNA(
INDEX(CA!E$2:E$78,MATCH($E565,CA!$A$2:$A$78,0)),
"")</f>
        <v>NORTH</v>
      </c>
      <c r="L565" s="15" t="e">
        <v>#VALUE!</v>
      </c>
      <c r="M565" s="15" t="e">
        <v>#VALUE!</v>
      </c>
      <c r="N565" s="15" t="e">
        <v>#VALUE!</v>
      </c>
      <c r="O565" s="15" t="e">
        <v>#VALUE!</v>
      </c>
      <c r="P565" s="15" t="e">
        <v>#VALUE!</v>
      </c>
      <c r="Q565" s="15" t="e">
        <v>#VALUE!</v>
      </c>
      <c r="R565" s="15" t="e">
        <v>#VALUE!</v>
      </c>
      <c r="S565" s="15" t="e">
        <v>#VALUE!</v>
      </c>
      <c r="T565" s="129">
        <v>6.2914022525226335E-2</v>
      </c>
      <c r="U565" s="130" t="e">
        <f t="shared" si="35"/>
        <v>#VALUE!</v>
      </c>
      <c r="V565" s="129">
        <v>6.2914022525226335E-2</v>
      </c>
      <c r="W565" s="130" t="e">
        <f t="shared" si="32"/>
        <v>#VALUE!</v>
      </c>
      <c r="X565" s="129">
        <v>6.2914022525226335E-2</v>
      </c>
      <c r="Y565" s="130" t="e">
        <f t="shared" si="33"/>
        <v>#VALUE!</v>
      </c>
      <c r="Z565" s="129">
        <v>6.2914022525226335E-2</v>
      </c>
      <c r="AA565" s="130" t="e">
        <f t="shared" si="34"/>
        <v>#VALUE!</v>
      </c>
    </row>
    <row r="566" spans="1:27" x14ac:dyDescent="0.3">
      <c r="A566">
        <v>62300</v>
      </c>
      <c r="B566">
        <v>17031062300</v>
      </c>
      <c r="C566">
        <v>17031</v>
      </c>
      <c r="D566">
        <v>2010</v>
      </c>
      <c r="E566">
        <v>6</v>
      </c>
      <c r="F566">
        <v>1757883.7848990001</v>
      </c>
      <c r="G566" s="43">
        <v>6.3055404359611739E-2</v>
      </c>
      <c r="H566" s="58" t="str">
        <f>_xlfn.IFNA(
INDEX(CA!B$2:B$78,MATCH($E566,CA!$A$2:$A$78,0)),
"")</f>
        <v>LAKE VIEW</v>
      </c>
      <c r="I566" s="60" t="str">
        <f>_xlfn.IFNA(
INDEX(CA!C$2:C$78,MATCH($E566,CA!$A$2:$A$78,0)),
"")</f>
        <v>1-B</v>
      </c>
      <c r="J566" s="60">
        <f>_xlfn.IFNA(
INDEX(CA!D$2:D$78,MATCH($E566,CA!$A$2:$A$78,0)),
"")</f>
        <v>1</v>
      </c>
      <c r="K566" s="58" t="str">
        <f>_xlfn.IFNA(
INDEX(CA!E$2:E$78,MATCH($E566,CA!$A$2:$A$78,0)),
"")</f>
        <v>NORTH</v>
      </c>
      <c r="L566" s="15" t="e">
        <v>#VALUE!</v>
      </c>
      <c r="M566" s="15" t="e">
        <v>#VALUE!</v>
      </c>
      <c r="N566" s="15" t="e">
        <v>#VALUE!</v>
      </c>
      <c r="O566" s="15" t="e">
        <v>#VALUE!</v>
      </c>
      <c r="P566" s="15" t="e">
        <v>#VALUE!</v>
      </c>
      <c r="Q566" s="15" t="e">
        <v>#VALUE!</v>
      </c>
      <c r="R566" s="15" t="e">
        <v>#VALUE!</v>
      </c>
      <c r="S566" s="15" t="e">
        <v>#VALUE!</v>
      </c>
      <c r="T566" s="129">
        <v>6.3055405159032796E-2</v>
      </c>
      <c r="U566" s="130" t="e">
        <f t="shared" si="35"/>
        <v>#VALUE!</v>
      </c>
      <c r="V566" s="129">
        <v>6.3055405159032796E-2</v>
      </c>
      <c r="W566" s="130" t="e">
        <f t="shared" si="32"/>
        <v>#VALUE!</v>
      </c>
      <c r="X566" s="129">
        <v>6.3055405159032796E-2</v>
      </c>
      <c r="Y566" s="130" t="e">
        <f t="shared" si="33"/>
        <v>#VALUE!</v>
      </c>
      <c r="Z566" s="129">
        <v>6.3055405159032796E-2</v>
      </c>
      <c r="AA566" s="130" t="e">
        <f t="shared" si="34"/>
        <v>#VALUE!</v>
      </c>
    </row>
    <row r="567" spans="1:27" x14ac:dyDescent="0.3">
      <c r="A567">
        <v>62600</v>
      </c>
      <c r="B567">
        <v>17031062600</v>
      </c>
      <c r="C567">
        <v>17031</v>
      </c>
      <c r="D567">
        <v>2010</v>
      </c>
      <c r="E567">
        <v>6</v>
      </c>
      <c r="F567">
        <v>3525985.9957339601</v>
      </c>
      <c r="G567" s="43">
        <v>0.12647734431437815</v>
      </c>
      <c r="H567" s="58" t="str">
        <f>_xlfn.IFNA(
INDEX(CA!B$2:B$78,MATCH($E567,CA!$A$2:$A$78,0)),
"")</f>
        <v>LAKE VIEW</v>
      </c>
      <c r="I567" s="60" t="str">
        <f>_xlfn.IFNA(
INDEX(CA!C$2:C$78,MATCH($E567,CA!$A$2:$A$78,0)),
"")</f>
        <v>1-B</v>
      </c>
      <c r="J567" s="60">
        <f>_xlfn.IFNA(
INDEX(CA!D$2:D$78,MATCH($E567,CA!$A$2:$A$78,0)),
"")</f>
        <v>1</v>
      </c>
      <c r="K567" s="58" t="str">
        <f>_xlfn.IFNA(
INDEX(CA!E$2:E$78,MATCH($E567,CA!$A$2:$A$78,0)),
"")</f>
        <v>NORTH</v>
      </c>
      <c r="L567" s="15" t="e">
        <v>#VALUE!</v>
      </c>
      <c r="M567" s="15" t="e">
        <v>#VALUE!</v>
      </c>
      <c r="N567" s="15" t="e">
        <v>#VALUE!</v>
      </c>
      <c r="O567" s="15" t="e">
        <v>#VALUE!</v>
      </c>
      <c r="P567" s="15" t="e">
        <v>#VALUE!</v>
      </c>
      <c r="Q567" s="15" t="e">
        <v>#VALUE!</v>
      </c>
      <c r="R567" s="15" t="e">
        <v>#VALUE!</v>
      </c>
      <c r="S567" s="15" t="e">
        <v>#VALUE!</v>
      </c>
      <c r="T567" s="129">
        <v>0.12647733861148525</v>
      </c>
      <c r="U567" s="130" t="e">
        <f t="shared" si="35"/>
        <v>#VALUE!</v>
      </c>
      <c r="V567" s="129">
        <v>0.12647733861148525</v>
      </c>
      <c r="W567" s="130" t="e">
        <f t="shared" si="32"/>
        <v>#VALUE!</v>
      </c>
      <c r="X567" s="129">
        <v>0.12647733861148525</v>
      </c>
      <c r="Y567" s="130" t="e">
        <f t="shared" si="33"/>
        <v>#VALUE!</v>
      </c>
      <c r="Z567" s="129">
        <v>0.12647733861148525</v>
      </c>
      <c r="AA567" s="130" t="e">
        <f t="shared" si="34"/>
        <v>#VALUE!</v>
      </c>
    </row>
    <row r="568" spans="1:27" x14ac:dyDescent="0.3">
      <c r="A568">
        <v>62700</v>
      </c>
      <c r="B568">
        <v>17031062700</v>
      </c>
      <c r="C568">
        <v>17031</v>
      </c>
      <c r="D568">
        <v>2010</v>
      </c>
      <c r="E568">
        <v>6</v>
      </c>
      <c r="F568">
        <v>3499100.43765639</v>
      </c>
      <c r="G568" s="43">
        <v>0.12551295761795475</v>
      </c>
      <c r="H568" s="58" t="str">
        <f>_xlfn.IFNA(
INDEX(CA!B$2:B$78,MATCH($E568,CA!$A$2:$A$78,0)),
"")</f>
        <v>LAKE VIEW</v>
      </c>
      <c r="I568" s="60" t="str">
        <f>_xlfn.IFNA(
INDEX(CA!C$2:C$78,MATCH($E568,CA!$A$2:$A$78,0)),
"")</f>
        <v>1-B</v>
      </c>
      <c r="J568" s="60">
        <f>_xlfn.IFNA(
INDEX(CA!D$2:D$78,MATCH($E568,CA!$A$2:$A$78,0)),
"")</f>
        <v>1</v>
      </c>
      <c r="K568" s="58" t="str">
        <f>_xlfn.IFNA(
INDEX(CA!E$2:E$78,MATCH($E568,CA!$A$2:$A$78,0)),
"")</f>
        <v>NORTH</v>
      </c>
      <c r="L568" s="15" t="e">
        <v>#VALUE!</v>
      </c>
      <c r="M568" s="15" t="e">
        <v>#VALUE!</v>
      </c>
      <c r="N568" s="15" t="e">
        <v>#VALUE!</v>
      </c>
      <c r="O568" s="15" t="e">
        <v>#VALUE!</v>
      </c>
      <c r="P568" s="15" t="e">
        <v>#VALUE!</v>
      </c>
      <c r="Q568" s="15" t="e">
        <v>#VALUE!</v>
      </c>
      <c r="R568" s="15" t="e">
        <v>#VALUE!</v>
      </c>
      <c r="S568" s="15" t="e">
        <v>#VALUE!</v>
      </c>
      <c r="T568" s="129">
        <v>0.12551296180208979</v>
      </c>
      <c r="U568" s="130" t="e">
        <f t="shared" si="35"/>
        <v>#VALUE!</v>
      </c>
      <c r="V568" s="129">
        <v>0.12551296180208979</v>
      </c>
      <c r="W568" s="130" t="e">
        <f t="shared" si="32"/>
        <v>#VALUE!</v>
      </c>
      <c r="X568" s="129">
        <v>0.12551296180208979</v>
      </c>
      <c r="Y568" s="130" t="e">
        <f t="shared" si="33"/>
        <v>#VALUE!</v>
      </c>
      <c r="Z568" s="129">
        <v>0.12551296180208979</v>
      </c>
      <c r="AA568" s="130" t="e">
        <f t="shared" si="34"/>
        <v>#VALUE!</v>
      </c>
    </row>
    <row r="569" spans="1:27" x14ac:dyDescent="0.3">
      <c r="A569">
        <v>62800</v>
      </c>
      <c r="B569">
        <v>17031062800</v>
      </c>
      <c r="C569">
        <v>17031</v>
      </c>
      <c r="D569">
        <v>2010</v>
      </c>
      <c r="E569">
        <v>6</v>
      </c>
      <c r="F569">
        <v>3505012.0754144099</v>
      </c>
      <c r="G569" s="43">
        <v>0.12572500844433002</v>
      </c>
      <c r="H569" s="58" t="str">
        <f>_xlfn.IFNA(
INDEX(CA!B$2:B$78,MATCH($E569,CA!$A$2:$A$78,0)),
"")</f>
        <v>LAKE VIEW</v>
      </c>
      <c r="I569" s="60" t="str">
        <f>_xlfn.IFNA(
INDEX(CA!C$2:C$78,MATCH($E569,CA!$A$2:$A$78,0)),
"")</f>
        <v>1-B</v>
      </c>
      <c r="J569" s="60">
        <f>_xlfn.IFNA(
INDEX(CA!D$2:D$78,MATCH($E569,CA!$A$2:$A$78,0)),
"")</f>
        <v>1</v>
      </c>
      <c r="K569" s="58" t="str">
        <f>_xlfn.IFNA(
INDEX(CA!E$2:E$78,MATCH($E569,CA!$A$2:$A$78,0)),
"")</f>
        <v>NORTH</v>
      </c>
      <c r="L569" s="15" t="e">
        <v>#VALUE!</v>
      </c>
      <c r="M569" s="15" t="e">
        <v>#VALUE!</v>
      </c>
      <c r="N569" s="15" t="e">
        <v>#VALUE!</v>
      </c>
      <c r="O569" s="15" t="e">
        <v>#VALUE!</v>
      </c>
      <c r="P569" s="15" t="e">
        <v>#VALUE!</v>
      </c>
      <c r="Q569" s="15" t="e">
        <v>#VALUE!</v>
      </c>
      <c r="R569" s="15" t="e">
        <v>#VALUE!</v>
      </c>
      <c r="S569" s="15" t="e">
        <v>#VALUE!</v>
      </c>
      <c r="T569" s="129">
        <v>0.12572500715505769</v>
      </c>
      <c r="U569" s="130" t="e">
        <f t="shared" si="35"/>
        <v>#VALUE!</v>
      </c>
      <c r="V569" s="129">
        <v>0.12572500715505769</v>
      </c>
      <c r="W569" s="130" t="e">
        <f t="shared" si="32"/>
        <v>#VALUE!</v>
      </c>
      <c r="X569" s="129">
        <v>0.12572500715505769</v>
      </c>
      <c r="Y569" s="130" t="e">
        <f t="shared" si="33"/>
        <v>#VALUE!</v>
      </c>
      <c r="Z569" s="129">
        <v>0.12572500715505769</v>
      </c>
      <c r="AA569" s="130" t="e">
        <f t="shared" si="34"/>
        <v>#VALUE!</v>
      </c>
    </row>
    <row r="570" spans="1:27" x14ac:dyDescent="0.3">
      <c r="A570">
        <v>62900</v>
      </c>
      <c r="B570">
        <v>17031062900</v>
      </c>
      <c r="C570">
        <v>17031</v>
      </c>
      <c r="D570">
        <v>2010</v>
      </c>
      <c r="E570">
        <v>6</v>
      </c>
      <c r="F570">
        <v>3506266.5932131801</v>
      </c>
      <c r="G570" s="43">
        <v>0.12577000807841124</v>
      </c>
      <c r="H570" s="58" t="str">
        <f>_xlfn.IFNA(
INDEX(CA!B$2:B$78,MATCH($E570,CA!$A$2:$A$78,0)),
"")</f>
        <v>LAKE VIEW</v>
      </c>
      <c r="I570" s="60" t="str">
        <f>_xlfn.IFNA(
INDEX(CA!C$2:C$78,MATCH($E570,CA!$A$2:$A$78,0)),
"")</f>
        <v>1-B</v>
      </c>
      <c r="J570" s="60">
        <f>_xlfn.IFNA(
INDEX(CA!D$2:D$78,MATCH($E570,CA!$A$2:$A$78,0)),
"")</f>
        <v>1</v>
      </c>
      <c r="K570" s="58" t="str">
        <f>_xlfn.IFNA(
INDEX(CA!E$2:E$78,MATCH($E570,CA!$A$2:$A$78,0)),
"")</f>
        <v>NORTH</v>
      </c>
      <c r="L570" s="15" t="e">
        <v>#VALUE!</v>
      </c>
      <c r="M570" s="15" t="e">
        <v>#VALUE!</v>
      </c>
      <c r="N570" s="15" t="e">
        <v>#VALUE!</v>
      </c>
      <c r="O570" s="15" t="e">
        <v>#VALUE!</v>
      </c>
      <c r="P570" s="15" t="e">
        <v>#VALUE!</v>
      </c>
      <c r="Q570" s="15" t="e">
        <v>#VALUE!</v>
      </c>
      <c r="R570" s="15" t="e">
        <v>#VALUE!</v>
      </c>
      <c r="S570" s="15" t="e">
        <v>#VALUE!</v>
      </c>
      <c r="T570" s="129">
        <v>0.12577000537306479</v>
      </c>
      <c r="U570" s="130" t="e">
        <f t="shared" si="35"/>
        <v>#VALUE!</v>
      </c>
      <c r="V570" s="129">
        <v>0.12577000537306479</v>
      </c>
      <c r="W570" s="130" t="e">
        <f t="shared" si="32"/>
        <v>#VALUE!</v>
      </c>
      <c r="X570" s="129">
        <v>0.12577000537306479</v>
      </c>
      <c r="Y570" s="130" t="e">
        <f t="shared" si="33"/>
        <v>#VALUE!</v>
      </c>
      <c r="Z570" s="129">
        <v>0.12577000537306479</v>
      </c>
      <c r="AA570" s="130" t="e">
        <f t="shared" si="34"/>
        <v>#VALUE!</v>
      </c>
    </row>
    <row r="571" spans="1:27" x14ac:dyDescent="0.3">
      <c r="A571">
        <v>60100</v>
      </c>
      <c r="B571">
        <v>17031060100</v>
      </c>
      <c r="C571">
        <v>17031</v>
      </c>
      <c r="D571">
        <v>2010</v>
      </c>
      <c r="E571">
        <v>6</v>
      </c>
      <c r="F571">
        <v>3504130.2306334302</v>
      </c>
      <c r="G571" s="43">
        <v>0.12569337661535204</v>
      </c>
      <c r="H571" s="58" t="str">
        <f>_xlfn.IFNA(
INDEX(CA!B$2:B$78,MATCH($E571,CA!$A$2:$A$78,0)),
"")</f>
        <v>LAKE VIEW</v>
      </c>
      <c r="I571" s="60" t="str">
        <f>_xlfn.IFNA(
INDEX(CA!C$2:C$78,MATCH($E571,CA!$A$2:$A$78,0)),
"")</f>
        <v>1-B</v>
      </c>
      <c r="J571" s="60">
        <f>_xlfn.IFNA(
INDEX(CA!D$2:D$78,MATCH($E571,CA!$A$2:$A$78,0)),
"")</f>
        <v>1</v>
      </c>
      <c r="K571" s="58" t="str">
        <f>_xlfn.IFNA(
INDEX(CA!E$2:E$78,MATCH($E571,CA!$A$2:$A$78,0)),
"")</f>
        <v>NORTH</v>
      </c>
      <c r="L571" s="15" t="e">
        <v>#VALUE!</v>
      </c>
      <c r="M571" s="15" t="e">
        <v>#VALUE!</v>
      </c>
      <c r="N571" s="15" t="e">
        <v>#VALUE!</v>
      </c>
      <c r="O571" s="15" t="e">
        <v>#VALUE!</v>
      </c>
      <c r="P571" s="15" t="e">
        <v>#VALUE!</v>
      </c>
      <c r="Q571" s="15" t="e">
        <v>#VALUE!</v>
      </c>
      <c r="R571" s="15" t="e">
        <v>#VALUE!</v>
      </c>
      <c r="S571" s="15" t="e">
        <v>#VALUE!</v>
      </c>
      <c r="T571" s="129">
        <v>0.12569338464944402</v>
      </c>
      <c r="U571" s="130" t="e">
        <f t="shared" si="35"/>
        <v>#VALUE!</v>
      </c>
      <c r="V571" s="129">
        <v>0.12569338464944402</v>
      </c>
      <c r="W571" s="130" t="e">
        <f t="shared" si="32"/>
        <v>#VALUE!</v>
      </c>
      <c r="X571" s="129">
        <v>0.12569338464944402</v>
      </c>
      <c r="Y571" s="130" t="e">
        <f t="shared" si="33"/>
        <v>#VALUE!</v>
      </c>
      <c r="Z571" s="129">
        <v>0.12569338464944402</v>
      </c>
      <c r="AA571" s="130" t="e">
        <f t="shared" si="34"/>
        <v>#VALUE!</v>
      </c>
    </row>
    <row r="572" spans="1:27" x14ac:dyDescent="0.3">
      <c r="A572">
        <v>60200</v>
      </c>
      <c r="B572">
        <v>17031060200</v>
      </c>
      <c r="C572">
        <v>17031</v>
      </c>
      <c r="D572">
        <v>2010</v>
      </c>
      <c r="E572">
        <v>6</v>
      </c>
      <c r="F572">
        <v>3426209.3181542698</v>
      </c>
      <c r="G572" s="43">
        <v>0.12289834847603413</v>
      </c>
      <c r="H572" s="58" t="str">
        <f>_xlfn.IFNA(
INDEX(CA!B$2:B$78,MATCH($E572,CA!$A$2:$A$78,0)),
"")</f>
        <v>LAKE VIEW</v>
      </c>
      <c r="I572" s="60" t="str">
        <f>_xlfn.IFNA(
INDEX(CA!C$2:C$78,MATCH($E572,CA!$A$2:$A$78,0)),
"")</f>
        <v>1-B</v>
      </c>
      <c r="J572" s="60">
        <f>_xlfn.IFNA(
INDEX(CA!D$2:D$78,MATCH($E572,CA!$A$2:$A$78,0)),
"")</f>
        <v>1</v>
      </c>
      <c r="K572" s="58" t="str">
        <f>_xlfn.IFNA(
INDEX(CA!E$2:E$78,MATCH($E572,CA!$A$2:$A$78,0)),
"")</f>
        <v>NORTH</v>
      </c>
      <c r="L572" s="15" t="e">
        <v>#VALUE!</v>
      </c>
      <c r="M572" s="15" t="e">
        <v>#VALUE!</v>
      </c>
      <c r="N572" s="15" t="e">
        <v>#VALUE!</v>
      </c>
      <c r="O572" s="15" t="e">
        <v>#VALUE!</v>
      </c>
      <c r="P572" s="15" t="e">
        <v>#VALUE!</v>
      </c>
      <c r="Q572" s="15" t="e">
        <v>#VALUE!</v>
      </c>
      <c r="R572" s="15" t="e">
        <v>#VALUE!</v>
      </c>
      <c r="S572" s="15" t="e">
        <v>#VALUE!</v>
      </c>
      <c r="T572" s="129">
        <v>0.12289834303986527</v>
      </c>
      <c r="U572" s="130" t="e">
        <f t="shared" si="35"/>
        <v>#VALUE!</v>
      </c>
      <c r="V572" s="129">
        <v>0.12289834303986527</v>
      </c>
      <c r="W572" s="130" t="e">
        <f t="shared" si="32"/>
        <v>#VALUE!</v>
      </c>
      <c r="X572" s="129">
        <v>0.12289834303986527</v>
      </c>
      <c r="Y572" s="130" t="e">
        <f t="shared" si="33"/>
        <v>#VALUE!</v>
      </c>
      <c r="Z572" s="129">
        <v>0.12289834303986527</v>
      </c>
      <c r="AA572" s="130" t="e">
        <f t="shared" si="34"/>
        <v>#VALUE!</v>
      </c>
    </row>
    <row r="573" spans="1:27" x14ac:dyDescent="0.3">
      <c r="A573">
        <v>60400</v>
      </c>
      <c r="B573">
        <v>17031060400</v>
      </c>
      <c r="C573">
        <v>17031</v>
      </c>
      <c r="D573">
        <v>2010</v>
      </c>
      <c r="E573">
        <v>6</v>
      </c>
      <c r="F573">
        <v>3498398.6838416201</v>
      </c>
      <c r="G573" s="43">
        <v>0.12548778566351082</v>
      </c>
      <c r="H573" s="58" t="str">
        <f>_xlfn.IFNA(
INDEX(CA!B$2:B$78,MATCH($E573,CA!$A$2:$A$78,0)),
"")</f>
        <v>LAKE VIEW</v>
      </c>
      <c r="I573" s="60" t="str">
        <f>_xlfn.IFNA(
INDEX(CA!C$2:C$78,MATCH($E573,CA!$A$2:$A$78,0)),
"")</f>
        <v>1-B</v>
      </c>
      <c r="J573" s="60">
        <f>_xlfn.IFNA(
INDEX(CA!D$2:D$78,MATCH($E573,CA!$A$2:$A$78,0)),
"")</f>
        <v>1</v>
      </c>
      <c r="K573" s="58" t="str">
        <f>_xlfn.IFNA(
INDEX(CA!E$2:E$78,MATCH($E573,CA!$A$2:$A$78,0)),
"")</f>
        <v>NORTH</v>
      </c>
      <c r="L573" s="15" t="e">
        <v>#VALUE!</v>
      </c>
      <c r="M573" s="15" t="e">
        <v>#VALUE!</v>
      </c>
      <c r="N573" s="15" t="e">
        <v>#VALUE!</v>
      </c>
      <c r="O573" s="15" t="e">
        <v>#VALUE!</v>
      </c>
      <c r="P573" s="15" t="e">
        <v>#VALUE!</v>
      </c>
      <c r="Q573" s="15" t="e">
        <v>#VALUE!</v>
      </c>
      <c r="R573" s="15" t="e">
        <v>#VALUE!</v>
      </c>
      <c r="S573" s="15" t="e">
        <v>#VALUE!</v>
      </c>
      <c r="T573" s="129">
        <v>0.12548778428815319</v>
      </c>
      <c r="U573" s="130" t="e">
        <f t="shared" si="35"/>
        <v>#VALUE!</v>
      </c>
      <c r="V573" s="129">
        <v>0.12548778428815319</v>
      </c>
      <c r="W573" s="130" t="e">
        <f t="shared" si="32"/>
        <v>#VALUE!</v>
      </c>
      <c r="X573" s="129">
        <v>0.12548778428815319</v>
      </c>
      <c r="Y573" s="130" t="e">
        <f t="shared" si="33"/>
        <v>#VALUE!</v>
      </c>
      <c r="Z573" s="129">
        <v>0.12548778428815319</v>
      </c>
      <c r="AA573" s="130" t="e">
        <f t="shared" si="34"/>
        <v>#VALUE!</v>
      </c>
    </row>
    <row r="574" spans="1:27" x14ac:dyDescent="0.3">
      <c r="A574">
        <v>60500</v>
      </c>
      <c r="B574">
        <v>17031060500</v>
      </c>
      <c r="C574">
        <v>17031</v>
      </c>
      <c r="D574">
        <v>2010</v>
      </c>
      <c r="E574">
        <v>6</v>
      </c>
      <c r="F574">
        <v>2455633.6374322302</v>
      </c>
      <c r="G574" s="43">
        <v>8.8083736420749764E-2</v>
      </c>
      <c r="H574" s="58" t="str">
        <f>_xlfn.IFNA(
INDEX(CA!B$2:B$78,MATCH($E574,CA!$A$2:$A$78,0)),
"")</f>
        <v>LAKE VIEW</v>
      </c>
      <c r="I574" s="60" t="str">
        <f>_xlfn.IFNA(
INDEX(CA!C$2:C$78,MATCH($E574,CA!$A$2:$A$78,0)),
"")</f>
        <v>1-B</v>
      </c>
      <c r="J574" s="60">
        <f>_xlfn.IFNA(
INDEX(CA!D$2:D$78,MATCH($E574,CA!$A$2:$A$78,0)),
"")</f>
        <v>1</v>
      </c>
      <c r="K574" s="58" t="str">
        <f>_xlfn.IFNA(
INDEX(CA!E$2:E$78,MATCH($E574,CA!$A$2:$A$78,0)),
"")</f>
        <v>NORTH</v>
      </c>
      <c r="L574" s="15" t="e">
        <v>#VALUE!</v>
      </c>
      <c r="M574" s="15" t="e">
        <v>#VALUE!</v>
      </c>
      <c r="N574" s="15" t="e">
        <v>#VALUE!</v>
      </c>
      <c r="O574" s="15" t="e">
        <v>#VALUE!</v>
      </c>
      <c r="P574" s="15" t="e">
        <v>#VALUE!</v>
      </c>
      <c r="Q574" s="15" t="e">
        <v>#VALUE!</v>
      </c>
      <c r="R574" s="15" t="e">
        <v>#VALUE!</v>
      </c>
      <c r="S574" s="15" t="e">
        <v>#VALUE!</v>
      </c>
      <c r="T574" s="129">
        <v>8.8083733925287663E-2</v>
      </c>
      <c r="U574" s="130" t="e">
        <f t="shared" si="35"/>
        <v>#VALUE!</v>
      </c>
      <c r="V574" s="129">
        <v>8.8083733925287663E-2</v>
      </c>
      <c r="W574" s="130" t="e">
        <f t="shared" si="32"/>
        <v>#VALUE!</v>
      </c>
      <c r="X574" s="129">
        <v>8.8083733925287663E-2</v>
      </c>
      <c r="Y574" s="130" t="e">
        <f t="shared" si="33"/>
        <v>#VALUE!</v>
      </c>
      <c r="Z574" s="129">
        <v>8.8083733925287663E-2</v>
      </c>
      <c r="AA574" s="130" t="e">
        <f t="shared" si="34"/>
        <v>#VALUE!</v>
      </c>
    </row>
    <row r="575" spans="1:27" x14ac:dyDescent="0.3">
      <c r="A575">
        <v>832100</v>
      </c>
      <c r="B575">
        <v>17031832100</v>
      </c>
      <c r="C575">
        <v>17031</v>
      </c>
      <c r="D575">
        <v>2010</v>
      </c>
      <c r="E575">
        <v>6</v>
      </c>
      <c r="F575">
        <v>2392645.0215273299</v>
      </c>
      <c r="G575" s="43">
        <v>8.5824330719385972E-2</v>
      </c>
      <c r="H575" s="58" t="str">
        <f>_xlfn.IFNA(
INDEX(CA!B$2:B$78,MATCH($E575,CA!$A$2:$A$78,0)),
"")</f>
        <v>LAKE VIEW</v>
      </c>
      <c r="I575" s="60" t="str">
        <f>_xlfn.IFNA(
INDEX(CA!C$2:C$78,MATCH($E575,CA!$A$2:$A$78,0)),
"")</f>
        <v>1-B</v>
      </c>
      <c r="J575" s="60">
        <f>_xlfn.IFNA(
INDEX(CA!D$2:D$78,MATCH($E575,CA!$A$2:$A$78,0)),
"")</f>
        <v>1</v>
      </c>
      <c r="K575" s="58" t="str">
        <f>_xlfn.IFNA(
INDEX(CA!E$2:E$78,MATCH($E575,CA!$A$2:$A$78,0)),
"")</f>
        <v>NORTH</v>
      </c>
      <c r="L575" s="15" t="e">
        <v>#VALUE!</v>
      </c>
      <c r="M575" s="15" t="e">
        <v>#VALUE!</v>
      </c>
      <c r="N575" s="15" t="e">
        <v>#VALUE!</v>
      </c>
      <c r="O575" s="15" t="e">
        <v>#VALUE!</v>
      </c>
      <c r="P575" s="15" t="e">
        <v>#VALUE!</v>
      </c>
      <c r="Q575" s="15" t="e">
        <v>#VALUE!</v>
      </c>
      <c r="R575" s="15" t="e">
        <v>#VALUE!</v>
      </c>
      <c r="S575" s="15" t="e">
        <v>#VALUE!</v>
      </c>
      <c r="T575" s="129">
        <v>8.5824325009188837E-2</v>
      </c>
      <c r="U575" s="130" t="e">
        <f t="shared" si="35"/>
        <v>#VALUE!</v>
      </c>
      <c r="V575" s="129">
        <v>8.5824325009188837E-2</v>
      </c>
      <c r="W575" s="130" t="e">
        <f t="shared" si="32"/>
        <v>#VALUE!</v>
      </c>
      <c r="X575" s="129">
        <v>8.5824325009188837E-2</v>
      </c>
      <c r="Y575" s="130" t="e">
        <f t="shared" si="33"/>
        <v>#VALUE!</v>
      </c>
      <c r="Z575" s="129">
        <v>8.5824325009188837E-2</v>
      </c>
      <c r="AA575" s="130" t="e">
        <f t="shared" si="34"/>
        <v>#VALUE!</v>
      </c>
    </row>
    <row r="576" spans="1:27" x14ac:dyDescent="0.3">
      <c r="A576">
        <v>60800</v>
      </c>
      <c r="B576">
        <v>17031060800</v>
      </c>
      <c r="C576">
        <v>17031</v>
      </c>
      <c r="D576">
        <v>2010</v>
      </c>
      <c r="E576">
        <v>6</v>
      </c>
      <c r="F576">
        <v>1985283.6057378701</v>
      </c>
      <c r="G576" s="43">
        <v>7.1212250550170386E-2</v>
      </c>
      <c r="H576" s="58" t="str">
        <f>_xlfn.IFNA(
INDEX(CA!B$2:B$78,MATCH($E576,CA!$A$2:$A$78,0)),
"")</f>
        <v>LAKE VIEW</v>
      </c>
      <c r="I576" s="60" t="str">
        <f>_xlfn.IFNA(
INDEX(CA!C$2:C$78,MATCH($E576,CA!$A$2:$A$78,0)),
"")</f>
        <v>1-B</v>
      </c>
      <c r="J576" s="60">
        <f>_xlfn.IFNA(
INDEX(CA!D$2:D$78,MATCH($E576,CA!$A$2:$A$78,0)),
"")</f>
        <v>1</v>
      </c>
      <c r="K576" s="58" t="str">
        <f>_xlfn.IFNA(
INDEX(CA!E$2:E$78,MATCH($E576,CA!$A$2:$A$78,0)),
"")</f>
        <v>NORTH</v>
      </c>
      <c r="L576" s="15" t="e">
        <v>#VALUE!</v>
      </c>
      <c r="M576" s="15" t="e">
        <v>#VALUE!</v>
      </c>
      <c r="N576" s="15" t="e">
        <v>#VALUE!</v>
      </c>
      <c r="O576" s="15" t="e">
        <v>#VALUE!</v>
      </c>
      <c r="P576" s="15" t="e">
        <v>#VALUE!</v>
      </c>
      <c r="Q576" s="15" t="e">
        <v>#VALUE!</v>
      </c>
      <c r="R576" s="15" t="e">
        <v>#VALUE!</v>
      </c>
      <c r="S576" s="15" t="e">
        <v>#VALUE!</v>
      </c>
      <c r="T576" s="129">
        <v>7.1212253440770631E-2</v>
      </c>
      <c r="U576" s="130" t="e">
        <f t="shared" si="35"/>
        <v>#VALUE!</v>
      </c>
      <c r="V576" s="129">
        <v>7.1212253440770631E-2</v>
      </c>
      <c r="W576" s="130" t="e">
        <f t="shared" si="32"/>
        <v>#VALUE!</v>
      </c>
      <c r="X576" s="129">
        <v>7.1212253440770631E-2</v>
      </c>
      <c r="Y576" s="130" t="e">
        <f t="shared" si="33"/>
        <v>#VALUE!</v>
      </c>
      <c r="Z576" s="129">
        <v>7.1212253440770631E-2</v>
      </c>
      <c r="AA576" s="130" t="e">
        <f t="shared" si="34"/>
        <v>#VALUE!</v>
      </c>
    </row>
    <row r="577" spans="1:27" x14ac:dyDescent="0.3">
      <c r="A577">
        <v>832000</v>
      </c>
      <c r="B577">
        <v>17031832000</v>
      </c>
      <c r="C577">
        <v>17031</v>
      </c>
      <c r="D577">
        <v>2010</v>
      </c>
      <c r="E577">
        <v>6</v>
      </c>
      <c r="F577">
        <v>1803656.7134322301</v>
      </c>
      <c r="G577" s="43">
        <v>6.4697282248343882E-2</v>
      </c>
      <c r="H577" s="58" t="str">
        <f>_xlfn.IFNA(
INDEX(CA!B$2:B$78,MATCH($E577,CA!$A$2:$A$78,0)),
"")</f>
        <v>LAKE VIEW</v>
      </c>
      <c r="I577" s="60" t="str">
        <f>_xlfn.IFNA(
INDEX(CA!C$2:C$78,MATCH($E577,CA!$A$2:$A$78,0)),
"")</f>
        <v>1-B</v>
      </c>
      <c r="J577" s="60">
        <f>_xlfn.IFNA(
INDEX(CA!D$2:D$78,MATCH($E577,CA!$A$2:$A$78,0)),
"")</f>
        <v>1</v>
      </c>
      <c r="K577" s="58" t="str">
        <f>_xlfn.IFNA(
INDEX(CA!E$2:E$78,MATCH($E577,CA!$A$2:$A$78,0)),
"")</f>
        <v>NORTH</v>
      </c>
      <c r="L577" s="15" t="e">
        <v>#VALUE!</v>
      </c>
      <c r="M577" s="15" t="e">
        <v>#VALUE!</v>
      </c>
      <c r="N577" s="15" t="e">
        <v>#VALUE!</v>
      </c>
      <c r="O577" s="15" t="e">
        <v>#VALUE!</v>
      </c>
      <c r="P577" s="15" t="e">
        <v>#VALUE!</v>
      </c>
      <c r="Q577" s="15" t="e">
        <v>#VALUE!</v>
      </c>
      <c r="R577" s="15" t="e">
        <v>#VALUE!</v>
      </c>
      <c r="S577" s="15" t="e">
        <v>#VALUE!</v>
      </c>
      <c r="T577" s="129">
        <v>6.4697278956171805E-2</v>
      </c>
      <c r="U577" s="130" t="e">
        <f t="shared" si="35"/>
        <v>#VALUE!</v>
      </c>
      <c r="V577" s="129">
        <v>6.4697278956171805E-2</v>
      </c>
      <c r="W577" s="130" t="e">
        <f t="shared" si="32"/>
        <v>#VALUE!</v>
      </c>
      <c r="X577" s="129">
        <v>6.4697278956171805E-2</v>
      </c>
      <c r="Y577" s="130" t="e">
        <f t="shared" si="33"/>
        <v>#VALUE!</v>
      </c>
      <c r="Z577" s="129">
        <v>6.4697278956171805E-2</v>
      </c>
      <c r="AA577" s="130" t="e">
        <f t="shared" si="34"/>
        <v>#VALUE!</v>
      </c>
    </row>
    <row r="578" spans="1:27" x14ac:dyDescent="0.3">
      <c r="A578">
        <v>61200</v>
      </c>
      <c r="B578">
        <v>17031061200</v>
      </c>
      <c r="C578">
        <v>17031</v>
      </c>
      <c r="D578">
        <v>2010</v>
      </c>
      <c r="E578">
        <v>6</v>
      </c>
      <c r="F578">
        <v>1879698.94132398</v>
      </c>
      <c r="G578" s="43">
        <v>6.7424921850751121E-2</v>
      </c>
      <c r="H578" s="58" t="str">
        <f>_xlfn.IFNA(
INDEX(CA!B$2:B$78,MATCH($E578,CA!$A$2:$A$78,0)),
"")</f>
        <v>LAKE VIEW</v>
      </c>
      <c r="I578" s="60" t="str">
        <f>_xlfn.IFNA(
INDEX(CA!C$2:C$78,MATCH($E578,CA!$A$2:$A$78,0)),
"")</f>
        <v>1-B</v>
      </c>
      <c r="J578" s="60">
        <f>_xlfn.IFNA(
INDEX(CA!D$2:D$78,MATCH($E578,CA!$A$2:$A$78,0)),
"")</f>
        <v>1</v>
      </c>
      <c r="K578" s="58" t="str">
        <f>_xlfn.IFNA(
INDEX(CA!E$2:E$78,MATCH($E578,CA!$A$2:$A$78,0)),
"")</f>
        <v>NORTH</v>
      </c>
      <c r="L578" s="15" t="e">
        <v>#VALUE!</v>
      </c>
      <c r="M578" s="15" t="e">
        <v>#VALUE!</v>
      </c>
      <c r="N578" s="15" t="e">
        <v>#VALUE!</v>
      </c>
      <c r="O578" s="15" t="e">
        <v>#VALUE!</v>
      </c>
      <c r="P578" s="15" t="e">
        <v>#VALUE!</v>
      </c>
      <c r="Q578" s="15" t="e">
        <v>#VALUE!</v>
      </c>
      <c r="R578" s="15" t="e">
        <v>#VALUE!</v>
      </c>
      <c r="S578" s="15" t="e">
        <v>#VALUE!</v>
      </c>
      <c r="T578" s="129">
        <v>6.7424919916477269E-2</v>
      </c>
      <c r="U578" s="130" t="e">
        <f t="shared" si="35"/>
        <v>#VALUE!</v>
      </c>
      <c r="V578" s="129">
        <v>6.7424919916477269E-2</v>
      </c>
      <c r="W578" s="130" t="e">
        <f t="shared" si="32"/>
        <v>#VALUE!</v>
      </c>
      <c r="X578" s="129">
        <v>6.7424919916477269E-2</v>
      </c>
      <c r="Y578" s="130" t="e">
        <f t="shared" si="33"/>
        <v>#VALUE!</v>
      </c>
      <c r="Z578" s="129">
        <v>6.7424919916477269E-2</v>
      </c>
      <c r="AA578" s="130" t="e">
        <f t="shared" si="34"/>
        <v>#VALUE!</v>
      </c>
    </row>
    <row r="579" spans="1:27" x14ac:dyDescent="0.3">
      <c r="A579">
        <v>62400</v>
      </c>
      <c r="B579">
        <v>17031062400</v>
      </c>
      <c r="C579">
        <v>17031</v>
      </c>
      <c r="D579">
        <v>2010</v>
      </c>
      <c r="E579">
        <v>6</v>
      </c>
      <c r="F579">
        <v>1754200.4518017599</v>
      </c>
      <c r="G579" s="43">
        <v>6.2923282964652202E-2</v>
      </c>
      <c r="H579" s="58" t="str">
        <f>_xlfn.IFNA(
INDEX(CA!B$2:B$78,MATCH($E579,CA!$A$2:$A$78,0)),
"")</f>
        <v>LAKE VIEW</v>
      </c>
      <c r="I579" s="60" t="str">
        <f>_xlfn.IFNA(
INDEX(CA!C$2:C$78,MATCH($E579,CA!$A$2:$A$78,0)),
"")</f>
        <v>1-B</v>
      </c>
      <c r="J579" s="60">
        <f>_xlfn.IFNA(
INDEX(CA!D$2:D$78,MATCH($E579,CA!$A$2:$A$78,0)),
"")</f>
        <v>1</v>
      </c>
      <c r="K579" s="58" t="str">
        <f>_xlfn.IFNA(
INDEX(CA!E$2:E$78,MATCH($E579,CA!$A$2:$A$78,0)),
"")</f>
        <v>NORTH</v>
      </c>
      <c r="L579" s="15" t="e">
        <v>#VALUE!</v>
      </c>
      <c r="M579" s="15" t="e">
        <v>#VALUE!</v>
      </c>
      <c r="N579" s="15" t="e">
        <v>#VALUE!</v>
      </c>
      <c r="O579" s="15" t="e">
        <v>#VALUE!</v>
      </c>
      <c r="P579" s="15" t="e">
        <v>#VALUE!</v>
      </c>
      <c r="Q579" s="15" t="e">
        <v>#VALUE!</v>
      </c>
      <c r="R579" s="15" t="e">
        <v>#VALUE!</v>
      </c>
      <c r="S579" s="15" t="e">
        <v>#VALUE!</v>
      </c>
      <c r="T579" s="129">
        <v>6.2923279721670181E-2</v>
      </c>
      <c r="U579" s="130" t="e">
        <f t="shared" si="35"/>
        <v>#VALUE!</v>
      </c>
      <c r="V579" s="129">
        <v>6.2923279721670181E-2</v>
      </c>
      <c r="W579" s="130" t="e">
        <f t="shared" si="32"/>
        <v>#VALUE!</v>
      </c>
      <c r="X579" s="129">
        <v>6.2923279721670181E-2</v>
      </c>
      <c r="Y579" s="130" t="e">
        <f t="shared" si="33"/>
        <v>#VALUE!</v>
      </c>
      <c r="Z579" s="129">
        <v>6.2923279721670181E-2</v>
      </c>
      <c r="AA579" s="130" t="e">
        <f t="shared" si="34"/>
        <v>#VALUE!</v>
      </c>
    </row>
    <row r="580" spans="1:27" x14ac:dyDescent="0.3">
      <c r="A580">
        <v>62200</v>
      </c>
      <c r="B580">
        <v>17031062200</v>
      </c>
      <c r="C580">
        <v>17031</v>
      </c>
      <c r="D580">
        <v>2010</v>
      </c>
      <c r="E580">
        <v>6</v>
      </c>
      <c r="F580">
        <v>2608614.1044163201</v>
      </c>
      <c r="G580" s="43">
        <v>9.3571155604924253E-2</v>
      </c>
      <c r="H580" s="58" t="str">
        <f>_xlfn.IFNA(
INDEX(CA!B$2:B$78,MATCH($E580,CA!$A$2:$A$78,0)),
"")</f>
        <v>LAKE VIEW</v>
      </c>
      <c r="I580" s="60" t="str">
        <f>_xlfn.IFNA(
INDEX(CA!C$2:C$78,MATCH($E580,CA!$A$2:$A$78,0)),
"")</f>
        <v>1-B</v>
      </c>
      <c r="J580" s="60">
        <f>_xlfn.IFNA(
INDEX(CA!D$2:D$78,MATCH($E580,CA!$A$2:$A$78,0)),
"")</f>
        <v>1</v>
      </c>
      <c r="K580" s="58" t="str">
        <f>_xlfn.IFNA(
INDEX(CA!E$2:E$78,MATCH($E580,CA!$A$2:$A$78,0)),
"")</f>
        <v>NORTH</v>
      </c>
      <c r="L580" s="15" t="e">
        <v>#VALUE!</v>
      </c>
      <c r="M580" s="15" t="e">
        <v>#VALUE!</v>
      </c>
      <c r="N580" s="15" t="e">
        <v>#VALUE!</v>
      </c>
      <c r="O580" s="15" t="e">
        <v>#VALUE!</v>
      </c>
      <c r="P580" s="15" t="e">
        <v>#VALUE!</v>
      </c>
      <c r="Q580" s="15" t="e">
        <v>#VALUE!</v>
      </c>
      <c r="R580" s="15" t="e">
        <v>#VALUE!</v>
      </c>
      <c r="S580" s="15" t="e">
        <v>#VALUE!</v>
      </c>
      <c r="T580" s="129">
        <v>9.3571159623418484E-2</v>
      </c>
      <c r="U580" s="130" t="e">
        <f t="shared" si="35"/>
        <v>#VALUE!</v>
      </c>
      <c r="V580" s="129">
        <v>9.3571159623418484E-2</v>
      </c>
      <c r="W580" s="130" t="e">
        <f t="shared" si="32"/>
        <v>#VALUE!</v>
      </c>
      <c r="X580" s="129">
        <v>9.3571159623418484E-2</v>
      </c>
      <c r="Y580" s="130" t="e">
        <f t="shared" si="33"/>
        <v>#VALUE!</v>
      </c>
      <c r="Z580" s="129">
        <v>9.3571159623418484E-2</v>
      </c>
      <c r="AA580" s="130" t="e">
        <f t="shared" si="34"/>
        <v>#VALUE!</v>
      </c>
    </row>
    <row r="581" spans="1:27" x14ac:dyDescent="0.3">
      <c r="A581">
        <v>63200</v>
      </c>
      <c r="B581">
        <v>17031063200</v>
      </c>
      <c r="C581">
        <v>17031</v>
      </c>
      <c r="D581">
        <v>2010</v>
      </c>
      <c r="E581">
        <v>6</v>
      </c>
      <c r="F581">
        <v>4065574.4221991901</v>
      </c>
      <c r="G581" s="43">
        <v>0.14583241585597417</v>
      </c>
      <c r="H581" s="58" t="str">
        <f>_xlfn.IFNA(
INDEX(CA!B$2:B$78,MATCH($E581,CA!$A$2:$A$78,0)),
"")</f>
        <v>LAKE VIEW</v>
      </c>
      <c r="I581" s="60" t="str">
        <f>_xlfn.IFNA(
INDEX(CA!C$2:C$78,MATCH($E581,CA!$A$2:$A$78,0)),
"")</f>
        <v>1-B</v>
      </c>
      <c r="J581" s="60">
        <f>_xlfn.IFNA(
INDEX(CA!D$2:D$78,MATCH($E581,CA!$A$2:$A$78,0)),
"")</f>
        <v>1</v>
      </c>
      <c r="K581" s="58" t="str">
        <f>_xlfn.IFNA(
INDEX(CA!E$2:E$78,MATCH($E581,CA!$A$2:$A$78,0)),
"")</f>
        <v>NORTH</v>
      </c>
      <c r="L581" s="15" t="e">
        <v>#VALUE!</v>
      </c>
      <c r="M581" s="15" t="e">
        <v>#VALUE!</v>
      </c>
      <c r="N581" s="15" t="e">
        <v>#VALUE!</v>
      </c>
      <c r="O581" s="15" t="e">
        <v>#VALUE!</v>
      </c>
      <c r="P581" s="15" t="e">
        <v>#VALUE!</v>
      </c>
      <c r="Q581" s="15" t="e">
        <v>#VALUE!</v>
      </c>
      <c r="R581" s="15" t="e">
        <v>#VALUE!</v>
      </c>
      <c r="S581" s="15" t="e">
        <v>#VALUE!</v>
      </c>
      <c r="T581" s="129">
        <v>0.1458324254983116</v>
      </c>
      <c r="U581" s="130" t="e">
        <f t="shared" si="35"/>
        <v>#VALUE!</v>
      </c>
      <c r="V581" s="129">
        <v>0.1458324254983116</v>
      </c>
      <c r="W581" s="130" t="e">
        <f t="shared" si="32"/>
        <v>#VALUE!</v>
      </c>
      <c r="X581" s="129">
        <v>0.1458324254983116</v>
      </c>
      <c r="Y581" s="130" t="e">
        <f t="shared" si="33"/>
        <v>#VALUE!</v>
      </c>
      <c r="Z581" s="129">
        <v>0.1458324254983116</v>
      </c>
      <c r="AA581" s="130" t="e">
        <f t="shared" si="34"/>
        <v>#VALUE!</v>
      </c>
    </row>
    <row r="582" spans="1:27" x14ac:dyDescent="0.3">
      <c r="A582">
        <v>62100</v>
      </c>
      <c r="B582">
        <v>17031062100</v>
      </c>
      <c r="C582">
        <v>17031</v>
      </c>
      <c r="D582">
        <v>2010</v>
      </c>
      <c r="E582">
        <v>6</v>
      </c>
      <c r="F582">
        <v>2635141.2917009601</v>
      </c>
      <c r="G582" s="43">
        <v>9.4522687517969467E-2</v>
      </c>
      <c r="H582" s="58" t="str">
        <f>_xlfn.IFNA(
INDEX(CA!B$2:B$78,MATCH($E582,CA!$A$2:$A$78,0)),
"")</f>
        <v>LAKE VIEW</v>
      </c>
      <c r="I582" s="60" t="str">
        <f>_xlfn.IFNA(
INDEX(CA!C$2:C$78,MATCH($E582,CA!$A$2:$A$78,0)),
"")</f>
        <v>1-B</v>
      </c>
      <c r="J582" s="60">
        <f>_xlfn.IFNA(
INDEX(CA!D$2:D$78,MATCH($E582,CA!$A$2:$A$78,0)),
"")</f>
        <v>1</v>
      </c>
      <c r="K582" s="58" t="str">
        <f>_xlfn.IFNA(
INDEX(CA!E$2:E$78,MATCH($E582,CA!$A$2:$A$78,0)),
"")</f>
        <v>NORTH</v>
      </c>
      <c r="L582" s="15" t="e">
        <v>#VALUE!</v>
      </c>
      <c r="M582" s="15" t="e">
        <v>#VALUE!</v>
      </c>
      <c r="N582" s="15" t="e">
        <v>#VALUE!</v>
      </c>
      <c r="O582" s="15" t="e">
        <v>#VALUE!</v>
      </c>
      <c r="P582" s="15" t="e">
        <v>#VALUE!</v>
      </c>
      <c r="Q582" s="15" t="e">
        <v>#VALUE!</v>
      </c>
      <c r="R582" s="15" t="e">
        <v>#VALUE!</v>
      </c>
      <c r="S582" s="15" t="e">
        <v>#VALUE!</v>
      </c>
      <c r="T582" s="129">
        <v>9.4522687223842106E-2</v>
      </c>
      <c r="U582" s="130" t="e">
        <f t="shared" si="35"/>
        <v>#VALUE!</v>
      </c>
      <c r="V582" s="129">
        <v>9.4522687223842106E-2</v>
      </c>
      <c r="W582" s="130" t="e">
        <f t="shared" ref="W582:W645" si="36">(V582/$G582)*$L582</f>
        <v>#VALUE!</v>
      </c>
      <c r="X582" s="129">
        <v>9.4522687223842106E-2</v>
      </c>
      <c r="Y582" s="130" t="e">
        <f t="shared" ref="Y582:Y645" si="37">(X582/$G582)*$L582</f>
        <v>#VALUE!</v>
      </c>
      <c r="Z582" s="129">
        <v>9.4522687223842106E-2</v>
      </c>
      <c r="AA582" s="130" t="e">
        <f t="shared" ref="AA582:AA645" si="38">(Z582/$G582)*$L582</f>
        <v>#VALUE!</v>
      </c>
    </row>
    <row r="583" spans="1:27" x14ac:dyDescent="0.3">
      <c r="A583">
        <v>60300</v>
      </c>
      <c r="B583">
        <v>17031060300</v>
      </c>
      <c r="C583">
        <v>17031</v>
      </c>
      <c r="D583">
        <v>2010</v>
      </c>
      <c r="E583">
        <v>6</v>
      </c>
      <c r="F583">
        <v>3442848.7410644698</v>
      </c>
      <c r="G583" s="43">
        <v>0.12349520564539104</v>
      </c>
      <c r="H583" s="58" t="str">
        <f>_xlfn.IFNA(
INDEX(CA!B$2:B$78,MATCH($E583,CA!$A$2:$A$78,0)),
"")</f>
        <v>LAKE VIEW</v>
      </c>
      <c r="I583" s="60" t="str">
        <f>_xlfn.IFNA(
INDEX(CA!C$2:C$78,MATCH($E583,CA!$A$2:$A$78,0)),
"")</f>
        <v>1-B</v>
      </c>
      <c r="J583" s="60">
        <f>_xlfn.IFNA(
INDEX(CA!D$2:D$78,MATCH($E583,CA!$A$2:$A$78,0)),
"")</f>
        <v>1</v>
      </c>
      <c r="K583" s="58" t="str">
        <f>_xlfn.IFNA(
INDEX(CA!E$2:E$78,MATCH($E583,CA!$A$2:$A$78,0)),
"")</f>
        <v>NORTH</v>
      </c>
      <c r="L583" s="15" t="e">
        <v>#VALUE!</v>
      </c>
      <c r="M583" s="15" t="e">
        <v>#VALUE!</v>
      </c>
      <c r="N583" s="15" t="e">
        <v>#VALUE!</v>
      </c>
      <c r="O583" s="15" t="e">
        <v>#VALUE!</v>
      </c>
      <c r="P583" s="15" t="e">
        <v>#VALUE!</v>
      </c>
      <c r="Q583" s="15" t="e">
        <v>#VALUE!</v>
      </c>
      <c r="R583" s="15" t="e">
        <v>#VALUE!</v>
      </c>
      <c r="S583" s="15" t="e">
        <v>#VALUE!</v>
      </c>
      <c r="T583" s="129">
        <v>0.12349521079426796</v>
      </c>
      <c r="U583" s="130" t="e">
        <f t="shared" ref="U583:U646" si="39">(T583/$G583)*$L583</f>
        <v>#VALUE!</v>
      </c>
      <c r="V583" s="129">
        <v>0.12349521079426796</v>
      </c>
      <c r="W583" s="130" t="e">
        <f t="shared" si="36"/>
        <v>#VALUE!</v>
      </c>
      <c r="X583" s="129">
        <v>0.12349521079426796</v>
      </c>
      <c r="Y583" s="130" t="e">
        <f t="shared" si="37"/>
        <v>#VALUE!</v>
      </c>
      <c r="Z583" s="129">
        <v>0.12349521079426796</v>
      </c>
      <c r="AA583" s="130" t="e">
        <f t="shared" si="38"/>
        <v>#VALUE!</v>
      </c>
    </row>
    <row r="584" spans="1:27" x14ac:dyDescent="0.3">
      <c r="A584">
        <v>62000</v>
      </c>
      <c r="B584">
        <v>17031062000</v>
      </c>
      <c r="C584">
        <v>17031</v>
      </c>
      <c r="D584">
        <v>2010</v>
      </c>
      <c r="E584">
        <v>6</v>
      </c>
      <c r="F584">
        <v>2421522.57692564</v>
      </c>
      <c r="G584" s="43">
        <v>8.6860170487748217E-2</v>
      </c>
      <c r="H584" s="58" t="str">
        <f>_xlfn.IFNA(
INDEX(CA!B$2:B$78,MATCH($E584,CA!$A$2:$A$78,0)),
"")</f>
        <v>LAKE VIEW</v>
      </c>
      <c r="I584" s="60" t="str">
        <f>_xlfn.IFNA(
INDEX(CA!C$2:C$78,MATCH($E584,CA!$A$2:$A$78,0)),
"")</f>
        <v>1-B</v>
      </c>
      <c r="J584" s="60">
        <f>_xlfn.IFNA(
INDEX(CA!D$2:D$78,MATCH($E584,CA!$A$2:$A$78,0)),
"")</f>
        <v>1</v>
      </c>
      <c r="K584" s="58" t="str">
        <f>_xlfn.IFNA(
INDEX(CA!E$2:E$78,MATCH($E584,CA!$A$2:$A$78,0)),
"")</f>
        <v>NORTH</v>
      </c>
      <c r="L584" s="15" t="e">
        <v>#VALUE!</v>
      </c>
      <c r="M584" s="15" t="e">
        <v>#VALUE!</v>
      </c>
      <c r="N584" s="15" t="e">
        <v>#VALUE!</v>
      </c>
      <c r="O584" s="15" t="e">
        <v>#VALUE!</v>
      </c>
      <c r="P584" s="15" t="e">
        <v>#VALUE!</v>
      </c>
      <c r="Q584" s="15" t="e">
        <v>#VALUE!</v>
      </c>
      <c r="R584" s="15" t="e">
        <v>#VALUE!</v>
      </c>
      <c r="S584" s="15" t="e">
        <v>#VALUE!</v>
      </c>
      <c r="T584" s="129">
        <v>8.6860166789803933E-2</v>
      </c>
      <c r="U584" s="130" t="e">
        <f t="shared" si="39"/>
        <v>#VALUE!</v>
      </c>
      <c r="V584" s="129">
        <v>8.6860166789803933E-2</v>
      </c>
      <c r="W584" s="130" t="e">
        <f t="shared" si="36"/>
        <v>#VALUE!</v>
      </c>
      <c r="X584" s="129">
        <v>8.6860166789803933E-2</v>
      </c>
      <c r="Y584" s="130" t="e">
        <f t="shared" si="37"/>
        <v>#VALUE!</v>
      </c>
      <c r="Z584" s="129">
        <v>8.6860166789803933E-2</v>
      </c>
      <c r="AA584" s="130" t="e">
        <f t="shared" si="38"/>
        <v>#VALUE!</v>
      </c>
    </row>
    <row r="585" spans="1:27" x14ac:dyDescent="0.3">
      <c r="A585">
        <v>63302</v>
      </c>
      <c r="B585">
        <v>17031063302</v>
      </c>
      <c r="C585">
        <v>17031</v>
      </c>
      <c r="D585">
        <v>2010</v>
      </c>
      <c r="E585">
        <v>6</v>
      </c>
      <c r="F585">
        <v>1306457.14533436</v>
      </c>
      <c r="G585" s="43">
        <v>4.6862701781105083E-2</v>
      </c>
      <c r="H585" s="58" t="str">
        <f>_xlfn.IFNA(
INDEX(CA!B$2:B$78,MATCH($E585,CA!$A$2:$A$78,0)),
"")</f>
        <v>LAKE VIEW</v>
      </c>
      <c r="I585" s="60" t="str">
        <f>_xlfn.IFNA(
INDEX(CA!C$2:C$78,MATCH($E585,CA!$A$2:$A$78,0)),
"")</f>
        <v>1-B</v>
      </c>
      <c r="J585" s="60">
        <f>_xlfn.IFNA(
INDEX(CA!D$2:D$78,MATCH($E585,CA!$A$2:$A$78,0)),
"")</f>
        <v>1</v>
      </c>
      <c r="K585" s="58" t="str">
        <f>_xlfn.IFNA(
INDEX(CA!E$2:E$78,MATCH($E585,CA!$A$2:$A$78,0)),
"")</f>
        <v>NORTH</v>
      </c>
      <c r="L585" s="15" t="e">
        <v>#VALUE!</v>
      </c>
      <c r="M585" s="15" t="e">
        <v>#VALUE!</v>
      </c>
      <c r="N585" s="15" t="e">
        <v>#VALUE!</v>
      </c>
      <c r="O585" s="15" t="e">
        <v>#VALUE!</v>
      </c>
      <c r="P585" s="15" t="e">
        <v>#VALUE!</v>
      </c>
      <c r="Q585" s="15" t="e">
        <v>#VALUE!</v>
      </c>
      <c r="R585" s="15" t="e">
        <v>#VALUE!</v>
      </c>
      <c r="S585" s="15" t="e">
        <v>#VALUE!</v>
      </c>
      <c r="T585" s="129">
        <v>4.6862696925792376E-2</v>
      </c>
      <c r="U585" s="130" t="e">
        <f t="shared" si="39"/>
        <v>#VALUE!</v>
      </c>
      <c r="V585" s="129">
        <v>4.6862696925792376E-2</v>
      </c>
      <c r="W585" s="130" t="e">
        <f t="shared" si="36"/>
        <v>#VALUE!</v>
      </c>
      <c r="X585" s="129">
        <v>4.6862696925792376E-2</v>
      </c>
      <c r="Y585" s="130" t="e">
        <f t="shared" si="37"/>
        <v>#VALUE!</v>
      </c>
      <c r="Z585" s="129">
        <v>4.6862696925792376E-2</v>
      </c>
      <c r="AA585" s="130" t="e">
        <f t="shared" si="38"/>
        <v>#VALUE!</v>
      </c>
    </row>
    <row r="586" spans="1:27" x14ac:dyDescent="0.3">
      <c r="A586">
        <v>63000</v>
      </c>
      <c r="B586">
        <v>17031063000</v>
      </c>
      <c r="C586">
        <v>17031</v>
      </c>
      <c r="D586">
        <v>2010</v>
      </c>
      <c r="E586">
        <v>6</v>
      </c>
      <c r="F586">
        <v>3490542.7541749398</v>
      </c>
      <c r="G586" s="43">
        <v>0.12520599296139448</v>
      </c>
      <c r="H586" s="58" t="str">
        <f>_xlfn.IFNA(
INDEX(CA!B$2:B$78,MATCH($E586,CA!$A$2:$A$78,0)),
"")</f>
        <v>LAKE VIEW</v>
      </c>
      <c r="I586" s="60" t="str">
        <f>_xlfn.IFNA(
INDEX(CA!C$2:C$78,MATCH($E586,CA!$A$2:$A$78,0)),
"")</f>
        <v>1-B</v>
      </c>
      <c r="J586" s="60">
        <f>_xlfn.IFNA(
INDEX(CA!D$2:D$78,MATCH($E586,CA!$A$2:$A$78,0)),
"")</f>
        <v>1</v>
      </c>
      <c r="K586" s="58" t="str">
        <f>_xlfn.IFNA(
INDEX(CA!E$2:E$78,MATCH($E586,CA!$A$2:$A$78,0)),
"")</f>
        <v>NORTH</v>
      </c>
      <c r="L586" s="15" t="e">
        <v>#VALUE!</v>
      </c>
      <c r="M586" s="15" t="e">
        <v>#VALUE!</v>
      </c>
      <c r="N586" s="15" t="e">
        <v>#VALUE!</v>
      </c>
      <c r="O586" s="15" t="e">
        <v>#VALUE!</v>
      </c>
      <c r="P586" s="15" t="e">
        <v>#VALUE!</v>
      </c>
      <c r="Q586" s="15" t="e">
        <v>#VALUE!</v>
      </c>
      <c r="R586" s="15" t="e">
        <v>#VALUE!</v>
      </c>
      <c r="S586" s="15" t="e">
        <v>#VALUE!</v>
      </c>
      <c r="T586" s="129">
        <v>0.12520599669199059</v>
      </c>
      <c r="U586" s="130" t="e">
        <f t="shared" si="39"/>
        <v>#VALUE!</v>
      </c>
      <c r="V586" s="129">
        <v>0.12520599669199059</v>
      </c>
      <c r="W586" s="130" t="e">
        <f t="shared" si="36"/>
        <v>#VALUE!</v>
      </c>
      <c r="X586" s="129">
        <v>0.12520599669199059</v>
      </c>
      <c r="Y586" s="130" t="e">
        <f t="shared" si="37"/>
        <v>#VALUE!</v>
      </c>
      <c r="Z586" s="129">
        <v>0.12520599669199059</v>
      </c>
      <c r="AA586" s="130" t="e">
        <f t="shared" si="38"/>
        <v>#VALUE!</v>
      </c>
    </row>
    <row r="587" spans="1:27" x14ac:dyDescent="0.3">
      <c r="A587">
        <v>63301</v>
      </c>
      <c r="B587">
        <v>17031063301</v>
      </c>
      <c r="C587">
        <v>17031</v>
      </c>
      <c r="D587">
        <v>2010</v>
      </c>
      <c r="E587">
        <v>6</v>
      </c>
      <c r="F587">
        <v>1010927.28611147</v>
      </c>
      <c r="G587" s="43">
        <v>3.6262026734370338E-2</v>
      </c>
      <c r="H587" s="58" t="str">
        <f>_xlfn.IFNA(
INDEX(CA!B$2:B$78,MATCH($E587,CA!$A$2:$A$78,0)),
"")</f>
        <v>LAKE VIEW</v>
      </c>
      <c r="I587" s="60" t="str">
        <f>_xlfn.IFNA(
INDEX(CA!C$2:C$78,MATCH($E587,CA!$A$2:$A$78,0)),
"")</f>
        <v>1-B</v>
      </c>
      <c r="J587" s="60">
        <f>_xlfn.IFNA(
INDEX(CA!D$2:D$78,MATCH($E587,CA!$A$2:$A$78,0)),
"")</f>
        <v>1</v>
      </c>
      <c r="K587" s="58" t="str">
        <f>_xlfn.IFNA(
INDEX(CA!E$2:E$78,MATCH($E587,CA!$A$2:$A$78,0)),
"")</f>
        <v>NORTH</v>
      </c>
      <c r="L587" s="15" t="e">
        <v>#VALUE!</v>
      </c>
      <c r="M587" s="15" t="e">
        <v>#VALUE!</v>
      </c>
      <c r="N587" s="15" t="e">
        <v>#VALUE!</v>
      </c>
      <c r="O587" s="15" t="e">
        <v>#VALUE!</v>
      </c>
      <c r="P587" s="15" t="e">
        <v>#VALUE!</v>
      </c>
      <c r="Q587" s="15" t="e">
        <v>#VALUE!</v>
      </c>
      <c r="R587" s="15" t="e">
        <v>#VALUE!</v>
      </c>
      <c r="S587" s="15" t="e">
        <v>#VALUE!</v>
      </c>
      <c r="T587" s="129">
        <v>3.6262032711945093E-2</v>
      </c>
      <c r="U587" s="130" t="e">
        <f t="shared" si="39"/>
        <v>#VALUE!</v>
      </c>
      <c r="V587" s="129">
        <v>3.6262032711945093E-2</v>
      </c>
      <c r="W587" s="130" t="e">
        <f t="shared" si="36"/>
        <v>#VALUE!</v>
      </c>
      <c r="X587" s="129">
        <v>3.6262032711945093E-2</v>
      </c>
      <c r="Y587" s="130" t="e">
        <f t="shared" si="37"/>
        <v>#VALUE!</v>
      </c>
      <c r="Z587" s="129">
        <v>3.6262032711945093E-2</v>
      </c>
      <c r="AA587" s="130" t="e">
        <f t="shared" si="38"/>
        <v>#VALUE!</v>
      </c>
    </row>
    <row r="588" spans="1:27" x14ac:dyDescent="0.3">
      <c r="A588">
        <v>60900</v>
      </c>
      <c r="B588">
        <v>17031060900</v>
      </c>
      <c r="C588">
        <v>17031</v>
      </c>
      <c r="D588">
        <v>2010</v>
      </c>
      <c r="E588">
        <v>6</v>
      </c>
      <c r="F588">
        <v>5444535.4565260401</v>
      </c>
      <c r="G588" s="43">
        <v>0.19529583679572859</v>
      </c>
      <c r="H588" s="58" t="str">
        <f>_xlfn.IFNA(
INDEX(CA!B$2:B$78,MATCH($E588,CA!$A$2:$A$78,0)),
"")</f>
        <v>LAKE VIEW</v>
      </c>
      <c r="I588" s="60" t="str">
        <f>_xlfn.IFNA(
INDEX(CA!C$2:C$78,MATCH($E588,CA!$A$2:$A$78,0)),
"")</f>
        <v>1-B</v>
      </c>
      <c r="J588" s="60">
        <f>_xlfn.IFNA(
INDEX(CA!D$2:D$78,MATCH($E588,CA!$A$2:$A$78,0)),
"")</f>
        <v>1</v>
      </c>
      <c r="K588" s="58" t="str">
        <f>_xlfn.IFNA(
INDEX(CA!E$2:E$78,MATCH($E588,CA!$A$2:$A$78,0)),
"")</f>
        <v>NORTH</v>
      </c>
      <c r="L588" s="15" t="e">
        <v>#VALUE!</v>
      </c>
      <c r="M588" s="15" t="e">
        <v>#VALUE!</v>
      </c>
      <c r="N588" s="15" t="e">
        <v>#VALUE!</v>
      </c>
      <c r="O588" s="15" t="e">
        <v>#VALUE!</v>
      </c>
      <c r="P588" s="15" t="e">
        <v>#VALUE!</v>
      </c>
      <c r="Q588" s="15" t="e">
        <v>#VALUE!</v>
      </c>
      <c r="R588" s="15" t="e">
        <v>#VALUE!</v>
      </c>
      <c r="S588" s="15" t="e">
        <v>#VALUE!</v>
      </c>
      <c r="T588" s="129">
        <v>0.19529583813525023</v>
      </c>
      <c r="U588" s="130" t="e">
        <f t="shared" si="39"/>
        <v>#VALUE!</v>
      </c>
      <c r="V588" s="129">
        <v>0.19529583813525023</v>
      </c>
      <c r="W588" s="130" t="e">
        <f t="shared" si="36"/>
        <v>#VALUE!</v>
      </c>
      <c r="X588" s="129">
        <v>0.19529583813525023</v>
      </c>
      <c r="Y588" s="130" t="e">
        <f t="shared" si="37"/>
        <v>#VALUE!</v>
      </c>
      <c r="Z588" s="129">
        <v>0.19529583813525023</v>
      </c>
      <c r="AA588" s="130" t="e">
        <f t="shared" si="38"/>
        <v>#VALUE!</v>
      </c>
    </row>
    <row r="589" spans="1:27" x14ac:dyDescent="0.3">
      <c r="A589">
        <v>63303</v>
      </c>
      <c r="B589">
        <v>17031063303</v>
      </c>
      <c r="C589">
        <v>17031</v>
      </c>
      <c r="D589">
        <v>2010</v>
      </c>
      <c r="E589">
        <v>6</v>
      </c>
      <c r="F589">
        <v>2514608.9960018201</v>
      </c>
      <c r="G589" s="43">
        <v>9.0199186323527178E-2</v>
      </c>
      <c r="H589" s="58" t="str">
        <f>_xlfn.IFNA(
INDEX(CA!B$2:B$78,MATCH($E589,CA!$A$2:$A$78,0)),
"")</f>
        <v>LAKE VIEW</v>
      </c>
      <c r="I589" s="60" t="str">
        <f>_xlfn.IFNA(
INDEX(CA!C$2:C$78,MATCH($E589,CA!$A$2:$A$78,0)),
"")</f>
        <v>1-B</v>
      </c>
      <c r="J589" s="60">
        <f>_xlfn.IFNA(
INDEX(CA!D$2:D$78,MATCH($E589,CA!$A$2:$A$78,0)),
"")</f>
        <v>1</v>
      </c>
      <c r="K589" s="58" t="str">
        <f>_xlfn.IFNA(
INDEX(CA!E$2:E$78,MATCH($E589,CA!$A$2:$A$78,0)),
"")</f>
        <v>NORTH</v>
      </c>
      <c r="L589" s="15" t="e">
        <v>#VALUE!</v>
      </c>
      <c r="M589" s="15" t="e">
        <v>#VALUE!</v>
      </c>
      <c r="N589" s="15" t="e">
        <v>#VALUE!</v>
      </c>
      <c r="O589" s="15" t="e">
        <v>#VALUE!</v>
      </c>
      <c r="P589" s="15" t="e">
        <v>#VALUE!</v>
      </c>
      <c r="Q589" s="15" t="e">
        <v>#VALUE!</v>
      </c>
      <c r="R589" s="15" t="e">
        <v>#VALUE!</v>
      </c>
      <c r="S589" s="15" t="e">
        <v>#VALUE!</v>
      </c>
      <c r="T589" s="129">
        <v>9.0199178719134174E-2</v>
      </c>
      <c r="U589" s="130" t="e">
        <f t="shared" si="39"/>
        <v>#VALUE!</v>
      </c>
      <c r="V589" s="129">
        <v>9.0199178719134174E-2</v>
      </c>
      <c r="W589" s="130" t="e">
        <f t="shared" si="36"/>
        <v>#VALUE!</v>
      </c>
      <c r="X589" s="129">
        <v>9.0199178719134174E-2</v>
      </c>
      <c r="Y589" s="130" t="e">
        <f t="shared" si="37"/>
        <v>#VALUE!</v>
      </c>
      <c r="Z589" s="129">
        <v>9.0199178719134174E-2</v>
      </c>
      <c r="AA589" s="130" t="e">
        <f t="shared" si="38"/>
        <v>#VALUE!</v>
      </c>
    </row>
    <row r="590" spans="1:27" x14ac:dyDescent="0.3">
      <c r="A590">
        <v>61901</v>
      </c>
      <c r="B590">
        <v>17031061901</v>
      </c>
      <c r="C590">
        <v>17031</v>
      </c>
      <c r="D590">
        <v>2010</v>
      </c>
      <c r="E590">
        <v>6</v>
      </c>
      <c r="F590">
        <v>1729433.3671568299</v>
      </c>
      <c r="G590" s="43">
        <v>6.2034886046431287E-2</v>
      </c>
      <c r="H590" s="58" t="str">
        <f>_xlfn.IFNA(
INDEX(CA!B$2:B$78,MATCH($E590,CA!$A$2:$A$78,0)),
"")</f>
        <v>LAKE VIEW</v>
      </c>
      <c r="I590" s="60" t="str">
        <f>_xlfn.IFNA(
INDEX(CA!C$2:C$78,MATCH($E590,CA!$A$2:$A$78,0)),
"")</f>
        <v>1-B</v>
      </c>
      <c r="J590" s="60">
        <f>_xlfn.IFNA(
INDEX(CA!D$2:D$78,MATCH($E590,CA!$A$2:$A$78,0)),
"")</f>
        <v>1</v>
      </c>
      <c r="K590" s="58" t="str">
        <f>_xlfn.IFNA(
INDEX(CA!E$2:E$78,MATCH($E590,CA!$A$2:$A$78,0)),
"")</f>
        <v>NORTH</v>
      </c>
      <c r="L590" s="15" t="e">
        <v>#VALUE!</v>
      </c>
      <c r="M590" s="15" t="e">
        <v>#VALUE!</v>
      </c>
      <c r="N590" s="15" t="e">
        <v>#VALUE!</v>
      </c>
      <c r="O590" s="15" t="e">
        <v>#VALUE!</v>
      </c>
      <c r="P590" s="15" t="e">
        <v>#VALUE!</v>
      </c>
      <c r="Q590" s="15" t="e">
        <v>#VALUE!</v>
      </c>
      <c r="R590" s="15" t="e">
        <v>#VALUE!</v>
      </c>
      <c r="S590" s="15" t="e">
        <v>#VALUE!</v>
      </c>
      <c r="T590" s="129">
        <v>6.203488748764778E-2</v>
      </c>
      <c r="U590" s="130" t="e">
        <f t="shared" si="39"/>
        <v>#VALUE!</v>
      </c>
      <c r="V590" s="129">
        <v>6.203488748764778E-2</v>
      </c>
      <c r="W590" s="130" t="e">
        <f t="shared" si="36"/>
        <v>#VALUE!</v>
      </c>
      <c r="X590" s="129">
        <v>6.203488748764778E-2</v>
      </c>
      <c r="Y590" s="130" t="e">
        <f t="shared" si="37"/>
        <v>#VALUE!</v>
      </c>
      <c r="Z590" s="129">
        <v>6.203488748764778E-2</v>
      </c>
      <c r="AA590" s="130" t="e">
        <f t="shared" si="38"/>
        <v>#VALUE!</v>
      </c>
    </row>
    <row r="591" spans="1:27" x14ac:dyDescent="0.3">
      <c r="A591">
        <v>61902</v>
      </c>
      <c r="B591">
        <v>17031061902</v>
      </c>
      <c r="C591">
        <v>17031</v>
      </c>
      <c r="D591">
        <v>2010</v>
      </c>
      <c r="E591">
        <v>6</v>
      </c>
      <c r="F591">
        <v>3026141.10353737</v>
      </c>
      <c r="G591" s="43">
        <v>0.10854787590167908</v>
      </c>
      <c r="H591" s="58" t="str">
        <f>_xlfn.IFNA(
INDEX(CA!B$2:B$78,MATCH($E591,CA!$A$2:$A$78,0)),
"")</f>
        <v>LAKE VIEW</v>
      </c>
      <c r="I591" s="60" t="str">
        <f>_xlfn.IFNA(
INDEX(CA!C$2:C$78,MATCH($E591,CA!$A$2:$A$78,0)),
"")</f>
        <v>1-B</v>
      </c>
      <c r="J591" s="60">
        <f>_xlfn.IFNA(
INDEX(CA!D$2:D$78,MATCH($E591,CA!$A$2:$A$78,0)),
"")</f>
        <v>1</v>
      </c>
      <c r="K591" s="58" t="str">
        <f>_xlfn.IFNA(
INDEX(CA!E$2:E$78,MATCH($E591,CA!$A$2:$A$78,0)),
"")</f>
        <v>NORTH</v>
      </c>
      <c r="L591" s="15" t="e">
        <v>#VALUE!</v>
      </c>
      <c r="M591" s="15" t="e">
        <v>#VALUE!</v>
      </c>
      <c r="N591" s="15" t="e">
        <v>#VALUE!</v>
      </c>
      <c r="O591" s="15" t="e">
        <v>#VALUE!</v>
      </c>
      <c r="P591" s="15" t="e">
        <v>#VALUE!</v>
      </c>
      <c r="Q591" s="15" t="e">
        <v>#VALUE!</v>
      </c>
      <c r="R591" s="15" t="e">
        <v>#VALUE!</v>
      </c>
      <c r="S591" s="15" t="e">
        <v>#VALUE!</v>
      </c>
      <c r="T591" s="129">
        <v>0.10854787527527621</v>
      </c>
      <c r="U591" s="130" t="e">
        <f t="shared" si="39"/>
        <v>#VALUE!</v>
      </c>
      <c r="V591" s="129">
        <v>0.10854787527527621</v>
      </c>
      <c r="W591" s="130" t="e">
        <f t="shared" si="36"/>
        <v>#VALUE!</v>
      </c>
      <c r="X591" s="129">
        <v>0.10854787527527621</v>
      </c>
      <c r="Y591" s="130" t="e">
        <f t="shared" si="37"/>
        <v>#VALUE!</v>
      </c>
      <c r="Z591" s="129">
        <v>0.10854787527527621</v>
      </c>
      <c r="AA591" s="130" t="e">
        <f t="shared" si="38"/>
        <v>#VALUE!</v>
      </c>
    </row>
    <row r="592" spans="1:27" x14ac:dyDescent="0.3">
      <c r="A592">
        <v>63400</v>
      </c>
      <c r="B592">
        <v>17031063400</v>
      </c>
      <c r="C592">
        <v>17031</v>
      </c>
      <c r="D592">
        <v>2010</v>
      </c>
      <c r="E592">
        <v>6</v>
      </c>
      <c r="F592">
        <v>1709798.4971070001</v>
      </c>
      <c r="G592" s="43">
        <v>6.1330581995631031E-2</v>
      </c>
      <c r="H592" s="58" t="str">
        <f>_xlfn.IFNA(
INDEX(CA!B$2:B$78,MATCH($E592,CA!$A$2:$A$78,0)),
"")</f>
        <v>LAKE VIEW</v>
      </c>
      <c r="I592" s="60" t="str">
        <f>_xlfn.IFNA(
INDEX(CA!C$2:C$78,MATCH($E592,CA!$A$2:$A$78,0)),
"")</f>
        <v>1-B</v>
      </c>
      <c r="J592" s="60">
        <f>_xlfn.IFNA(
INDEX(CA!D$2:D$78,MATCH($E592,CA!$A$2:$A$78,0)),
"")</f>
        <v>1</v>
      </c>
      <c r="K592" s="58" t="str">
        <f>_xlfn.IFNA(
INDEX(CA!E$2:E$78,MATCH($E592,CA!$A$2:$A$78,0)),
"")</f>
        <v>NORTH</v>
      </c>
      <c r="L592" s="15" t="e">
        <v>#VALUE!</v>
      </c>
      <c r="M592" s="15" t="e">
        <v>#VALUE!</v>
      </c>
      <c r="N592" s="15" t="e">
        <v>#VALUE!</v>
      </c>
      <c r="O592" s="15" t="e">
        <v>#VALUE!</v>
      </c>
      <c r="P592" s="15" t="e">
        <v>#VALUE!</v>
      </c>
      <c r="Q592" s="15" t="e">
        <v>#VALUE!</v>
      </c>
      <c r="R592" s="15" t="e">
        <v>#VALUE!</v>
      </c>
      <c r="S592" s="15" t="e">
        <v>#VALUE!</v>
      </c>
      <c r="T592" s="129">
        <v>6.1330581575276197E-2</v>
      </c>
      <c r="U592" s="130" t="e">
        <f t="shared" si="39"/>
        <v>#VALUE!</v>
      </c>
      <c r="V592" s="129">
        <v>6.1330581575276197E-2</v>
      </c>
      <c r="W592" s="130" t="e">
        <f t="shared" si="36"/>
        <v>#VALUE!</v>
      </c>
      <c r="X592" s="129">
        <v>6.1330581575276197E-2</v>
      </c>
      <c r="Y592" s="130" t="e">
        <f t="shared" si="37"/>
        <v>#VALUE!</v>
      </c>
      <c r="Z592" s="129">
        <v>6.1330581575276197E-2</v>
      </c>
      <c r="AA592" s="130" t="e">
        <f t="shared" si="38"/>
        <v>#VALUE!</v>
      </c>
    </row>
    <row r="593" spans="1:27" x14ac:dyDescent="0.3">
      <c r="A593">
        <v>61100</v>
      </c>
      <c r="B593">
        <v>17031061100</v>
      </c>
      <c r="C593">
        <v>17031</v>
      </c>
      <c r="D593">
        <v>2010</v>
      </c>
      <c r="E593">
        <v>6</v>
      </c>
      <c r="F593">
        <v>1862551.82960709</v>
      </c>
      <c r="G593" s="43">
        <v>6.6809853851264422E-2</v>
      </c>
      <c r="H593" s="58" t="str">
        <f>_xlfn.IFNA(
INDEX(CA!B$2:B$78,MATCH($E593,CA!$A$2:$A$78,0)),
"")</f>
        <v>LAKE VIEW</v>
      </c>
      <c r="I593" s="60" t="str">
        <f>_xlfn.IFNA(
INDEX(CA!C$2:C$78,MATCH($E593,CA!$A$2:$A$78,0)),
"")</f>
        <v>1-B</v>
      </c>
      <c r="J593" s="60">
        <f>_xlfn.IFNA(
INDEX(CA!D$2:D$78,MATCH($E593,CA!$A$2:$A$78,0)),
"")</f>
        <v>1</v>
      </c>
      <c r="K593" s="58" t="str">
        <f>_xlfn.IFNA(
INDEX(CA!E$2:E$78,MATCH($E593,CA!$A$2:$A$78,0)),
"")</f>
        <v>NORTH</v>
      </c>
      <c r="L593" s="15" t="e">
        <v>#VALUE!</v>
      </c>
      <c r="M593" s="15" t="e">
        <v>#VALUE!</v>
      </c>
      <c r="N593" s="15" t="e">
        <v>#VALUE!</v>
      </c>
      <c r="O593" s="15" t="e">
        <v>#VALUE!</v>
      </c>
      <c r="P593" s="15" t="e">
        <v>#VALUE!</v>
      </c>
      <c r="Q593" s="15" t="e">
        <v>#VALUE!</v>
      </c>
      <c r="R593" s="15" t="e">
        <v>#VALUE!</v>
      </c>
      <c r="S593" s="15" t="e">
        <v>#VALUE!</v>
      </c>
      <c r="T593" s="129">
        <v>6.6809855184522426E-2</v>
      </c>
      <c r="U593" s="130" t="e">
        <f t="shared" si="39"/>
        <v>#VALUE!</v>
      </c>
      <c r="V593" s="129">
        <v>6.6809855184522426E-2</v>
      </c>
      <c r="W593" s="130" t="e">
        <f t="shared" si="36"/>
        <v>#VALUE!</v>
      </c>
      <c r="X593" s="129">
        <v>6.6809855184522426E-2</v>
      </c>
      <c r="Y593" s="130" t="e">
        <f t="shared" si="37"/>
        <v>#VALUE!</v>
      </c>
      <c r="Z593" s="129">
        <v>6.6809855184522426E-2</v>
      </c>
      <c r="AA593" s="130" t="e">
        <f t="shared" si="38"/>
        <v>#VALUE!</v>
      </c>
    </row>
    <row r="594" spans="1:27" x14ac:dyDescent="0.3">
      <c r="A594">
        <v>61800</v>
      </c>
      <c r="B594">
        <v>17031061800</v>
      </c>
      <c r="C594">
        <v>17031</v>
      </c>
      <c r="D594">
        <v>2010</v>
      </c>
      <c r="E594">
        <v>6</v>
      </c>
      <c r="F594">
        <v>891730.27595394303</v>
      </c>
      <c r="G594" s="43">
        <v>3.1986422318136733E-2</v>
      </c>
      <c r="H594" s="58" t="str">
        <f>_xlfn.IFNA(
INDEX(CA!B$2:B$78,MATCH($E594,CA!$A$2:$A$78,0)),
"")</f>
        <v>LAKE VIEW</v>
      </c>
      <c r="I594" s="60" t="str">
        <f>_xlfn.IFNA(
INDEX(CA!C$2:C$78,MATCH($E594,CA!$A$2:$A$78,0)),
"")</f>
        <v>1-B</v>
      </c>
      <c r="J594" s="60">
        <f>_xlfn.IFNA(
INDEX(CA!D$2:D$78,MATCH($E594,CA!$A$2:$A$78,0)),
"")</f>
        <v>1</v>
      </c>
      <c r="K594" s="58" t="str">
        <f>_xlfn.IFNA(
INDEX(CA!E$2:E$78,MATCH($E594,CA!$A$2:$A$78,0)),
"")</f>
        <v>NORTH</v>
      </c>
      <c r="L594" s="15" t="e">
        <v>#VALUE!</v>
      </c>
      <c r="M594" s="15" t="e">
        <v>#VALUE!</v>
      </c>
      <c r="N594" s="15" t="e">
        <v>#VALUE!</v>
      </c>
      <c r="O594" s="15" t="e">
        <v>#VALUE!</v>
      </c>
      <c r="P594" s="15" t="e">
        <v>#VALUE!</v>
      </c>
      <c r="Q594" s="15" t="e">
        <v>#VALUE!</v>
      </c>
      <c r="R594" s="15" t="e">
        <v>#VALUE!</v>
      </c>
      <c r="S594" s="15" t="e">
        <v>#VALUE!</v>
      </c>
      <c r="T594" s="129">
        <v>3.1986426612898911E-2</v>
      </c>
      <c r="U594" s="130" t="e">
        <f t="shared" si="39"/>
        <v>#VALUE!</v>
      </c>
      <c r="V594" s="129">
        <v>3.1986426612898911E-2</v>
      </c>
      <c r="W594" s="130" t="e">
        <f t="shared" si="36"/>
        <v>#VALUE!</v>
      </c>
      <c r="X594" s="129">
        <v>3.1986426612898911E-2</v>
      </c>
      <c r="Y594" s="130" t="e">
        <f t="shared" si="37"/>
        <v>#VALUE!</v>
      </c>
      <c r="Z594" s="129">
        <v>3.1986426612898911E-2</v>
      </c>
      <c r="AA594" s="130" t="e">
        <f t="shared" si="38"/>
        <v>#VALUE!</v>
      </c>
    </row>
    <row r="595" spans="1:27" x14ac:dyDescent="0.3">
      <c r="A595">
        <v>62500</v>
      </c>
      <c r="B595">
        <v>17031062500</v>
      </c>
      <c r="C595">
        <v>17031</v>
      </c>
      <c r="D595">
        <v>2010</v>
      </c>
      <c r="E595">
        <v>6</v>
      </c>
      <c r="F595">
        <v>1732905.7620788601</v>
      </c>
      <c r="G595" s="43">
        <v>6.2159441075487119E-2</v>
      </c>
      <c r="H595" s="58" t="str">
        <f>_xlfn.IFNA(
INDEX(CA!B$2:B$78,MATCH($E595,CA!$A$2:$A$78,0)),
"")</f>
        <v>LAKE VIEW</v>
      </c>
      <c r="I595" s="60" t="str">
        <f>_xlfn.IFNA(
INDEX(CA!C$2:C$78,MATCH($E595,CA!$A$2:$A$78,0)),
"")</f>
        <v>1-B</v>
      </c>
      <c r="J595" s="60">
        <f>_xlfn.IFNA(
INDEX(CA!D$2:D$78,MATCH($E595,CA!$A$2:$A$78,0)),
"")</f>
        <v>1</v>
      </c>
      <c r="K595" s="58" t="str">
        <f>_xlfn.IFNA(
INDEX(CA!E$2:E$78,MATCH($E595,CA!$A$2:$A$78,0)),
"")</f>
        <v>NORTH</v>
      </c>
      <c r="L595" s="15" t="e">
        <v>#VALUE!</v>
      </c>
      <c r="M595" s="15" t="e">
        <v>#VALUE!</v>
      </c>
      <c r="N595" s="15" t="e">
        <v>#VALUE!</v>
      </c>
      <c r="O595" s="15" t="e">
        <v>#VALUE!</v>
      </c>
      <c r="P595" s="15" t="e">
        <v>#VALUE!</v>
      </c>
      <c r="Q595" s="15" t="e">
        <v>#VALUE!</v>
      </c>
      <c r="R595" s="15" t="e">
        <v>#VALUE!</v>
      </c>
      <c r="S595" s="15" t="e">
        <v>#VALUE!</v>
      </c>
      <c r="T595" s="129">
        <v>6.2159438543989969E-2</v>
      </c>
      <c r="U595" s="130" t="e">
        <f t="shared" si="39"/>
        <v>#VALUE!</v>
      </c>
      <c r="V595" s="129">
        <v>6.2159438543989969E-2</v>
      </c>
      <c r="W595" s="130" t="e">
        <f t="shared" si="36"/>
        <v>#VALUE!</v>
      </c>
      <c r="X595" s="129">
        <v>6.2159438543989969E-2</v>
      </c>
      <c r="Y595" s="130" t="e">
        <f t="shared" si="37"/>
        <v>#VALUE!</v>
      </c>
      <c r="Z595" s="129">
        <v>6.2159438543989969E-2</v>
      </c>
      <c r="AA595" s="130" t="e">
        <f t="shared" si="38"/>
        <v>#VALUE!</v>
      </c>
    </row>
    <row r="596" spans="1:27" x14ac:dyDescent="0.3">
      <c r="A596">
        <v>831900</v>
      </c>
      <c r="B596">
        <v>17031831900</v>
      </c>
      <c r="C596">
        <v>17031</v>
      </c>
      <c r="D596">
        <v>2010</v>
      </c>
      <c r="E596">
        <v>6</v>
      </c>
      <c r="F596">
        <v>3493512.9137344901</v>
      </c>
      <c r="G596" s="43">
        <v>0.12531253277571489</v>
      </c>
      <c r="H596" s="58" t="str">
        <f>_xlfn.IFNA(
INDEX(CA!B$2:B$78,MATCH($E596,CA!$A$2:$A$78,0)),
"")</f>
        <v>LAKE VIEW</v>
      </c>
      <c r="I596" s="60" t="str">
        <f>_xlfn.IFNA(
INDEX(CA!C$2:C$78,MATCH($E596,CA!$A$2:$A$78,0)),
"")</f>
        <v>1-B</v>
      </c>
      <c r="J596" s="60">
        <f>_xlfn.IFNA(
INDEX(CA!D$2:D$78,MATCH($E596,CA!$A$2:$A$78,0)),
"")</f>
        <v>1</v>
      </c>
      <c r="K596" s="58" t="str">
        <f>_xlfn.IFNA(
INDEX(CA!E$2:E$78,MATCH($E596,CA!$A$2:$A$78,0)),
"")</f>
        <v>NORTH</v>
      </c>
      <c r="L596" s="15" t="e">
        <v>#VALUE!</v>
      </c>
      <c r="M596" s="15" t="e">
        <v>#VALUE!</v>
      </c>
      <c r="N596" s="15" t="e">
        <v>#VALUE!</v>
      </c>
      <c r="O596" s="15" t="e">
        <v>#VALUE!</v>
      </c>
      <c r="P596" s="15" t="e">
        <v>#VALUE!</v>
      </c>
      <c r="Q596" s="15" t="e">
        <v>#VALUE!</v>
      </c>
      <c r="R596" s="15" t="e">
        <v>#VALUE!</v>
      </c>
      <c r="S596" s="15" t="e">
        <v>#VALUE!</v>
      </c>
      <c r="T596" s="129">
        <v>0.1253125329383781</v>
      </c>
      <c r="U596" s="130" t="e">
        <f t="shared" si="39"/>
        <v>#VALUE!</v>
      </c>
      <c r="V596" s="129">
        <v>0.1253125329383781</v>
      </c>
      <c r="W596" s="130" t="e">
        <f t="shared" si="36"/>
        <v>#VALUE!</v>
      </c>
      <c r="X596" s="129">
        <v>0.1253125329383781</v>
      </c>
      <c r="Y596" s="130" t="e">
        <f t="shared" si="37"/>
        <v>#VALUE!</v>
      </c>
      <c r="Z596" s="129">
        <v>0.1253125329383781</v>
      </c>
      <c r="AA596" s="130" t="e">
        <f t="shared" si="38"/>
        <v>#VALUE!</v>
      </c>
    </row>
    <row r="597" spans="1:27" x14ac:dyDescent="0.3">
      <c r="A597">
        <v>600700</v>
      </c>
      <c r="B597">
        <v>17031600700</v>
      </c>
      <c r="C597">
        <v>17031</v>
      </c>
      <c r="D597">
        <v>2010</v>
      </c>
      <c r="E597">
        <v>60</v>
      </c>
      <c r="F597">
        <v>4931603.0745501304</v>
      </c>
      <c r="G597" s="43">
        <v>0.17689691928339255</v>
      </c>
      <c r="H597" s="58" t="str">
        <f>_xlfn.IFNA(
INDEX(CA!B$2:B$78,MATCH($E597,CA!$A$2:$A$78,0)),
"")</f>
        <v>BRIDGEPORT</v>
      </c>
      <c r="I597" s="60" t="str">
        <f>_xlfn.IFNA(
INDEX(CA!C$2:C$78,MATCH($E597,CA!$A$2:$A$78,0)),
"")</f>
        <v>4-A</v>
      </c>
      <c r="J597" s="60">
        <f>_xlfn.IFNA(
INDEX(CA!D$2:D$78,MATCH($E597,CA!$A$2:$A$78,0)),
"")</f>
        <v>4</v>
      </c>
      <c r="K597" s="58" t="str">
        <f>_xlfn.IFNA(
INDEX(CA!E$2:E$78,MATCH($E597,CA!$A$2:$A$78,0)),
"")</f>
        <v>SOUTHWEST</v>
      </c>
      <c r="L597" s="15" t="e">
        <v>#VALUE!</v>
      </c>
      <c r="M597" s="15" t="e">
        <v>#VALUE!</v>
      </c>
      <c r="N597" s="15" t="e">
        <v>#VALUE!</v>
      </c>
      <c r="O597" s="15" t="e">
        <v>#VALUE!</v>
      </c>
      <c r="P597" s="15" t="e">
        <v>#VALUE!</v>
      </c>
      <c r="Q597" s="15" t="e">
        <v>#VALUE!</v>
      </c>
      <c r="R597" s="15" t="e">
        <v>#VALUE!</v>
      </c>
      <c r="S597" s="15" t="e">
        <v>#VALUE!</v>
      </c>
      <c r="T597" s="129">
        <v>0.17689511042467035</v>
      </c>
      <c r="U597" s="130" t="e">
        <f t="shared" si="39"/>
        <v>#VALUE!</v>
      </c>
      <c r="V597" s="129">
        <v>0.17689511042467035</v>
      </c>
      <c r="W597" s="130" t="e">
        <f t="shared" si="36"/>
        <v>#VALUE!</v>
      </c>
      <c r="X597" s="129">
        <v>0.17689511042467035</v>
      </c>
      <c r="Y597" s="130" t="e">
        <f t="shared" si="37"/>
        <v>#VALUE!</v>
      </c>
      <c r="Z597" s="129">
        <v>0.17689511042467035</v>
      </c>
      <c r="AA597" s="130" t="e">
        <f t="shared" si="38"/>
        <v>#VALUE!</v>
      </c>
    </row>
    <row r="598" spans="1:27" x14ac:dyDescent="0.3">
      <c r="A598">
        <v>839800</v>
      </c>
      <c r="B598">
        <v>17031839800</v>
      </c>
      <c r="C598">
        <v>17031</v>
      </c>
      <c r="D598">
        <v>2010</v>
      </c>
      <c r="E598">
        <v>60</v>
      </c>
      <c r="F598">
        <v>2864724.6431144802</v>
      </c>
      <c r="G598" s="43">
        <v>0.10275785709059632</v>
      </c>
      <c r="H598" s="58" t="str">
        <f>_xlfn.IFNA(
INDEX(CA!B$2:B$78,MATCH($E598,CA!$A$2:$A$78,0)),
"")</f>
        <v>BRIDGEPORT</v>
      </c>
      <c r="I598" s="60" t="str">
        <f>_xlfn.IFNA(
INDEX(CA!C$2:C$78,MATCH($E598,CA!$A$2:$A$78,0)),
"")</f>
        <v>4-A</v>
      </c>
      <c r="J598" s="60">
        <f>_xlfn.IFNA(
INDEX(CA!D$2:D$78,MATCH($E598,CA!$A$2:$A$78,0)),
"")</f>
        <v>4</v>
      </c>
      <c r="K598" s="58" t="str">
        <f>_xlfn.IFNA(
INDEX(CA!E$2:E$78,MATCH($E598,CA!$A$2:$A$78,0)),
"")</f>
        <v>SOUTHWEST</v>
      </c>
      <c r="L598" s="15" t="e">
        <v>#VALUE!</v>
      </c>
      <c r="M598" s="15" t="e">
        <v>#VALUE!</v>
      </c>
      <c r="N598" s="15" t="e">
        <v>#VALUE!</v>
      </c>
      <c r="O598" s="15" t="e">
        <v>#VALUE!</v>
      </c>
      <c r="P598" s="15" t="e">
        <v>#VALUE!</v>
      </c>
      <c r="Q598" s="15" t="e">
        <v>#VALUE!</v>
      </c>
      <c r="R598" s="15" t="e">
        <v>#VALUE!</v>
      </c>
      <c r="S598" s="15" t="e">
        <v>#VALUE!</v>
      </c>
      <c r="T598" s="129">
        <v>0.10275785890213678</v>
      </c>
      <c r="U598" s="130" t="e">
        <f t="shared" si="39"/>
        <v>#VALUE!</v>
      </c>
      <c r="V598" s="129">
        <v>0.10275785890213678</v>
      </c>
      <c r="W598" s="130" t="e">
        <f t="shared" si="36"/>
        <v>#VALUE!</v>
      </c>
      <c r="X598" s="129">
        <v>0.10275785890213678</v>
      </c>
      <c r="Y598" s="130" t="e">
        <f t="shared" si="37"/>
        <v>#VALUE!</v>
      </c>
      <c r="Z598" s="129">
        <v>0.10275785890213678</v>
      </c>
      <c r="AA598" s="130" t="e">
        <f t="shared" si="38"/>
        <v>#VALUE!</v>
      </c>
    </row>
    <row r="599" spans="1:27" x14ac:dyDescent="0.3">
      <c r="A599">
        <v>840100</v>
      </c>
      <c r="B599">
        <v>17031840100</v>
      </c>
      <c r="C599">
        <v>17031</v>
      </c>
      <c r="D599">
        <v>2010</v>
      </c>
      <c r="E599">
        <v>60</v>
      </c>
      <c r="F599">
        <v>3607464.0396945402</v>
      </c>
      <c r="G599" s="43">
        <v>0.129399966988584</v>
      </c>
      <c r="H599" s="58" t="str">
        <f>_xlfn.IFNA(
INDEX(CA!B$2:B$78,MATCH($E599,CA!$A$2:$A$78,0)),
"")</f>
        <v>BRIDGEPORT</v>
      </c>
      <c r="I599" s="60" t="str">
        <f>_xlfn.IFNA(
INDEX(CA!C$2:C$78,MATCH($E599,CA!$A$2:$A$78,0)),
"")</f>
        <v>4-A</v>
      </c>
      <c r="J599" s="60">
        <f>_xlfn.IFNA(
INDEX(CA!D$2:D$78,MATCH($E599,CA!$A$2:$A$78,0)),
"")</f>
        <v>4</v>
      </c>
      <c r="K599" s="58" t="str">
        <f>_xlfn.IFNA(
INDEX(CA!E$2:E$78,MATCH($E599,CA!$A$2:$A$78,0)),
"")</f>
        <v>SOUTHWEST</v>
      </c>
      <c r="L599" s="15" t="e">
        <v>#VALUE!</v>
      </c>
      <c r="M599" s="15" t="e">
        <v>#VALUE!</v>
      </c>
      <c r="N599" s="15" t="e">
        <v>#VALUE!</v>
      </c>
      <c r="O599" s="15" t="e">
        <v>#VALUE!</v>
      </c>
      <c r="P599" s="15" t="e">
        <v>#VALUE!</v>
      </c>
      <c r="Q599" s="15" t="e">
        <v>#VALUE!</v>
      </c>
      <c r="R599" s="15" t="e">
        <v>#VALUE!</v>
      </c>
      <c r="S599" s="15" t="e">
        <v>#VALUE!</v>
      </c>
      <c r="T599" s="129">
        <v>0.12939996868179054</v>
      </c>
      <c r="U599" s="130" t="e">
        <f t="shared" si="39"/>
        <v>#VALUE!</v>
      </c>
      <c r="V599" s="129">
        <v>0.12939996868179054</v>
      </c>
      <c r="W599" s="130" t="e">
        <f t="shared" si="36"/>
        <v>#VALUE!</v>
      </c>
      <c r="X599" s="129">
        <v>0.12939996868179054</v>
      </c>
      <c r="Y599" s="130" t="e">
        <f t="shared" si="37"/>
        <v>#VALUE!</v>
      </c>
      <c r="Z599" s="129">
        <v>0.12939996868179054</v>
      </c>
      <c r="AA599" s="130" t="e">
        <f t="shared" si="38"/>
        <v>#VALUE!</v>
      </c>
    </row>
    <row r="600" spans="1:27" x14ac:dyDescent="0.3">
      <c r="A600">
        <v>600400</v>
      </c>
      <c r="B600">
        <v>17031600400</v>
      </c>
      <c r="C600">
        <v>17031</v>
      </c>
      <c r="D600">
        <v>2010</v>
      </c>
      <c r="E600">
        <v>60</v>
      </c>
      <c r="F600">
        <v>3522225.6528015002</v>
      </c>
      <c r="G600" s="43">
        <v>0.12634246057167917</v>
      </c>
      <c r="H600" s="58" t="str">
        <f>_xlfn.IFNA(
INDEX(CA!B$2:B$78,MATCH($E600,CA!$A$2:$A$78,0)),
"")</f>
        <v>BRIDGEPORT</v>
      </c>
      <c r="I600" s="60" t="str">
        <f>_xlfn.IFNA(
INDEX(CA!C$2:C$78,MATCH($E600,CA!$A$2:$A$78,0)),
"")</f>
        <v>4-A</v>
      </c>
      <c r="J600" s="60">
        <f>_xlfn.IFNA(
INDEX(CA!D$2:D$78,MATCH($E600,CA!$A$2:$A$78,0)),
"")</f>
        <v>4</v>
      </c>
      <c r="K600" s="58" t="str">
        <f>_xlfn.IFNA(
INDEX(CA!E$2:E$78,MATCH($E600,CA!$A$2:$A$78,0)),
"")</f>
        <v>SOUTHWEST</v>
      </c>
      <c r="L600" s="15" t="e">
        <v>#VALUE!</v>
      </c>
      <c r="M600" s="15" t="e">
        <v>#VALUE!</v>
      </c>
      <c r="N600" s="15" t="e">
        <v>#VALUE!</v>
      </c>
      <c r="O600" s="15" t="e">
        <v>#VALUE!</v>
      </c>
      <c r="P600" s="15" t="e">
        <v>#VALUE!</v>
      </c>
      <c r="Q600" s="15" t="e">
        <v>#VALUE!</v>
      </c>
      <c r="R600" s="15" t="e">
        <v>#VALUE!</v>
      </c>
      <c r="S600" s="15" t="e">
        <v>#VALUE!</v>
      </c>
      <c r="T600" s="129">
        <v>0.12634245691066059</v>
      </c>
      <c r="U600" s="130" t="e">
        <f t="shared" si="39"/>
        <v>#VALUE!</v>
      </c>
      <c r="V600" s="129">
        <v>0.12634245691066059</v>
      </c>
      <c r="W600" s="130" t="e">
        <f t="shared" si="36"/>
        <v>#VALUE!</v>
      </c>
      <c r="X600" s="129">
        <v>0.12634245691066059</v>
      </c>
      <c r="Y600" s="130" t="e">
        <f t="shared" si="37"/>
        <v>#VALUE!</v>
      </c>
      <c r="Z600" s="129">
        <v>0.12634245691066059</v>
      </c>
      <c r="AA600" s="130" t="e">
        <f t="shared" si="38"/>
        <v>#VALUE!</v>
      </c>
    </row>
    <row r="601" spans="1:27" x14ac:dyDescent="0.3">
      <c r="A601">
        <v>839900</v>
      </c>
      <c r="B601">
        <v>17031839900</v>
      </c>
      <c r="C601">
        <v>17031</v>
      </c>
      <c r="D601">
        <v>2010</v>
      </c>
      <c r="E601">
        <v>60</v>
      </c>
      <c r="F601">
        <v>12604180.5756058</v>
      </c>
      <c r="G601" s="43">
        <v>0.45211276743305928</v>
      </c>
      <c r="H601" s="58" t="str">
        <f>_xlfn.IFNA(
INDEX(CA!B$2:B$78,MATCH($E601,CA!$A$2:$A$78,0)),
"")</f>
        <v>BRIDGEPORT</v>
      </c>
      <c r="I601" s="60" t="str">
        <f>_xlfn.IFNA(
INDEX(CA!C$2:C$78,MATCH($E601,CA!$A$2:$A$78,0)),
"")</f>
        <v>4-A</v>
      </c>
      <c r="J601" s="60">
        <f>_xlfn.IFNA(
INDEX(CA!D$2:D$78,MATCH($E601,CA!$A$2:$A$78,0)),
"")</f>
        <v>4</v>
      </c>
      <c r="K601" s="58" t="str">
        <f>_xlfn.IFNA(
INDEX(CA!E$2:E$78,MATCH($E601,CA!$A$2:$A$78,0)),
"")</f>
        <v>SOUTHWEST</v>
      </c>
      <c r="L601" s="15" t="e">
        <v>#VALUE!</v>
      </c>
      <c r="M601" s="15" t="e">
        <v>#VALUE!</v>
      </c>
      <c r="N601" s="15" t="e">
        <v>#VALUE!</v>
      </c>
      <c r="O601" s="15" t="e">
        <v>#VALUE!</v>
      </c>
      <c r="P601" s="15" t="e">
        <v>#VALUE!</v>
      </c>
      <c r="Q601" s="15" t="e">
        <v>#VALUE!</v>
      </c>
      <c r="R601" s="15" t="e">
        <v>#VALUE!</v>
      </c>
      <c r="S601" s="15" t="e">
        <v>#VALUE!</v>
      </c>
      <c r="T601" s="129">
        <v>0.42383800095787061</v>
      </c>
      <c r="U601" s="130" t="e">
        <f t="shared" si="39"/>
        <v>#VALUE!</v>
      </c>
      <c r="V601" s="129">
        <v>0.42383800095787061</v>
      </c>
      <c r="W601" s="130" t="e">
        <f t="shared" si="36"/>
        <v>#VALUE!</v>
      </c>
      <c r="X601" s="129">
        <v>0.42383800095787061</v>
      </c>
      <c r="Y601" s="130" t="e">
        <f t="shared" si="37"/>
        <v>#VALUE!</v>
      </c>
      <c r="Z601" s="129">
        <v>0.42383800095787061</v>
      </c>
      <c r="AA601" s="130" t="e">
        <f t="shared" si="38"/>
        <v>#VALUE!</v>
      </c>
    </row>
    <row r="602" spans="1:27" x14ac:dyDescent="0.3">
      <c r="A602">
        <v>600600</v>
      </c>
      <c r="B602">
        <v>17031600600</v>
      </c>
      <c r="C602">
        <v>17031</v>
      </c>
      <c r="D602">
        <v>2010</v>
      </c>
      <c r="E602">
        <v>60</v>
      </c>
      <c r="F602">
        <v>4289817.3611588096</v>
      </c>
      <c r="G602" s="43">
        <v>0.15387602449060239</v>
      </c>
      <c r="H602" s="58" t="str">
        <f>_xlfn.IFNA(
INDEX(CA!B$2:B$78,MATCH($E602,CA!$A$2:$A$78,0)),
"")</f>
        <v>BRIDGEPORT</v>
      </c>
      <c r="I602" s="60" t="str">
        <f>_xlfn.IFNA(
INDEX(CA!C$2:C$78,MATCH($E602,CA!$A$2:$A$78,0)),
"")</f>
        <v>4-A</v>
      </c>
      <c r="J602" s="60">
        <f>_xlfn.IFNA(
INDEX(CA!D$2:D$78,MATCH($E602,CA!$A$2:$A$78,0)),
"")</f>
        <v>4</v>
      </c>
      <c r="K602" s="58" t="str">
        <f>_xlfn.IFNA(
INDEX(CA!E$2:E$78,MATCH($E602,CA!$A$2:$A$78,0)),
"")</f>
        <v>SOUTHWEST</v>
      </c>
      <c r="L602" s="15" t="e">
        <v>#VALUE!</v>
      </c>
      <c r="M602" s="15" t="e">
        <v>#VALUE!</v>
      </c>
      <c r="N602" s="15" t="e">
        <v>#VALUE!</v>
      </c>
      <c r="O602" s="15" t="e">
        <v>#VALUE!</v>
      </c>
      <c r="P602" s="15" t="e">
        <v>#VALUE!</v>
      </c>
      <c r="Q602" s="15" t="e">
        <v>#VALUE!</v>
      </c>
      <c r="R602" s="15" t="e">
        <v>#VALUE!</v>
      </c>
      <c r="S602" s="15" t="e">
        <v>#VALUE!</v>
      </c>
      <c r="T602" s="129">
        <v>0.15387602214609231</v>
      </c>
      <c r="U602" s="130" t="e">
        <f t="shared" si="39"/>
        <v>#VALUE!</v>
      </c>
      <c r="V602" s="129">
        <v>0.15387602214609231</v>
      </c>
      <c r="W602" s="130" t="e">
        <f t="shared" si="36"/>
        <v>#VALUE!</v>
      </c>
      <c r="X602" s="129">
        <v>0.15387602214609231</v>
      </c>
      <c r="Y602" s="130" t="e">
        <f t="shared" si="37"/>
        <v>#VALUE!</v>
      </c>
      <c r="Z602" s="129">
        <v>0.15387602214609231</v>
      </c>
      <c r="AA602" s="130" t="e">
        <f t="shared" si="38"/>
        <v>#VALUE!</v>
      </c>
    </row>
    <row r="603" spans="1:27" x14ac:dyDescent="0.3">
      <c r="A603">
        <v>840200</v>
      </c>
      <c r="B603">
        <v>17031840200</v>
      </c>
      <c r="C603">
        <v>17031</v>
      </c>
      <c r="D603">
        <v>2010</v>
      </c>
      <c r="E603">
        <v>60</v>
      </c>
      <c r="F603">
        <v>9118656.6772379708</v>
      </c>
      <c r="G603" s="43">
        <v>0.32708680115207367</v>
      </c>
      <c r="H603" s="58" t="str">
        <f>_xlfn.IFNA(
INDEX(CA!B$2:B$78,MATCH($E603,CA!$A$2:$A$78,0)),
"")</f>
        <v>BRIDGEPORT</v>
      </c>
      <c r="I603" s="60" t="str">
        <f>_xlfn.IFNA(
INDEX(CA!C$2:C$78,MATCH($E603,CA!$A$2:$A$78,0)),
"")</f>
        <v>4-A</v>
      </c>
      <c r="J603" s="60">
        <f>_xlfn.IFNA(
INDEX(CA!D$2:D$78,MATCH($E603,CA!$A$2:$A$78,0)),
"")</f>
        <v>4</v>
      </c>
      <c r="K603" s="58" t="str">
        <f>_xlfn.IFNA(
INDEX(CA!E$2:E$78,MATCH($E603,CA!$A$2:$A$78,0)),
"")</f>
        <v>SOUTHWEST</v>
      </c>
      <c r="L603" s="15" t="e">
        <v>#VALUE!</v>
      </c>
      <c r="M603" s="15" t="e">
        <v>#VALUE!</v>
      </c>
      <c r="N603" s="15" t="e">
        <v>#VALUE!</v>
      </c>
      <c r="O603" s="15" t="e">
        <v>#VALUE!</v>
      </c>
      <c r="P603" s="15" t="e">
        <v>#VALUE!</v>
      </c>
      <c r="Q603" s="15" t="e">
        <v>#VALUE!</v>
      </c>
      <c r="R603" s="15" t="e">
        <v>#VALUE!</v>
      </c>
      <c r="S603" s="15" t="e">
        <v>#VALUE!</v>
      </c>
      <c r="T603" s="129">
        <v>0.32708680100852378</v>
      </c>
      <c r="U603" s="130" t="e">
        <f t="shared" si="39"/>
        <v>#VALUE!</v>
      </c>
      <c r="V603" s="129">
        <v>0.32708680100852378</v>
      </c>
      <c r="W603" s="130" t="e">
        <f t="shared" si="36"/>
        <v>#VALUE!</v>
      </c>
      <c r="X603" s="129">
        <v>0.32708680100852378</v>
      </c>
      <c r="Y603" s="130" t="e">
        <f t="shared" si="37"/>
        <v>#VALUE!</v>
      </c>
      <c r="Z603" s="129">
        <v>0.32708680100852378</v>
      </c>
      <c r="AA603" s="130" t="e">
        <f t="shared" si="38"/>
        <v>#VALUE!</v>
      </c>
    </row>
    <row r="604" spans="1:27" x14ac:dyDescent="0.3">
      <c r="A604">
        <v>839700</v>
      </c>
      <c r="B604">
        <v>17031839700</v>
      </c>
      <c r="C604">
        <v>17031</v>
      </c>
      <c r="D604">
        <v>2010</v>
      </c>
      <c r="E604">
        <v>60</v>
      </c>
      <c r="F604">
        <v>7049283.7198141897</v>
      </c>
      <c r="G604" s="43">
        <v>0.25285826015173718</v>
      </c>
      <c r="H604" s="58" t="str">
        <f>_xlfn.IFNA(
INDEX(CA!B$2:B$78,MATCH($E604,CA!$A$2:$A$78,0)),
"")</f>
        <v>BRIDGEPORT</v>
      </c>
      <c r="I604" s="60" t="str">
        <f>_xlfn.IFNA(
INDEX(CA!C$2:C$78,MATCH($E604,CA!$A$2:$A$78,0)),
"")</f>
        <v>4-A</v>
      </c>
      <c r="J604" s="60">
        <f>_xlfn.IFNA(
INDEX(CA!D$2:D$78,MATCH($E604,CA!$A$2:$A$78,0)),
"")</f>
        <v>4</v>
      </c>
      <c r="K604" s="58" t="str">
        <f>_xlfn.IFNA(
INDEX(CA!E$2:E$78,MATCH($E604,CA!$A$2:$A$78,0)),
"")</f>
        <v>SOUTHWEST</v>
      </c>
      <c r="L604" s="15" t="e">
        <v>#VALUE!</v>
      </c>
      <c r="M604" s="15" t="e">
        <v>#VALUE!</v>
      </c>
      <c r="N604" s="15" t="e">
        <v>#VALUE!</v>
      </c>
      <c r="O604" s="15" t="e">
        <v>#VALUE!</v>
      </c>
      <c r="P604" s="15" t="e">
        <v>#VALUE!</v>
      </c>
      <c r="Q604" s="15" t="e">
        <v>#VALUE!</v>
      </c>
      <c r="R604" s="15" t="e">
        <v>#VALUE!</v>
      </c>
      <c r="S604" s="15" t="e">
        <v>#VALUE!</v>
      </c>
      <c r="T604" s="129">
        <v>0.18327736599572322</v>
      </c>
      <c r="U604" s="130" t="e">
        <f t="shared" si="39"/>
        <v>#VALUE!</v>
      </c>
      <c r="V604" s="129">
        <v>0.18328494204675844</v>
      </c>
      <c r="W604" s="130" t="e">
        <f t="shared" si="36"/>
        <v>#VALUE!</v>
      </c>
      <c r="X604" s="129">
        <v>0.18328494204675844</v>
      </c>
      <c r="Y604" s="130" t="e">
        <f t="shared" si="37"/>
        <v>#VALUE!</v>
      </c>
      <c r="Z604" s="129">
        <v>0.18328494204675844</v>
      </c>
      <c r="AA604" s="130" t="e">
        <f t="shared" si="38"/>
        <v>#VALUE!</v>
      </c>
    </row>
    <row r="605" spans="1:27" x14ac:dyDescent="0.3">
      <c r="A605">
        <v>600900</v>
      </c>
      <c r="B605">
        <v>17031600900</v>
      </c>
      <c r="C605">
        <v>17031</v>
      </c>
      <c r="D605">
        <v>2010</v>
      </c>
      <c r="E605">
        <v>60</v>
      </c>
      <c r="F605">
        <v>4125320.6796075301</v>
      </c>
      <c r="G605" s="43">
        <v>0.14797551794965028</v>
      </c>
      <c r="H605" s="58" t="str">
        <f>_xlfn.IFNA(
INDEX(CA!B$2:B$78,MATCH($E605,CA!$A$2:$A$78,0)),
"")</f>
        <v>BRIDGEPORT</v>
      </c>
      <c r="I605" s="60" t="str">
        <f>_xlfn.IFNA(
INDEX(CA!C$2:C$78,MATCH($E605,CA!$A$2:$A$78,0)),
"")</f>
        <v>4-A</v>
      </c>
      <c r="J605" s="60">
        <f>_xlfn.IFNA(
INDEX(CA!D$2:D$78,MATCH($E605,CA!$A$2:$A$78,0)),
"")</f>
        <v>4</v>
      </c>
      <c r="K605" s="58" t="str">
        <f>_xlfn.IFNA(
INDEX(CA!E$2:E$78,MATCH($E605,CA!$A$2:$A$78,0)),
"")</f>
        <v>SOUTHWEST</v>
      </c>
      <c r="L605" s="15" t="e">
        <v>#VALUE!</v>
      </c>
      <c r="M605" s="15" t="e">
        <v>#VALUE!</v>
      </c>
      <c r="N605" s="15" t="e">
        <v>#VALUE!</v>
      </c>
      <c r="O605" s="15" t="e">
        <v>#VALUE!</v>
      </c>
      <c r="P605" s="15" t="e">
        <v>#VALUE!</v>
      </c>
      <c r="Q605" s="15" t="e">
        <v>#VALUE!</v>
      </c>
      <c r="R605" s="15" t="e">
        <v>#VALUE!</v>
      </c>
      <c r="S605" s="15" t="e">
        <v>#VALUE!</v>
      </c>
      <c r="T605" s="129">
        <v>0.11810189241093068</v>
      </c>
      <c r="U605" s="130" t="e">
        <f t="shared" si="39"/>
        <v>#VALUE!</v>
      </c>
      <c r="V605" s="129">
        <v>0.11810189241093068</v>
      </c>
      <c r="W605" s="130" t="e">
        <f t="shared" si="36"/>
        <v>#VALUE!</v>
      </c>
      <c r="X605" s="129">
        <v>0.11810189241093068</v>
      </c>
      <c r="Y605" s="130" t="e">
        <f t="shared" si="37"/>
        <v>#VALUE!</v>
      </c>
      <c r="Z605" s="129">
        <v>0.11810189241093068</v>
      </c>
      <c r="AA605" s="130" t="e">
        <f t="shared" si="38"/>
        <v>#VALUE!</v>
      </c>
    </row>
    <row r="606" spans="1:27" x14ac:dyDescent="0.3">
      <c r="A606">
        <v>611100</v>
      </c>
      <c r="B606">
        <v>17031611100</v>
      </c>
      <c r="C606">
        <v>17031</v>
      </c>
      <c r="D606">
        <v>2010</v>
      </c>
      <c r="E606">
        <v>61</v>
      </c>
      <c r="F606">
        <v>3517409.34923869</v>
      </c>
      <c r="G606" s="43">
        <v>0.12616969945329323</v>
      </c>
      <c r="H606" s="58" t="str">
        <f>_xlfn.IFNA(
INDEX(CA!B$2:B$78,MATCH($E606,CA!$A$2:$A$78,0)),
"")</f>
        <v>NEW CITY</v>
      </c>
      <c r="I606" s="60" t="str">
        <f>_xlfn.IFNA(
INDEX(CA!C$2:C$78,MATCH($E606,CA!$A$2:$A$78,0)),
"")</f>
        <v>4-A</v>
      </c>
      <c r="J606" s="60">
        <f>_xlfn.IFNA(
INDEX(CA!D$2:D$78,MATCH($E606,CA!$A$2:$A$78,0)),
"")</f>
        <v>4</v>
      </c>
      <c r="K606" s="58" t="str">
        <f>_xlfn.IFNA(
INDEX(CA!E$2:E$78,MATCH($E606,CA!$A$2:$A$78,0)),
"")</f>
        <v>SOUTHWEST</v>
      </c>
      <c r="L606" s="15" t="e">
        <v>#VALUE!</v>
      </c>
      <c r="M606" s="15" t="e">
        <v>#VALUE!</v>
      </c>
      <c r="N606" s="15" t="e">
        <v>#VALUE!</v>
      </c>
      <c r="O606" s="15" t="e">
        <v>#VALUE!</v>
      </c>
      <c r="P606" s="15" t="e">
        <v>#VALUE!</v>
      </c>
      <c r="Q606" s="15" t="e">
        <v>#VALUE!</v>
      </c>
      <c r="R606" s="15" t="e">
        <v>#VALUE!</v>
      </c>
      <c r="S606" s="15" t="e">
        <v>#VALUE!</v>
      </c>
      <c r="T606" s="129">
        <v>0.12616970632012095</v>
      </c>
      <c r="U606" s="130" t="e">
        <f t="shared" si="39"/>
        <v>#VALUE!</v>
      </c>
      <c r="V606" s="129">
        <v>0.12616970632012095</v>
      </c>
      <c r="W606" s="130" t="e">
        <f t="shared" si="36"/>
        <v>#VALUE!</v>
      </c>
      <c r="X606" s="129">
        <v>0.12616970632012095</v>
      </c>
      <c r="Y606" s="130" t="e">
        <f t="shared" si="37"/>
        <v>#VALUE!</v>
      </c>
      <c r="Z606" s="129">
        <v>0.12616970632012095</v>
      </c>
      <c r="AA606" s="130" t="e">
        <f t="shared" si="38"/>
        <v>#VALUE!</v>
      </c>
    </row>
    <row r="607" spans="1:27" x14ac:dyDescent="0.3">
      <c r="A607">
        <v>611500</v>
      </c>
      <c r="B607">
        <v>17031611500</v>
      </c>
      <c r="C607">
        <v>17031</v>
      </c>
      <c r="D607">
        <v>2010</v>
      </c>
      <c r="E607">
        <v>61</v>
      </c>
      <c r="F607">
        <v>5296988.9057151396</v>
      </c>
      <c r="G607" s="43">
        <v>0.19000333253397395</v>
      </c>
      <c r="H607" s="58" t="str">
        <f>_xlfn.IFNA(
INDEX(CA!B$2:B$78,MATCH($E607,CA!$A$2:$A$78,0)),
"")</f>
        <v>NEW CITY</v>
      </c>
      <c r="I607" s="60" t="str">
        <f>_xlfn.IFNA(
INDEX(CA!C$2:C$78,MATCH($E607,CA!$A$2:$A$78,0)),
"")</f>
        <v>4-A</v>
      </c>
      <c r="J607" s="60">
        <f>_xlfn.IFNA(
INDEX(CA!D$2:D$78,MATCH($E607,CA!$A$2:$A$78,0)),
"")</f>
        <v>4</v>
      </c>
      <c r="K607" s="58" t="str">
        <f>_xlfn.IFNA(
INDEX(CA!E$2:E$78,MATCH($E607,CA!$A$2:$A$78,0)),
"")</f>
        <v>SOUTHWEST</v>
      </c>
      <c r="L607" s="15" t="e">
        <v>#VALUE!</v>
      </c>
      <c r="M607" s="15" t="e">
        <v>#VALUE!</v>
      </c>
      <c r="N607" s="15" t="e">
        <v>#VALUE!</v>
      </c>
      <c r="O607" s="15" t="e">
        <v>#VALUE!</v>
      </c>
      <c r="P607" s="15" t="e">
        <v>#VALUE!</v>
      </c>
      <c r="Q607" s="15" t="e">
        <v>#VALUE!</v>
      </c>
      <c r="R607" s="15" t="e">
        <v>#VALUE!</v>
      </c>
      <c r="S607" s="15" t="e">
        <v>#VALUE!</v>
      </c>
      <c r="T607" s="129">
        <v>0.18926436290292986</v>
      </c>
      <c r="U607" s="130" t="e">
        <f t="shared" si="39"/>
        <v>#VALUE!</v>
      </c>
      <c r="V607" s="129">
        <v>0.13935237699905087</v>
      </c>
      <c r="W607" s="130" t="e">
        <f t="shared" si="36"/>
        <v>#VALUE!</v>
      </c>
      <c r="X607" s="129">
        <v>0.13935237699905087</v>
      </c>
      <c r="Y607" s="130" t="e">
        <f t="shared" si="37"/>
        <v>#VALUE!</v>
      </c>
      <c r="Z607" s="129">
        <v>0.13935237699905087</v>
      </c>
      <c r="AA607" s="130" t="e">
        <f t="shared" si="38"/>
        <v>#VALUE!</v>
      </c>
    </row>
    <row r="608" spans="1:27" x14ac:dyDescent="0.3">
      <c r="A608">
        <v>611900</v>
      </c>
      <c r="B608">
        <v>17031611900</v>
      </c>
      <c r="C608">
        <v>17031</v>
      </c>
      <c r="D608">
        <v>2010</v>
      </c>
      <c r="E608">
        <v>61</v>
      </c>
      <c r="F608">
        <v>7034049.1354075596</v>
      </c>
      <c r="G608" s="43">
        <v>0.25231179462980513</v>
      </c>
      <c r="H608" s="58" t="str">
        <f>_xlfn.IFNA(
INDEX(CA!B$2:B$78,MATCH($E608,CA!$A$2:$A$78,0)),
"")</f>
        <v>NEW CITY</v>
      </c>
      <c r="I608" s="60" t="str">
        <f>_xlfn.IFNA(
INDEX(CA!C$2:C$78,MATCH($E608,CA!$A$2:$A$78,0)),
"")</f>
        <v>4-A</v>
      </c>
      <c r="J608" s="60">
        <f>_xlfn.IFNA(
INDEX(CA!D$2:D$78,MATCH($E608,CA!$A$2:$A$78,0)),
"")</f>
        <v>4</v>
      </c>
      <c r="K608" s="58" t="str">
        <f>_xlfn.IFNA(
INDEX(CA!E$2:E$78,MATCH($E608,CA!$A$2:$A$78,0)),
"")</f>
        <v>SOUTHWEST</v>
      </c>
      <c r="L608" s="15" t="e">
        <v>#VALUE!</v>
      </c>
      <c r="M608" s="15" t="e">
        <v>#VALUE!</v>
      </c>
      <c r="N608" s="15" t="e">
        <v>#VALUE!</v>
      </c>
      <c r="O608" s="15" t="e">
        <v>#VALUE!</v>
      </c>
      <c r="P608" s="15" t="e">
        <v>#VALUE!</v>
      </c>
      <c r="Q608" s="15" t="e">
        <v>#VALUE!</v>
      </c>
      <c r="R608" s="15" t="e">
        <v>#VALUE!</v>
      </c>
      <c r="S608" s="15" t="e">
        <v>#VALUE!</v>
      </c>
      <c r="T608" s="129">
        <v>0.24581866220204818</v>
      </c>
      <c r="U608" s="130" t="e">
        <f t="shared" si="39"/>
        <v>#VALUE!</v>
      </c>
      <c r="V608" s="129">
        <v>0.24581866220204818</v>
      </c>
      <c r="W608" s="130" t="e">
        <f t="shared" si="36"/>
        <v>#VALUE!</v>
      </c>
      <c r="X608" s="129">
        <v>0.24581866220204818</v>
      </c>
      <c r="Y608" s="130" t="e">
        <f t="shared" si="37"/>
        <v>#VALUE!</v>
      </c>
      <c r="Z608" s="129">
        <v>0.24581866220204818</v>
      </c>
      <c r="AA608" s="130" t="e">
        <f t="shared" si="38"/>
        <v>#VALUE!</v>
      </c>
    </row>
    <row r="609" spans="1:27" x14ac:dyDescent="0.3">
      <c r="A609">
        <v>610300</v>
      </c>
      <c r="B609">
        <v>17031610300</v>
      </c>
      <c r="C609">
        <v>17031</v>
      </c>
      <c r="D609">
        <v>2010</v>
      </c>
      <c r="E609">
        <v>61</v>
      </c>
      <c r="F609">
        <v>25656970.902418699</v>
      </c>
      <c r="G609" s="43">
        <v>0.92031719547817303</v>
      </c>
      <c r="H609" s="58" t="str">
        <f>_xlfn.IFNA(
INDEX(CA!B$2:B$78,MATCH($E609,CA!$A$2:$A$78,0)),
"")</f>
        <v>NEW CITY</v>
      </c>
      <c r="I609" s="60" t="str">
        <f>_xlfn.IFNA(
INDEX(CA!C$2:C$78,MATCH($E609,CA!$A$2:$A$78,0)),
"")</f>
        <v>4-A</v>
      </c>
      <c r="J609" s="60">
        <f>_xlfn.IFNA(
INDEX(CA!D$2:D$78,MATCH($E609,CA!$A$2:$A$78,0)),
"")</f>
        <v>4</v>
      </c>
      <c r="K609" s="58" t="str">
        <f>_xlfn.IFNA(
INDEX(CA!E$2:E$78,MATCH($E609,CA!$A$2:$A$78,0)),
"")</f>
        <v>SOUTHWEST</v>
      </c>
      <c r="L609" s="15" t="e">
        <v>#VALUE!</v>
      </c>
      <c r="M609" s="15" t="e">
        <v>#VALUE!</v>
      </c>
      <c r="N609" s="15" t="e">
        <v>#VALUE!</v>
      </c>
      <c r="O609" s="15" t="e">
        <v>#VALUE!</v>
      </c>
      <c r="P609" s="15" t="e">
        <v>#VALUE!</v>
      </c>
      <c r="Q609" s="15" t="e">
        <v>#VALUE!</v>
      </c>
      <c r="R609" s="15" t="e">
        <v>#VALUE!</v>
      </c>
      <c r="S609" s="15" t="e">
        <v>#VALUE!</v>
      </c>
      <c r="T609" s="129">
        <v>0.82072405596117426</v>
      </c>
      <c r="U609" s="130" t="e">
        <f t="shared" si="39"/>
        <v>#VALUE!</v>
      </c>
      <c r="V609" s="129">
        <v>0.48812759224360081</v>
      </c>
      <c r="W609" s="130" t="e">
        <f t="shared" si="36"/>
        <v>#VALUE!</v>
      </c>
      <c r="X609" s="129">
        <v>0.48812759224360081</v>
      </c>
      <c r="Y609" s="130" t="e">
        <f t="shared" si="37"/>
        <v>#VALUE!</v>
      </c>
      <c r="Z609" s="129">
        <v>0.48812759224360081</v>
      </c>
      <c r="AA609" s="130" t="e">
        <f t="shared" si="38"/>
        <v>#VALUE!</v>
      </c>
    </row>
    <row r="610" spans="1:27" x14ac:dyDescent="0.3">
      <c r="A610">
        <v>611000</v>
      </c>
      <c r="B610">
        <v>17031611000</v>
      </c>
      <c r="C610">
        <v>17031</v>
      </c>
      <c r="D610">
        <v>2010</v>
      </c>
      <c r="E610">
        <v>61</v>
      </c>
      <c r="F610">
        <v>6149249.4917258499</v>
      </c>
      <c r="G610" s="43">
        <v>0.22057397453676861</v>
      </c>
      <c r="H610" s="58" t="str">
        <f>_xlfn.IFNA(
INDEX(CA!B$2:B$78,MATCH($E610,CA!$A$2:$A$78,0)),
"")</f>
        <v>NEW CITY</v>
      </c>
      <c r="I610" s="60" t="str">
        <f>_xlfn.IFNA(
INDEX(CA!C$2:C$78,MATCH($E610,CA!$A$2:$A$78,0)),
"")</f>
        <v>4-A</v>
      </c>
      <c r="J610" s="60">
        <f>_xlfn.IFNA(
INDEX(CA!D$2:D$78,MATCH($E610,CA!$A$2:$A$78,0)),
"")</f>
        <v>4</v>
      </c>
      <c r="K610" s="58" t="str">
        <f>_xlfn.IFNA(
INDEX(CA!E$2:E$78,MATCH($E610,CA!$A$2:$A$78,0)),
"")</f>
        <v>SOUTHWEST</v>
      </c>
      <c r="L610" s="15" t="e">
        <v>#VALUE!</v>
      </c>
      <c r="M610" s="15" t="e">
        <v>#VALUE!</v>
      </c>
      <c r="N610" s="15" t="e">
        <v>#VALUE!</v>
      </c>
      <c r="O610" s="15" t="e">
        <v>#VALUE!</v>
      </c>
      <c r="P610" s="15" t="e">
        <v>#VALUE!</v>
      </c>
      <c r="Q610" s="15" t="e">
        <v>#VALUE!</v>
      </c>
      <c r="R610" s="15" t="e">
        <v>#VALUE!</v>
      </c>
      <c r="S610" s="15" t="e">
        <v>#VALUE!</v>
      </c>
      <c r="T610" s="129">
        <v>0.22057397520278887</v>
      </c>
      <c r="U610" s="130" t="e">
        <f t="shared" si="39"/>
        <v>#VALUE!</v>
      </c>
      <c r="V610" s="129">
        <v>0.22057397520278887</v>
      </c>
      <c r="W610" s="130" t="e">
        <f t="shared" si="36"/>
        <v>#VALUE!</v>
      </c>
      <c r="X610" s="129">
        <v>0.22057397520278887</v>
      </c>
      <c r="Y610" s="130" t="e">
        <f t="shared" si="37"/>
        <v>#VALUE!</v>
      </c>
      <c r="Z610" s="129">
        <v>0.22057397520278887</v>
      </c>
      <c r="AA610" s="130" t="e">
        <f t="shared" si="38"/>
        <v>#VALUE!</v>
      </c>
    </row>
    <row r="611" spans="1:27" x14ac:dyDescent="0.3">
      <c r="A611">
        <v>612100</v>
      </c>
      <c r="B611">
        <v>17031612100</v>
      </c>
      <c r="C611">
        <v>17031</v>
      </c>
      <c r="D611">
        <v>2010</v>
      </c>
      <c r="E611">
        <v>61</v>
      </c>
      <c r="F611">
        <v>3512786.6014093198</v>
      </c>
      <c r="G611" s="43">
        <v>0.12600388119150741</v>
      </c>
      <c r="H611" s="58" t="str">
        <f>_xlfn.IFNA(
INDEX(CA!B$2:B$78,MATCH($E611,CA!$A$2:$A$78,0)),
"")</f>
        <v>NEW CITY</v>
      </c>
      <c r="I611" s="60" t="str">
        <f>_xlfn.IFNA(
INDEX(CA!C$2:C$78,MATCH($E611,CA!$A$2:$A$78,0)),
"")</f>
        <v>4-A</v>
      </c>
      <c r="J611" s="60">
        <f>_xlfn.IFNA(
INDEX(CA!D$2:D$78,MATCH($E611,CA!$A$2:$A$78,0)),
"")</f>
        <v>4</v>
      </c>
      <c r="K611" s="58" t="str">
        <f>_xlfn.IFNA(
INDEX(CA!E$2:E$78,MATCH($E611,CA!$A$2:$A$78,0)),
"")</f>
        <v>SOUTHWEST</v>
      </c>
      <c r="L611" s="15" t="e">
        <v>#VALUE!</v>
      </c>
      <c r="M611" s="15" t="e">
        <v>#VALUE!</v>
      </c>
      <c r="N611" s="15" t="e">
        <v>#VALUE!</v>
      </c>
      <c r="O611" s="15" t="e">
        <v>#VALUE!</v>
      </c>
      <c r="P611" s="15" t="e">
        <v>#VALUE!</v>
      </c>
      <c r="Q611" s="15" t="e">
        <v>#VALUE!</v>
      </c>
      <c r="R611" s="15" t="e">
        <v>#VALUE!</v>
      </c>
      <c r="S611" s="15" t="e">
        <v>#VALUE!</v>
      </c>
      <c r="T611" s="129">
        <v>0.12600388079547858</v>
      </c>
      <c r="U611" s="130" t="e">
        <f t="shared" si="39"/>
        <v>#VALUE!</v>
      </c>
      <c r="V611" s="129">
        <v>0.12600388079547858</v>
      </c>
      <c r="W611" s="130" t="e">
        <f t="shared" si="36"/>
        <v>#VALUE!</v>
      </c>
      <c r="X611" s="129">
        <v>0.12600388079547858</v>
      </c>
      <c r="Y611" s="130" t="e">
        <f t="shared" si="37"/>
        <v>#VALUE!</v>
      </c>
      <c r="Z611" s="129">
        <v>0.12600388079547858</v>
      </c>
      <c r="AA611" s="130" t="e">
        <f t="shared" si="38"/>
        <v>#VALUE!</v>
      </c>
    </row>
    <row r="612" spans="1:27" x14ac:dyDescent="0.3">
      <c r="A612">
        <v>611300</v>
      </c>
      <c r="B612">
        <v>17031611300</v>
      </c>
      <c r="C612">
        <v>17031</v>
      </c>
      <c r="D612">
        <v>2010</v>
      </c>
      <c r="E612">
        <v>61</v>
      </c>
      <c r="F612">
        <v>3519757.00370911</v>
      </c>
      <c r="G612" s="43">
        <v>0.12625390997005245</v>
      </c>
      <c r="H612" s="58" t="str">
        <f>_xlfn.IFNA(
INDEX(CA!B$2:B$78,MATCH($E612,CA!$A$2:$A$78,0)),
"")</f>
        <v>NEW CITY</v>
      </c>
      <c r="I612" s="60" t="str">
        <f>_xlfn.IFNA(
INDEX(CA!C$2:C$78,MATCH($E612,CA!$A$2:$A$78,0)),
"")</f>
        <v>4-A</v>
      </c>
      <c r="J612" s="60">
        <f>_xlfn.IFNA(
INDEX(CA!D$2:D$78,MATCH($E612,CA!$A$2:$A$78,0)),
"")</f>
        <v>4</v>
      </c>
      <c r="K612" s="58" t="str">
        <f>_xlfn.IFNA(
INDEX(CA!E$2:E$78,MATCH($E612,CA!$A$2:$A$78,0)),
"")</f>
        <v>SOUTHWEST</v>
      </c>
      <c r="L612" s="15" t="e">
        <v>#VALUE!</v>
      </c>
      <c r="M612" s="15" t="e">
        <v>#VALUE!</v>
      </c>
      <c r="N612" s="15" t="e">
        <v>#VALUE!</v>
      </c>
      <c r="O612" s="15" t="e">
        <v>#VALUE!</v>
      </c>
      <c r="P612" s="15" t="e">
        <v>#VALUE!</v>
      </c>
      <c r="Q612" s="15" t="e">
        <v>#VALUE!</v>
      </c>
      <c r="R612" s="15" t="e">
        <v>#VALUE!</v>
      </c>
      <c r="S612" s="15" t="e">
        <v>#VALUE!</v>
      </c>
      <c r="T612" s="129">
        <v>0.12515894524793281</v>
      </c>
      <c r="U612" s="130" t="e">
        <f t="shared" si="39"/>
        <v>#VALUE!</v>
      </c>
      <c r="V612" s="129">
        <v>7.6895092758063596E-2</v>
      </c>
      <c r="W612" s="130" t="e">
        <f t="shared" si="36"/>
        <v>#VALUE!</v>
      </c>
      <c r="X612" s="129">
        <v>7.6895092758063596E-2</v>
      </c>
      <c r="Y612" s="130" t="e">
        <f t="shared" si="37"/>
        <v>#VALUE!</v>
      </c>
      <c r="Z612" s="129">
        <v>7.6895092758063596E-2</v>
      </c>
      <c r="AA612" s="130" t="e">
        <f t="shared" si="38"/>
        <v>#VALUE!</v>
      </c>
    </row>
    <row r="613" spans="1:27" x14ac:dyDescent="0.3">
      <c r="A613">
        <v>610400</v>
      </c>
      <c r="B613">
        <v>17031610400</v>
      </c>
      <c r="C613">
        <v>17031</v>
      </c>
      <c r="D613">
        <v>2010</v>
      </c>
      <c r="E613">
        <v>61</v>
      </c>
      <c r="F613">
        <v>1756503.0160889199</v>
      </c>
      <c r="G613" s="43">
        <v>6.3005876093639515E-2</v>
      </c>
      <c r="H613" s="58" t="str">
        <f>_xlfn.IFNA(
INDEX(CA!B$2:B$78,MATCH($E613,CA!$A$2:$A$78,0)),
"")</f>
        <v>NEW CITY</v>
      </c>
      <c r="I613" s="60" t="str">
        <f>_xlfn.IFNA(
INDEX(CA!C$2:C$78,MATCH($E613,CA!$A$2:$A$78,0)),
"")</f>
        <v>4-A</v>
      </c>
      <c r="J613" s="60">
        <f>_xlfn.IFNA(
INDEX(CA!D$2:D$78,MATCH($E613,CA!$A$2:$A$78,0)),
"")</f>
        <v>4</v>
      </c>
      <c r="K613" s="58" t="str">
        <f>_xlfn.IFNA(
INDEX(CA!E$2:E$78,MATCH($E613,CA!$A$2:$A$78,0)),
"")</f>
        <v>SOUTHWEST</v>
      </c>
      <c r="L613" s="15" t="e">
        <v>#VALUE!</v>
      </c>
      <c r="M613" s="15" t="e">
        <v>#VALUE!</v>
      </c>
      <c r="N613" s="15" t="e">
        <v>#VALUE!</v>
      </c>
      <c r="O613" s="15" t="e">
        <v>#VALUE!</v>
      </c>
      <c r="P613" s="15" t="e">
        <v>#VALUE!</v>
      </c>
      <c r="Q613" s="15" t="e">
        <v>#VALUE!</v>
      </c>
      <c r="R613" s="15" t="e">
        <v>#VALUE!</v>
      </c>
      <c r="S613" s="15" t="e">
        <v>#VALUE!</v>
      </c>
      <c r="T613" s="129">
        <v>5.7284851759205335E-2</v>
      </c>
      <c r="U613" s="130" t="e">
        <f t="shared" si="39"/>
        <v>#VALUE!</v>
      </c>
      <c r="V613" s="129">
        <v>0</v>
      </c>
      <c r="W613" s="130" t="e">
        <f t="shared" si="36"/>
        <v>#VALUE!</v>
      </c>
      <c r="X613" s="129">
        <v>0</v>
      </c>
      <c r="Y613" s="130" t="e">
        <f t="shared" si="37"/>
        <v>#VALUE!</v>
      </c>
      <c r="Z613" s="129">
        <v>0</v>
      </c>
      <c r="AA613" s="130" t="e">
        <f t="shared" si="38"/>
        <v>#VALUE!</v>
      </c>
    </row>
    <row r="614" spans="1:27" x14ac:dyDescent="0.3">
      <c r="A614">
        <v>843800</v>
      </c>
      <c r="B614">
        <v>17031843800</v>
      </c>
      <c r="C614">
        <v>17031</v>
      </c>
      <c r="D614">
        <v>2010</v>
      </c>
      <c r="E614">
        <v>61</v>
      </c>
      <c r="F614">
        <v>14002983.359316099</v>
      </c>
      <c r="G614" s="43">
        <v>0.50228791319860899</v>
      </c>
      <c r="H614" s="58" t="str">
        <f>_xlfn.IFNA(
INDEX(CA!B$2:B$78,MATCH($E614,CA!$A$2:$A$78,0)),
"")</f>
        <v>NEW CITY</v>
      </c>
      <c r="I614" s="60" t="str">
        <f>_xlfn.IFNA(
INDEX(CA!C$2:C$78,MATCH($E614,CA!$A$2:$A$78,0)),
"")</f>
        <v>4-A</v>
      </c>
      <c r="J614" s="60">
        <f>_xlfn.IFNA(
INDEX(CA!D$2:D$78,MATCH($E614,CA!$A$2:$A$78,0)),
"")</f>
        <v>4</v>
      </c>
      <c r="K614" s="58" t="str">
        <f>_xlfn.IFNA(
INDEX(CA!E$2:E$78,MATCH($E614,CA!$A$2:$A$78,0)),
"")</f>
        <v>SOUTHWEST</v>
      </c>
      <c r="L614" s="15" t="e">
        <v>#VALUE!</v>
      </c>
      <c r="M614" s="15" t="e">
        <v>#VALUE!</v>
      </c>
      <c r="N614" s="15" t="e">
        <v>#VALUE!</v>
      </c>
      <c r="O614" s="15" t="e">
        <v>#VALUE!</v>
      </c>
      <c r="P614" s="15" t="e">
        <v>#VALUE!</v>
      </c>
      <c r="Q614" s="15" t="e">
        <v>#VALUE!</v>
      </c>
      <c r="R614" s="15" t="e">
        <v>#VALUE!</v>
      </c>
      <c r="S614" s="15" t="e">
        <v>#VALUE!</v>
      </c>
      <c r="T614" s="129">
        <v>0.50134475830080638</v>
      </c>
      <c r="U614" s="130" t="e">
        <f t="shared" si="39"/>
        <v>#VALUE!</v>
      </c>
      <c r="V614" s="129">
        <v>0.50134475830080638</v>
      </c>
      <c r="W614" s="130" t="e">
        <f t="shared" si="36"/>
        <v>#VALUE!</v>
      </c>
      <c r="X614" s="129">
        <v>0.50134475830080638</v>
      </c>
      <c r="Y614" s="130" t="e">
        <f t="shared" si="37"/>
        <v>#VALUE!</v>
      </c>
      <c r="Z614" s="129">
        <v>0.50134475830080638</v>
      </c>
      <c r="AA614" s="130" t="e">
        <f t="shared" si="38"/>
        <v>#VALUE!</v>
      </c>
    </row>
    <row r="615" spans="1:27" x14ac:dyDescent="0.3">
      <c r="A615">
        <v>611800</v>
      </c>
      <c r="B615">
        <v>17031611800</v>
      </c>
      <c r="C615">
        <v>17031</v>
      </c>
      <c r="D615">
        <v>2010</v>
      </c>
      <c r="E615">
        <v>61</v>
      </c>
      <c r="F615">
        <v>3528748.3278138898</v>
      </c>
      <c r="G615" s="43">
        <v>0.1265764293436456</v>
      </c>
      <c r="H615" s="58" t="str">
        <f>_xlfn.IFNA(
INDEX(CA!B$2:B$78,MATCH($E615,CA!$A$2:$A$78,0)),
"")</f>
        <v>NEW CITY</v>
      </c>
      <c r="I615" s="60" t="str">
        <f>_xlfn.IFNA(
INDEX(CA!C$2:C$78,MATCH($E615,CA!$A$2:$A$78,0)),
"")</f>
        <v>4-A</v>
      </c>
      <c r="J615" s="60">
        <f>_xlfn.IFNA(
INDEX(CA!D$2:D$78,MATCH($E615,CA!$A$2:$A$78,0)),
"")</f>
        <v>4</v>
      </c>
      <c r="K615" s="58" t="str">
        <f>_xlfn.IFNA(
INDEX(CA!E$2:E$78,MATCH($E615,CA!$A$2:$A$78,0)),
"")</f>
        <v>SOUTHWEST</v>
      </c>
      <c r="L615" s="15" t="e">
        <v>#VALUE!</v>
      </c>
      <c r="M615" s="15" t="e">
        <v>#VALUE!</v>
      </c>
      <c r="N615" s="15" t="e">
        <v>#VALUE!</v>
      </c>
      <c r="O615" s="15" t="e">
        <v>#VALUE!</v>
      </c>
      <c r="P615" s="15" t="e">
        <v>#VALUE!</v>
      </c>
      <c r="Q615" s="15" t="e">
        <v>#VALUE!</v>
      </c>
      <c r="R615" s="15" t="e">
        <v>#VALUE!</v>
      </c>
      <c r="S615" s="15" t="e">
        <v>#VALUE!</v>
      </c>
      <c r="T615" s="129">
        <v>0.12541569416270984</v>
      </c>
      <c r="U615" s="130" t="e">
        <f t="shared" si="39"/>
        <v>#VALUE!</v>
      </c>
      <c r="V615" s="129">
        <v>0.12541569375132755</v>
      </c>
      <c r="W615" s="130" t="e">
        <f t="shared" si="36"/>
        <v>#VALUE!</v>
      </c>
      <c r="X615" s="129">
        <v>0.12541569375132755</v>
      </c>
      <c r="Y615" s="130" t="e">
        <f t="shared" si="37"/>
        <v>#VALUE!</v>
      </c>
      <c r="Z615" s="129">
        <v>0.12541569375132755</v>
      </c>
      <c r="AA615" s="130" t="e">
        <f t="shared" si="38"/>
        <v>#VALUE!</v>
      </c>
    </row>
    <row r="616" spans="1:27" x14ac:dyDescent="0.3">
      <c r="A616">
        <v>611400</v>
      </c>
      <c r="B616">
        <v>17031611400</v>
      </c>
      <c r="C616">
        <v>17031</v>
      </c>
      <c r="D616">
        <v>2010</v>
      </c>
      <c r="E616">
        <v>61</v>
      </c>
      <c r="F616">
        <v>3515936.3360548601</v>
      </c>
      <c r="G616" s="43">
        <v>0.12611686237570521</v>
      </c>
      <c r="H616" s="58" t="str">
        <f>_xlfn.IFNA(
INDEX(CA!B$2:B$78,MATCH($E616,CA!$A$2:$A$78,0)),
"")</f>
        <v>NEW CITY</v>
      </c>
      <c r="I616" s="60" t="str">
        <f>_xlfn.IFNA(
INDEX(CA!C$2:C$78,MATCH($E616,CA!$A$2:$A$78,0)),
"")</f>
        <v>4-A</v>
      </c>
      <c r="J616" s="60">
        <f>_xlfn.IFNA(
INDEX(CA!D$2:D$78,MATCH($E616,CA!$A$2:$A$78,0)),
"")</f>
        <v>4</v>
      </c>
      <c r="K616" s="58" t="str">
        <f>_xlfn.IFNA(
INDEX(CA!E$2:E$78,MATCH($E616,CA!$A$2:$A$78,0)),
"")</f>
        <v>SOUTHWEST</v>
      </c>
      <c r="L616" s="15" t="e">
        <v>#VALUE!</v>
      </c>
      <c r="M616" s="15" t="e">
        <v>#VALUE!</v>
      </c>
      <c r="N616" s="15" t="e">
        <v>#VALUE!</v>
      </c>
      <c r="O616" s="15" t="e">
        <v>#VALUE!</v>
      </c>
      <c r="P616" s="15" t="e">
        <v>#VALUE!</v>
      </c>
      <c r="Q616" s="15" t="e">
        <v>#VALUE!</v>
      </c>
      <c r="R616" s="15" t="e">
        <v>#VALUE!</v>
      </c>
      <c r="S616" s="15" t="e">
        <v>#VALUE!</v>
      </c>
      <c r="T616" s="129">
        <v>0.12611686326871951</v>
      </c>
      <c r="U616" s="130" t="e">
        <f t="shared" si="39"/>
        <v>#VALUE!</v>
      </c>
      <c r="V616" s="129">
        <v>0.12021036158737086</v>
      </c>
      <c r="W616" s="130" t="e">
        <f t="shared" si="36"/>
        <v>#VALUE!</v>
      </c>
      <c r="X616" s="129">
        <v>0.12021036158737086</v>
      </c>
      <c r="Y616" s="130" t="e">
        <f t="shared" si="37"/>
        <v>#VALUE!</v>
      </c>
      <c r="Z616" s="129">
        <v>0.12021036158737086</v>
      </c>
      <c r="AA616" s="130" t="e">
        <f t="shared" si="38"/>
        <v>#VALUE!</v>
      </c>
    </row>
    <row r="617" spans="1:27" x14ac:dyDescent="0.3">
      <c r="A617">
        <v>611700</v>
      </c>
      <c r="B617">
        <v>17031611700</v>
      </c>
      <c r="C617">
        <v>17031</v>
      </c>
      <c r="D617">
        <v>2010</v>
      </c>
      <c r="E617">
        <v>61</v>
      </c>
      <c r="F617">
        <v>3533876.6205271399</v>
      </c>
      <c r="G617" s="43">
        <v>0.12676038153291222</v>
      </c>
      <c r="H617" s="58" t="str">
        <f>_xlfn.IFNA(
INDEX(CA!B$2:B$78,MATCH($E617,CA!$A$2:$A$78,0)),
"")</f>
        <v>NEW CITY</v>
      </c>
      <c r="I617" s="60" t="str">
        <f>_xlfn.IFNA(
INDEX(CA!C$2:C$78,MATCH($E617,CA!$A$2:$A$78,0)),
"")</f>
        <v>4-A</v>
      </c>
      <c r="J617" s="60">
        <f>_xlfn.IFNA(
INDEX(CA!D$2:D$78,MATCH($E617,CA!$A$2:$A$78,0)),
"")</f>
        <v>4</v>
      </c>
      <c r="K617" s="58" t="str">
        <f>_xlfn.IFNA(
INDEX(CA!E$2:E$78,MATCH($E617,CA!$A$2:$A$78,0)),
"")</f>
        <v>SOUTHWEST</v>
      </c>
      <c r="L617" s="15" t="e">
        <v>#VALUE!</v>
      </c>
      <c r="M617" s="15" t="e">
        <v>#VALUE!</v>
      </c>
      <c r="N617" s="15" t="e">
        <v>#VALUE!</v>
      </c>
      <c r="O617" s="15" t="e">
        <v>#VALUE!</v>
      </c>
      <c r="P617" s="15" t="e">
        <v>#VALUE!</v>
      </c>
      <c r="Q617" s="15" t="e">
        <v>#VALUE!</v>
      </c>
      <c r="R617" s="15" t="e">
        <v>#VALUE!</v>
      </c>
      <c r="S617" s="15" t="e">
        <v>#VALUE!</v>
      </c>
      <c r="T617" s="129">
        <v>0.12676038200379289</v>
      </c>
      <c r="U617" s="130" t="e">
        <f t="shared" si="39"/>
        <v>#VALUE!</v>
      </c>
      <c r="V617" s="129">
        <v>0.12676038200379289</v>
      </c>
      <c r="W617" s="130" t="e">
        <f t="shared" si="36"/>
        <v>#VALUE!</v>
      </c>
      <c r="X617" s="129">
        <v>0.12676038200379289</v>
      </c>
      <c r="Y617" s="130" t="e">
        <f t="shared" si="37"/>
        <v>#VALUE!</v>
      </c>
      <c r="Z617" s="129">
        <v>0.12676038200379289</v>
      </c>
      <c r="AA617" s="130" t="e">
        <f t="shared" si="38"/>
        <v>#VALUE!</v>
      </c>
    </row>
    <row r="618" spans="1:27" x14ac:dyDescent="0.3">
      <c r="A618">
        <v>610800</v>
      </c>
      <c r="B618">
        <v>17031610800</v>
      </c>
      <c r="C618">
        <v>17031</v>
      </c>
      <c r="D618">
        <v>2010</v>
      </c>
      <c r="E618">
        <v>61</v>
      </c>
      <c r="F618">
        <v>3454693.80775803</v>
      </c>
      <c r="G618" s="43">
        <v>0.12392008894907994</v>
      </c>
      <c r="H618" s="58" t="str">
        <f>_xlfn.IFNA(
INDEX(CA!B$2:B$78,MATCH($E618,CA!$A$2:$A$78,0)),
"")</f>
        <v>NEW CITY</v>
      </c>
      <c r="I618" s="60" t="str">
        <f>_xlfn.IFNA(
INDEX(CA!C$2:C$78,MATCH($E618,CA!$A$2:$A$78,0)),
"")</f>
        <v>4-A</v>
      </c>
      <c r="J618" s="60">
        <f>_xlfn.IFNA(
INDEX(CA!D$2:D$78,MATCH($E618,CA!$A$2:$A$78,0)),
"")</f>
        <v>4</v>
      </c>
      <c r="K618" s="58" t="str">
        <f>_xlfn.IFNA(
INDEX(CA!E$2:E$78,MATCH($E618,CA!$A$2:$A$78,0)),
"")</f>
        <v>SOUTHWEST</v>
      </c>
      <c r="L618" s="15" t="e">
        <v>#VALUE!</v>
      </c>
      <c r="M618" s="15" t="e">
        <v>#VALUE!</v>
      </c>
      <c r="N618" s="15" t="e">
        <v>#VALUE!</v>
      </c>
      <c r="O618" s="15" t="e">
        <v>#VALUE!</v>
      </c>
      <c r="P618" s="15" t="e">
        <v>#VALUE!</v>
      </c>
      <c r="Q618" s="15" t="e">
        <v>#VALUE!</v>
      </c>
      <c r="R618" s="15" t="e">
        <v>#VALUE!</v>
      </c>
      <c r="S618" s="15" t="e">
        <v>#VALUE!</v>
      </c>
      <c r="T618" s="129">
        <v>0.12358869602132942</v>
      </c>
      <c r="U618" s="130" t="e">
        <f t="shared" si="39"/>
        <v>#VALUE!</v>
      </c>
      <c r="V618" s="129">
        <v>0.12358869602132942</v>
      </c>
      <c r="W618" s="130" t="e">
        <f t="shared" si="36"/>
        <v>#VALUE!</v>
      </c>
      <c r="X618" s="129">
        <v>0.12358869602132942</v>
      </c>
      <c r="Y618" s="130" t="e">
        <f t="shared" si="37"/>
        <v>#VALUE!</v>
      </c>
      <c r="Z618" s="129">
        <v>0.12358869602132942</v>
      </c>
      <c r="AA618" s="130" t="e">
        <f t="shared" si="38"/>
        <v>#VALUE!</v>
      </c>
    </row>
    <row r="619" spans="1:27" x14ac:dyDescent="0.3">
      <c r="A619">
        <v>611200</v>
      </c>
      <c r="B619">
        <v>17031611200</v>
      </c>
      <c r="C619">
        <v>17031</v>
      </c>
      <c r="D619">
        <v>2010</v>
      </c>
      <c r="E619">
        <v>61</v>
      </c>
      <c r="F619">
        <v>3520954.8481577002</v>
      </c>
      <c r="G619" s="43">
        <v>0.12629687672741979</v>
      </c>
      <c r="H619" s="58" t="str">
        <f>_xlfn.IFNA(
INDEX(CA!B$2:B$78,MATCH($E619,CA!$A$2:$A$78,0)),
"")</f>
        <v>NEW CITY</v>
      </c>
      <c r="I619" s="60" t="str">
        <f>_xlfn.IFNA(
INDEX(CA!C$2:C$78,MATCH($E619,CA!$A$2:$A$78,0)),
"")</f>
        <v>4-A</v>
      </c>
      <c r="J619" s="60">
        <f>_xlfn.IFNA(
INDEX(CA!D$2:D$78,MATCH($E619,CA!$A$2:$A$78,0)),
"")</f>
        <v>4</v>
      </c>
      <c r="K619" s="58" t="str">
        <f>_xlfn.IFNA(
INDEX(CA!E$2:E$78,MATCH($E619,CA!$A$2:$A$78,0)),
"")</f>
        <v>SOUTHWEST</v>
      </c>
      <c r="L619" s="15" t="e">
        <v>#VALUE!</v>
      </c>
      <c r="M619" s="15" t="e">
        <v>#VALUE!</v>
      </c>
      <c r="N619" s="15" t="e">
        <v>#VALUE!</v>
      </c>
      <c r="O619" s="15" t="e">
        <v>#VALUE!</v>
      </c>
      <c r="P619" s="15" t="e">
        <v>#VALUE!</v>
      </c>
      <c r="Q619" s="15" t="e">
        <v>#VALUE!</v>
      </c>
      <c r="R619" s="15" t="e">
        <v>#VALUE!</v>
      </c>
      <c r="S619" s="15" t="e">
        <v>#VALUE!</v>
      </c>
      <c r="T619" s="129">
        <v>0.12527163084308532</v>
      </c>
      <c r="U619" s="130" t="e">
        <f t="shared" si="39"/>
        <v>#VALUE!</v>
      </c>
      <c r="V619" s="129">
        <v>0.12527163084308532</v>
      </c>
      <c r="W619" s="130" t="e">
        <f t="shared" si="36"/>
        <v>#VALUE!</v>
      </c>
      <c r="X619" s="129">
        <v>0.12527163084308532</v>
      </c>
      <c r="Y619" s="130" t="e">
        <f t="shared" si="37"/>
        <v>#VALUE!</v>
      </c>
      <c r="Z619" s="129">
        <v>0.12527163084308532</v>
      </c>
      <c r="AA619" s="130" t="e">
        <f t="shared" si="38"/>
        <v>#VALUE!</v>
      </c>
    </row>
    <row r="620" spans="1:27" x14ac:dyDescent="0.3">
      <c r="A620">
        <v>611600</v>
      </c>
      <c r="B620">
        <v>17031611600</v>
      </c>
      <c r="C620">
        <v>17031</v>
      </c>
      <c r="D620">
        <v>2010</v>
      </c>
      <c r="E620">
        <v>61</v>
      </c>
      <c r="F620">
        <v>3563051.4662977299</v>
      </c>
      <c r="G620" s="43">
        <v>0.12780688512603772</v>
      </c>
      <c r="H620" s="58" t="str">
        <f>_xlfn.IFNA(
INDEX(CA!B$2:B$78,MATCH($E620,CA!$A$2:$A$78,0)),
"")</f>
        <v>NEW CITY</v>
      </c>
      <c r="I620" s="60" t="str">
        <f>_xlfn.IFNA(
INDEX(CA!C$2:C$78,MATCH($E620,CA!$A$2:$A$78,0)),
"")</f>
        <v>4-A</v>
      </c>
      <c r="J620" s="60">
        <f>_xlfn.IFNA(
INDEX(CA!D$2:D$78,MATCH($E620,CA!$A$2:$A$78,0)),
"")</f>
        <v>4</v>
      </c>
      <c r="K620" s="58" t="str">
        <f>_xlfn.IFNA(
INDEX(CA!E$2:E$78,MATCH($E620,CA!$A$2:$A$78,0)),
"")</f>
        <v>SOUTHWEST</v>
      </c>
      <c r="L620" s="15" t="e">
        <v>#VALUE!</v>
      </c>
      <c r="M620" s="15" t="e">
        <v>#VALUE!</v>
      </c>
      <c r="N620" s="15" t="e">
        <v>#VALUE!</v>
      </c>
      <c r="O620" s="15" t="e">
        <v>#VALUE!</v>
      </c>
      <c r="P620" s="15" t="e">
        <v>#VALUE!</v>
      </c>
      <c r="Q620" s="15" t="e">
        <v>#VALUE!</v>
      </c>
      <c r="R620" s="15" t="e">
        <v>#VALUE!</v>
      </c>
      <c r="S620" s="15" t="e">
        <v>#VALUE!</v>
      </c>
      <c r="T620" s="129">
        <v>0.12780688441497753</v>
      </c>
      <c r="U620" s="130" t="e">
        <f t="shared" si="39"/>
        <v>#VALUE!</v>
      </c>
      <c r="V620" s="129">
        <v>0.12780688441497753</v>
      </c>
      <c r="W620" s="130" t="e">
        <f t="shared" si="36"/>
        <v>#VALUE!</v>
      </c>
      <c r="X620" s="129">
        <v>0.12780688441497753</v>
      </c>
      <c r="Y620" s="130" t="e">
        <f t="shared" si="37"/>
        <v>#VALUE!</v>
      </c>
      <c r="Z620" s="129">
        <v>0.12780688441497753</v>
      </c>
      <c r="AA620" s="130" t="e">
        <f t="shared" si="38"/>
        <v>#VALUE!</v>
      </c>
    </row>
    <row r="621" spans="1:27" x14ac:dyDescent="0.3">
      <c r="A621">
        <v>612000</v>
      </c>
      <c r="B621">
        <v>17031612000</v>
      </c>
      <c r="C621">
        <v>17031</v>
      </c>
      <c r="D621">
        <v>2010</v>
      </c>
      <c r="E621">
        <v>61</v>
      </c>
      <c r="F621">
        <v>3508567.1670387699</v>
      </c>
      <c r="G621" s="43">
        <v>0.12585252980941408</v>
      </c>
      <c r="H621" s="58" t="str">
        <f>_xlfn.IFNA(
INDEX(CA!B$2:B$78,MATCH($E621,CA!$A$2:$A$78,0)),
"")</f>
        <v>NEW CITY</v>
      </c>
      <c r="I621" s="60" t="str">
        <f>_xlfn.IFNA(
INDEX(CA!C$2:C$78,MATCH($E621,CA!$A$2:$A$78,0)),
"")</f>
        <v>4-A</v>
      </c>
      <c r="J621" s="60">
        <f>_xlfn.IFNA(
INDEX(CA!D$2:D$78,MATCH($E621,CA!$A$2:$A$78,0)),
"")</f>
        <v>4</v>
      </c>
      <c r="K621" s="58" t="str">
        <f>_xlfn.IFNA(
INDEX(CA!E$2:E$78,MATCH($E621,CA!$A$2:$A$78,0)),
"")</f>
        <v>SOUTHWEST</v>
      </c>
      <c r="L621" s="15" t="e">
        <v>#VALUE!</v>
      </c>
      <c r="M621" s="15" t="e">
        <v>#VALUE!</v>
      </c>
      <c r="N621" s="15" t="e">
        <v>#VALUE!</v>
      </c>
      <c r="O621" s="15" t="e">
        <v>#VALUE!</v>
      </c>
      <c r="P621" s="15" t="e">
        <v>#VALUE!</v>
      </c>
      <c r="Q621" s="15" t="e">
        <v>#VALUE!</v>
      </c>
      <c r="R621" s="15" t="e">
        <v>#VALUE!</v>
      </c>
      <c r="S621" s="15" t="e">
        <v>#VALUE!</v>
      </c>
      <c r="T621" s="129">
        <v>0.12585252696865962</v>
      </c>
      <c r="U621" s="130" t="e">
        <f t="shared" si="39"/>
        <v>#VALUE!</v>
      </c>
      <c r="V621" s="129">
        <v>0.12585252696865962</v>
      </c>
      <c r="W621" s="130" t="e">
        <f t="shared" si="36"/>
        <v>#VALUE!</v>
      </c>
      <c r="X621" s="129">
        <v>0.12585252696865962</v>
      </c>
      <c r="Y621" s="130" t="e">
        <f t="shared" si="37"/>
        <v>#VALUE!</v>
      </c>
      <c r="Z621" s="129">
        <v>0.12585252696865962</v>
      </c>
      <c r="AA621" s="130" t="e">
        <f t="shared" si="38"/>
        <v>#VALUE!</v>
      </c>
    </row>
    <row r="622" spans="1:27" x14ac:dyDescent="0.3">
      <c r="A622">
        <v>620100</v>
      </c>
      <c r="B622">
        <v>17031620100</v>
      </c>
      <c r="C622">
        <v>17031</v>
      </c>
      <c r="D622">
        <v>2010</v>
      </c>
      <c r="E622">
        <v>62</v>
      </c>
      <c r="F622">
        <v>8927330.8128133602</v>
      </c>
      <c r="G622" s="43">
        <v>0.32022393009689798</v>
      </c>
      <c r="H622" s="58" t="str">
        <f>_xlfn.IFNA(
INDEX(CA!B$2:B$78,MATCH($E622,CA!$A$2:$A$78,0)),
"")</f>
        <v>WEST ELSDON</v>
      </c>
      <c r="I622" s="60" t="str">
        <f>_xlfn.IFNA(
INDEX(CA!C$2:C$78,MATCH($E622,CA!$A$2:$A$78,0)),
"")</f>
        <v>4-B</v>
      </c>
      <c r="J622" s="60">
        <f>_xlfn.IFNA(
INDEX(CA!D$2:D$78,MATCH($E622,CA!$A$2:$A$78,0)),
"")</f>
        <v>4</v>
      </c>
      <c r="K622" s="58" t="str">
        <f>_xlfn.IFNA(
INDEX(CA!E$2:E$78,MATCH($E622,CA!$A$2:$A$78,0)),
"")</f>
        <v>SOUTHWEST</v>
      </c>
      <c r="L622" s="15" t="e">
        <v>#VALUE!</v>
      </c>
      <c r="M622" s="15" t="e">
        <v>#VALUE!</v>
      </c>
      <c r="N622" s="15" t="e">
        <v>#VALUE!</v>
      </c>
      <c r="O622" s="15" t="e">
        <v>#VALUE!</v>
      </c>
      <c r="P622" s="15" t="e">
        <v>#VALUE!</v>
      </c>
      <c r="Q622" s="15" t="e">
        <v>#VALUE!</v>
      </c>
      <c r="R622" s="15" t="e">
        <v>#VALUE!</v>
      </c>
      <c r="S622" s="15" t="e">
        <v>#VALUE!</v>
      </c>
      <c r="T622" s="129">
        <v>0</v>
      </c>
      <c r="U622" s="130" t="e">
        <f t="shared" si="39"/>
        <v>#VALUE!</v>
      </c>
      <c r="V622" s="129">
        <v>0</v>
      </c>
      <c r="W622" s="130" t="e">
        <f t="shared" si="36"/>
        <v>#VALUE!</v>
      </c>
      <c r="X622" s="129">
        <v>0</v>
      </c>
      <c r="Y622" s="130" t="e">
        <f t="shared" si="37"/>
        <v>#VALUE!</v>
      </c>
      <c r="Z622" s="129">
        <v>0</v>
      </c>
      <c r="AA622" s="130" t="e">
        <f t="shared" si="38"/>
        <v>#VALUE!</v>
      </c>
    </row>
    <row r="623" spans="1:27" x14ac:dyDescent="0.3">
      <c r="A623">
        <v>620200</v>
      </c>
      <c r="B623">
        <v>17031620200</v>
      </c>
      <c r="C623">
        <v>17031</v>
      </c>
      <c r="D623">
        <v>2010</v>
      </c>
      <c r="E623">
        <v>62</v>
      </c>
      <c r="F623">
        <v>6181557.6119186003</v>
      </c>
      <c r="G623" s="43">
        <v>0.22173286888482124</v>
      </c>
      <c r="H623" s="58" t="str">
        <f>_xlfn.IFNA(
INDEX(CA!B$2:B$78,MATCH($E623,CA!$A$2:$A$78,0)),
"")</f>
        <v>WEST ELSDON</v>
      </c>
      <c r="I623" s="60" t="str">
        <f>_xlfn.IFNA(
INDEX(CA!C$2:C$78,MATCH($E623,CA!$A$2:$A$78,0)),
"")</f>
        <v>4-B</v>
      </c>
      <c r="J623" s="60">
        <f>_xlfn.IFNA(
INDEX(CA!D$2:D$78,MATCH($E623,CA!$A$2:$A$78,0)),
"")</f>
        <v>4</v>
      </c>
      <c r="K623" s="58" t="str">
        <f>_xlfn.IFNA(
INDEX(CA!E$2:E$78,MATCH($E623,CA!$A$2:$A$78,0)),
"")</f>
        <v>SOUTHWEST</v>
      </c>
      <c r="L623" s="15" t="e">
        <v>#VALUE!</v>
      </c>
      <c r="M623" s="15" t="e">
        <v>#VALUE!</v>
      </c>
      <c r="N623" s="15" t="e">
        <v>#VALUE!</v>
      </c>
      <c r="O623" s="15" t="e">
        <v>#VALUE!</v>
      </c>
      <c r="P623" s="15" t="e">
        <v>#VALUE!</v>
      </c>
      <c r="Q623" s="15" t="e">
        <v>#VALUE!</v>
      </c>
      <c r="R623" s="15" t="e">
        <v>#VALUE!</v>
      </c>
      <c r="S623" s="15" t="e">
        <v>#VALUE!</v>
      </c>
      <c r="T623" s="129">
        <v>0</v>
      </c>
      <c r="U623" s="130" t="e">
        <f t="shared" si="39"/>
        <v>#VALUE!</v>
      </c>
      <c r="V623" s="129">
        <v>0</v>
      </c>
      <c r="W623" s="130" t="e">
        <f t="shared" si="36"/>
        <v>#VALUE!</v>
      </c>
      <c r="X623" s="129">
        <v>0</v>
      </c>
      <c r="Y623" s="130" t="e">
        <f t="shared" si="37"/>
        <v>#VALUE!</v>
      </c>
      <c r="Z623" s="129">
        <v>0</v>
      </c>
      <c r="AA623" s="130" t="e">
        <f t="shared" si="38"/>
        <v>#VALUE!</v>
      </c>
    </row>
    <row r="624" spans="1:27" x14ac:dyDescent="0.3">
      <c r="A624">
        <v>620400</v>
      </c>
      <c r="B624">
        <v>17031620400</v>
      </c>
      <c r="C624">
        <v>17031</v>
      </c>
      <c r="D624">
        <v>2010</v>
      </c>
      <c r="E624">
        <v>62</v>
      </c>
      <c r="F624">
        <v>6989956.6721023703</v>
      </c>
      <c r="G624" s="43">
        <v>0.25073019513682171</v>
      </c>
      <c r="H624" s="58" t="str">
        <f>_xlfn.IFNA(
INDEX(CA!B$2:B$78,MATCH($E624,CA!$A$2:$A$78,0)),
"")</f>
        <v>WEST ELSDON</v>
      </c>
      <c r="I624" s="60" t="str">
        <f>_xlfn.IFNA(
INDEX(CA!C$2:C$78,MATCH($E624,CA!$A$2:$A$78,0)),
"")</f>
        <v>4-B</v>
      </c>
      <c r="J624" s="60">
        <f>_xlfn.IFNA(
INDEX(CA!D$2:D$78,MATCH($E624,CA!$A$2:$A$78,0)),
"")</f>
        <v>4</v>
      </c>
      <c r="K624" s="58" t="str">
        <f>_xlfn.IFNA(
INDEX(CA!E$2:E$78,MATCH($E624,CA!$A$2:$A$78,0)),
"")</f>
        <v>SOUTHWEST</v>
      </c>
      <c r="L624" s="15" t="e">
        <v>#VALUE!</v>
      </c>
      <c r="M624" s="15" t="e">
        <v>#VALUE!</v>
      </c>
      <c r="N624" s="15" t="e">
        <v>#VALUE!</v>
      </c>
      <c r="O624" s="15" t="e">
        <v>#VALUE!</v>
      </c>
      <c r="P624" s="15" t="e">
        <v>#VALUE!</v>
      </c>
      <c r="Q624" s="15" t="e">
        <v>#VALUE!</v>
      </c>
      <c r="R624" s="15" t="e">
        <v>#VALUE!</v>
      </c>
      <c r="S624" s="15" t="e">
        <v>#VALUE!</v>
      </c>
      <c r="T624" s="129">
        <v>0.25004355146666163</v>
      </c>
      <c r="U624" s="130" t="e">
        <f t="shared" si="39"/>
        <v>#VALUE!</v>
      </c>
      <c r="V624" s="129">
        <v>0</v>
      </c>
      <c r="W624" s="130" t="e">
        <f t="shared" si="36"/>
        <v>#VALUE!</v>
      </c>
      <c r="X624" s="129">
        <v>0</v>
      </c>
      <c r="Y624" s="130" t="e">
        <f t="shared" si="37"/>
        <v>#VALUE!</v>
      </c>
      <c r="Z624" s="129">
        <v>0</v>
      </c>
      <c r="AA624" s="130" t="e">
        <f t="shared" si="38"/>
        <v>#VALUE!</v>
      </c>
    </row>
    <row r="625" spans="1:27" x14ac:dyDescent="0.3">
      <c r="A625">
        <v>620300</v>
      </c>
      <c r="B625">
        <v>17031620300</v>
      </c>
      <c r="C625">
        <v>17031</v>
      </c>
      <c r="D625">
        <v>2010</v>
      </c>
      <c r="E625">
        <v>62</v>
      </c>
      <c r="F625">
        <v>10612246.329075901</v>
      </c>
      <c r="G625" s="43">
        <v>0.38066195797018126</v>
      </c>
      <c r="H625" s="58" t="str">
        <f>_xlfn.IFNA(
INDEX(CA!B$2:B$78,MATCH($E625,CA!$A$2:$A$78,0)),
"")</f>
        <v>WEST ELSDON</v>
      </c>
      <c r="I625" s="60" t="str">
        <f>_xlfn.IFNA(
INDEX(CA!C$2:C$78,MATCH($E625,CA!$A$2:$A$78,0)),
"")</f>
        <v>4-B</v>
      </c>
      <c r="J625" s="60">
        <f>_xlfn.IFNA(
INDEX(CA!D$2:D$78,MATCH($E625,CA!$A$2:$A$78,0)),
"")</f>
        <v>4</v>
      </c>
      <c r="K625" s="58" t="str">
        <f>_xlfn.IFNA(
INDEX(CA!E$2:E$78,MATCH($E625,CA!$A$2:$A$78,0)),
"")</f>
        <v>SOUTHWEST</v>
      </c>
      <c r="L625" s="15" t="e">
        <v>#VALUE!</v>
      </c>
      <c r="M625" s="15" t="e">
        <v>#VALUE!</v>
      </c>
      <c r="N625" s="15" t="e">
        <v>#VALUE!</v>
      </c>
      <c r="O625" s="15" t="e">
        <v>#VALUE!</v>
      </c>
      <c r="P625" s="15" t="e">
        <v>#VALUE!</v>
      </c>
      <c r="Q625" s="15" t="e">
        <v>#VALUE!</v>
      </c>
      <c r="R625" s="15" t="e">
        <v>#VALUE!</v>
      </c>
      <c r="S625" s="15" t="e">
        <v>#VALUE!</v>
      </c>
      <c r="T625" s="129">
        <v>0.37880351075926882</v>
      </c>
      <c r="U625" s="130" t="e">
        <f t="shared" si="39"/>
        <v>#VALUE!</v>
      </c>
      <c r="V625" s="129">
        <v>0</v>
      </c>
      <c r="W625" s="130" t="e">
        <f t="shared" si="36"/>
        <v>#VALUE!</v>
      </c>
      <c r="X625" s="129">
        <v>0</v>
      </c>
      <c r="Y625" s="130" t="e">
        <f t="shared" si="37"/>
        <v>#VALUE!</v>
      </c>
      <c r="Z625" s="129">
        <v>0</v>
      </c>
      <c r="AA625" s="130" t="e">
        <f t="shared" si="38"/>
        <v>#VALUE!</v>
      </c>
    </row>
    <row r="626" spans="1:27" x14ac:dyDescent="0.3">
      <c r="A626">
        <v>630200</v>
      </c>
      <c r="B626">
        <v>17031630200</v>
      </c>
      <c r="C626">
        <v>17031</v>
      </c>
      <c r="D626">
        <v>2010</v>
      </c>
      <c r="E626">
        <v>63</v>
      </c>
      <c r="F626">
        <v>6868114.70026395</v>
      </c>
      <c r="G626" s="43">
        <v>0.24635971577507856</v>
      </c>
      <c r="H626" s="58" t="str">
        <f>_xlfn.IFNA(
INDEX(CA!B$2:B$78,MATCH($E626,CA!$A$2:$A$78,0)),
"")</f>
        <v>GAGE PARK</v>
      </c>
      <c r="I626" s="60" t="str">
        <f>_xlfn.IFNA(
INDEX(CA!C$2:C$78,MATCH($E626,CA!$A$2:$A$78,0)),
"")</f>
        <v>4-B</v>
      </c>
      <c r="J626" s="60">
        <f>_xlfn.IFNA(
INDEX(CA!D$2:D$78,MATCH($E626,CA!$A$2:$A$78,0)),
"")</f>
        <v>4</v>
      </c>
      <c r="K626" s="58" t="str">
        <f>_xlfn.IFNA(
INDEX(CA!E$2:E$78,MATCH($E626,CA!$A$2:$A$78,0)),
"")</f>
        <v>SOUTHWEST</v>
      </c>
      <c r="L626" s="15" t="e">
        <v>#VALUE!</v>
      </c>
      <c r="M626" s="15" t="e">
        <v>#VALUE!</v>
      </c>
      <c r="N626" s="15" t="e">
        <v>#VALUE!</v>
      </c>
      <c r="O626" s="15" t="e">
        <v>#VALUE!</v>
      </c>
      <c r="P626" s="15" t="e">
        <v>#VALUE!</v>
      </c>
      <c r="Q626" s="15" t="e">
        <v>#VALUE!</v>
      </c>
      <c r="R626" s="15" t="e">
        <v>#VALUE!</v>
      </c>
      <c r="S626" s="15" t="e">
        <v>#VALUE!</v>
      </c>
      <c r="T626" s="129">
        <v>0</v>
      </c>
      <c r="U626" s="130" t="e">
        <f t="shared" si="39"/>
        <v>#VALUE!</v>
      </c>
      <c r="V626" s="129">
        <v>0</v>
      </c>
      <c r="W626" s="130" t="e">
        <f t="shared" si="36"/>
        <v>#VALUE!</v>
      </c>
      <c r="X626" s="129">
        <v>0</v>
      </c>
      <c r="Y626" s="130" t="e">
        <f t="shared" si="37"/>
        <v>#VALUE!</v>
      </c>
      <c r="Z626" s="129">
        <v>0</v>
      </c>
      <c r="AA626" s="130" t="e">
        <f t="shared" si="38"/>
        <v>#VALUE!</v>
      </c>
    </row>
    <row r="627" spans="1:27" x14ac:dyDescent="0.3">
      <c r="A627">
        <v>630300</v>
      </c>
      <c r="B627">
        <v>17031630300</v>
      </c>
      <c r="C627">
        <v>17031</v>
      </c>
      <c r="D627">
        <v>2010</v>
      </c>
      <c r="E627">
        <v>63</v>
      </c>
      <c r="F627">
        <v>10493769.1657323</v>
      </c>
      <c r="G627" s="43">
        <v>0.37641217450543429</v>
      </c>
      <c r="H627" s="58" t="str">
        <f>_xlfn.IFNA(
INDEX(CA!B$2:B$78,MATCH($E627,CA!$A$2:$A$78,0)),
"")</f>
        <v>GAGE PARK</v>
      </c>
      <c r="I627" s="60" t="str">
        <f>_xlfn.IFNA(
INDEX(CA!C$2:C$78,MATCH($E627,CA!$A$2:$A$78,0)),
"")</f>
        <v>4-B</v>
      </c>
      <c r="J627" s="60">
        <f>_xlfn.IFNA(
INDEX(CA!D$2:D$78,MATCH($E627,CA!$A$2:$A$78,0)),
"")</f>
        <v>4</v>
      </c>
      <c r="K627" s="58" t="str">
        <f>_xlfn.IFNA(
INDEX(CA!E$2:E$78,MATCH($E627,CA!$A$2:$A$78,0)),
"")</f>
        <v>SOUTHWEST</v>
      </c>
      <c r="L627" s="15" t="e">
        <v>#VALUE!</v>
      </c>
      <c r="M627" s="15" t="e">
        <v>#VALUE!</v>
      </c>
      <c r="N627" s="15" t="e">
        <v>#VALUE!</v>
      </c>
      <c r="O627" s="15" t="e">
        <v>#VALUE!</v>
      </c>
      <c r="P627" s="15" t="e">
        <v>#VALUE!</v>
      </c>
      <c r="Q627" s="15" t="e">
        <v>#VALUE!</v>
      </c>
      <c r="R627" s="15" t="e">
        <v>#VALUE!</v>
      </c>
      <c r="S627" s="15" t="e">
        <v>#VALUE!</v>
      </c>
      <c r="T627" s="129">
        <v>0</v>
      </c>
      <c r="U627" s="130" t="e">
        <f t="shared" si="39"/>
        <v>#VALUE!</v>
      </c>
      <c r="V627" s="129">
        <v>0</v>
      </c>
      <c r="W627" s="130" t="e">
        <f t="shared" si="36"/>
        <v>#VALUE!</v>
      </c>
      <c r="X627" s="129">
        <v>0</v>
      </c>
      <c r="Y627" s="130" t="e">
        <f t="shared" si="37"/>
        <v>#VALUE!</v>
      </c>
      <c r="Z627" s="129">
        <v>0</v>
      </c>
      <c r="AA627" s="130" t="e">
        <f t="shared" si="38"/>
        <v>#VALUE!</v>
      </c>
    </row>
    <row r="628" spans="1:27" x14ac:dyDescent="0.3">
      <c r="A628">
        <v>630500</v>
      </c>
      <c r="B628">
        <v>17031630500</v>
      </c>
      <c r="C628">
        <v>17031</v>
      </c>
      <c r="D628">
        <v>2010</v>
      </c>
      <c r="E628">
        <v>63</v>
      </c>
      <c r="F628">
        <v>7079980.7363446299</v>
      </c>
      <c r="G628" s="43">
        <v>0.25395936410786235</v>
      </c>
      <c r="H628" s="58" t="str">
        <f>_xlfn.IFNA(
INDEX(CA!B$2:B$78,MATCH($E628,CA!$A$2:$A$78,0)),
"")</f>
        <v>GAGE PARK</v>
      </c>
      <c r="I628" s="60" t="str">
        <f>_xlfn.IFNA(
INDEX(CA!C$2:C$78,MATCH($E628,CA!$A$2:$A$78,0)),
"")</f>
        <v>4-B</v>
      </c>
      <c r="J628" s="60">
        <f>_xlfn.IFNA(
INDEX(CA!D$2:D$78,MATCH($E628,CA!$A$2:$A$78,0)),
"")</f>
        <v>4</v>
      </c>
      <c r="K628" s="58" t="str">
        <f>_xlfn.IFNA(
INDEX(CA!E$2:E$78,MATCH($E628,CA!$A$2:$A$78,0)),
"")</f>
        <v>SOUTHWEST</v>
      </c>
      <c r="L628" s="15" t="e">
        <v>#VALUE!</v>
      </c>
      <c r="M628" s="15" t="e">
        <v>#VALUE!</v>
      </c>
      <c r="N628" s="15" t="e">
        <v>#VALUE!</v>
      </c>
      <c r="O628" s="15" t="e">
        <v>#VALUE!</v>
      </c>
      <c r="P628" s="15" t="e">
        <v>#VALUE!</v>
      </c>
      <c r="Q628" s="15" t="e">
        <v>#VALUE!</v>
      </c>
      <c r="R628" s="15" t="e">
        <v>#VALUE!</v>
      </c>
      <c r="S628" s="15" t="e">
        <v>#VALUE!</v>
      </c>
      <c r="T628" s="129">
        <v>0</v>
      </c>
      <c r="U628" s="130" t="e">
        <f t="shared" si="39"/>
        <v>#VALUE!</v>
      </c>
      <c r="V628" s="129">
        <v>0</v>
      </c>
      <c r="W628" s="130" t="e">
        <f t="shared" si="36"/>
        <v>#VALUE!</v>
      </c>
      <c r="X628" s="129">
        <v>0</v>
      </c>
      <c r="Y628" s="130" t="e">
        <f t="shared" si="37"/>
        <v>#VALUE!</v>
      </c>
      <c r="Z628" s="129">
        <v>0</v>
      </c>
      <c r="AA628" s="130" t="e">
        <f t="shared" si="38"/>
        <v>#VALUE!</v>
      </c>
    </row>
    <row r="629" spans="1:27" x14ac:dyDescent="0.3">
      <c r="A629">
        <v>630900</v>
      </c>
      <c r="B629">
        <v>17031630900</v>
      </c>
      <c r="C629">
        <v>17031</v>
      </c>
      <c r="D629">
        <v>2010</v>
      </c>
      <c r="E629">
        <v>63</v>
      </c>
      <c r="F629">
        <v>7175417.3609449901</v>
      </c>
      <c r="G629" s="43">
        <v>0.25738268196686287</v>
      </c>
      <c r="H629" s="58" t="str">
        <f>_xlfn.IFNA(
INDEX(CA!B$2:B$78,MATCH($E629,CA!$A$2:$A$78,0)),
"")</f>
        <v>GAGE PARK</v>
      </c>
      <c r="I629" s="60" t="str">
        <f>_xlfn.IFNA(
INDEX(CA!C$2:C$78,MATCH($E629,CA!$A$2:$A$78,0)),
"")</f>
        <v>4-B</v>
      </c>
      <c r="J629" s="60">
        <f>_xlfn.IFNA(
INDEX(CA!D$2:D$78,MATCH($E629,CA!$A$2:$A$78,0)),
"")</f>
        <v>4</v>
      </c>
      <c r="K629" s="58" t="str">
        <f>_xlfn.IFNA(
INDEX(CA!E$2:E$78,MATCH($E629,CA!$A$2:$A$78,0)),
"")</f>
        <v>SOUTHWEST</v>
      </c>
      <c r="L629" s="15" t="e">
        <v>#VALUE!</v>
      </c>
      <c r="M629" s="15" t="e">
        <v>#VALUE!</v>
      </c>
      <c r="N629" s="15" t="e">
        <v>#VALUE!</v>
      </c>
      <c r="O629" s="15" t="e">
        <v>#VALUE!</v>
      </c>
      <c r="P629" s="15" t="e">
        <v>#VALUE!</v>
      </c>
      <c r="Q629" s="15" t="e">
        <v>#VALUE!</v>
      </c>
      <c r="R629" s="15" t="e">
        <v>#VALUE!</v>
      </c>
      <c r="S629" s="15" t="e">
        <v>#VALUE!</v>
      </c>
      <c r="T629" s="129">
        <v>0.25643569748652828</v>
      </c>
      <c r="U629" s="130" t="e">
        <f t="shared" si="39"/>
        <v>#VALUE!</v>
      </c>
      <c r="V629" s="129">
        <v>0</v>
      </c>
      <c r="W629" s="130" t="e">
        <f t="shared" si="36"/>
        <v>#VALUE!</v>
      </c>
      <c r="X629" s="129">
        <v>0</v>
      </c>
      <c r="Y629" s="130" t="e">
        <f t="shared" si="37"/>
        <v>#VALUE!</v>
      </c>
      <c r="Z629" s="129">
        <v>0</v>
      </c>
      <c r="AA629" s="130" t="e">
        <f t="shared" si="38"/>
        <v>#VALUE!</v>
      </c>
    </row>
    <row r="630" spans="1:27" x14ac:dyDescent="0.3">
      <c r="A630">
        <v>630800</v>
      </c>
      <c r="B630">
        <v>17031630800</v>
      </c>
      <c r="C630">
        <v>17031</v>
      </c>
      <c r="D630">
        <v>2010</v>
      </c>
      <c r="E630">
        <v>63</v>
      </c>
      <c r="F630">
        <v>7059126.4841697002</v>
      </c>
      <c r="G630" s="43">
        <v>0.25321132074185393</v>
      </c>
      <c r="H630" s="58" t="str">
        <f>_xlfn.IFNA(
INDEX(CA!B$2:B$78,MATCH($E630,CA!$A$2:$A$78,0)),
"")</f>
        <v>GAGE PARK</v>
      </c>
      <c r="I630" s="60" t="str">
        <f>_xlfn.IFNA(
INDEX(CA!C$2:C$78,MATCH($E630,CA!$A$2:$A$78,0)),
"")</f>
        <v>4-B</v>
      </c>
      <c r="J630" s="60">
        <f>_xlfn.IFNA(
INDEX(CA!D$2:D$78,MATCH($E630,CA!$A$2:$A$78,0)),
"")</f>
        <v>4</v>
      </c>
      <c r="K630" s="58" t="str">
        <f>_xlfn.IFNA(
INDEX(CA!E$2:E$78,MATCH($E630,CA!$A$2:$A$78,0)),
"")</f>
        <v>SOUTHWEST</v>
      </c>
      <c r="L630" s="15" t="e">
        <v>#VALUE!</v>
      </c>
      <c r="M630" s="15" t="e">
        <v>#VALUE!</v>
      </c>
      <c r="N630" s="15" t="e">
        <v>#VALUE!</v>
      </c>
      <c r="O630" s="15" t="e">
        <v>#VALUE!</v>
      </c>
      <c r="P630" s="15" t="e">
        <v>#VALUE!</v>
      </c>
      <c r="Q630" s="15" t="e">
        <v>#VALUE!</v>
      </c>
      <c r="R630" s="15" t="e">
        <v>#VALUE!</v>
      </c>
      <c r="S630" s="15" t="e">
        <v>#VALUE!</v>
      </c>
      <c r="T630" s="129">
        <v>0.25202038200214466</v>
      </c>
      <c r="U630" s="130" t="e">
        <f t="shared" si="39"/>
        <v>#VALUE!</v>
      </c>
      <c r="V630" s="129">
        <v>0</v>
      </c>
      <c r="W630" s="130" t="e">
        <f t="shared" si="36"/>
        <v>#VALUE!</v>
      </c>
      <c r="X630" s="129">
        <v>0</v>
      </c>
      <c r="Y630" s="130" t="e">
        <f t="shared" si="37"/>
        <v>#VALUE!</v>
      </c>
      <c r="Z630" s="129">
        <v>0</v>
      </c>
      <c r="AA630" s="130" t="e">
        <f t="shared" si="38"/>
        <v>#VALUE!</v>
      </c>
    </row>
    <row r="631" spans="1:27" x14ac:dyDescent="0.3">
      <c r="A631">
        <v>630100</v>
      </c>
      <c r="B631">
        <v>17031630100</v>
      </c>
      <c r="C631">
        <v>17031</v>
      </c>
      <c r="D631">
        <v>2010</v>
      </c>
      <c r="E631">
        <v>63</v>
      </c>
      <c r="F631">
        <v>5251670.3429558696</v>
      </c>
      <c r="G631" s="43">
        <v>0.18837775277476002</v>
      </c>
      <c r="H631" s="58" t="str">
        <f>_xlfn.IFNA(
INDEX(CA!B$2:B$78,MATCH($E631,CA!$A$2:$A$78,0)),
"")</f>
        <v>GAGE PARK</v>
      </c>
      <c r="I631" s="60" t="str">
        <f>_xlfn.IFNA(
INDEX(CA!C$2:C$78,MATCH($E631,CA!$A$2:$A$78,0)),
"")</f>
        <v>4-B</v>
      </c>
      <c r="J631" s="60">
        <f>_xlfn.IFNA(
INDEX(CA!D$2:D$78,MATCH($E631,CA!$A$2:$A$78,0)),
"")</f>
        <v>4</v>
      </c>
      <c r="K631" s="58" t="str">
        <f>_xlfn.IFNA(
INDEX(CA!E$2:E$78,MATCH($E631,CA!$A$2:$A$78,0)),
"")</f>
        <v>SOUTHWEST</v>
      </c>
      <c r="L631" s="15" t="e">
        <v>#VALUE!</v>
      </c>
      <c r="M631" s="15" t="e">
        <v>#VALUE!</v>
      </c>
      <c r="N631" s="15" t="e">
        <v>#VALUE!</v>
      </c>
      <c r="O631" s="15" t="e">
        <v>#VALUE!</v>
      </c>
      <c r="P631" s="15" t="e">
        <v>#VALUE!</v>
      </c>
      <c r="Q631" s="15" t="e">
        <v>#VALUE!</v>
      </c>
      <c r="R631" s="15" t="e">
        <v>#VALUE!</v>
      </c>
      <c r="S631" s="15" t="e">
        <v>#VALUE!</v>
      </c>
      <c r="T631" s="129">
        <v>0.18669676192883952</v>
      </c>
      <c r="U631" s="130" t="e">
        <f t="shared" si="39"/>
        <v>#VALUE!</v>
      </c>
      <c r="V631" s="129">
        <v>0.18100980938989611</v>
      </c>
      <c r="W631" s="130" t="e">
        <f t="shared" si="36"/>
        <v>#VALUE!</v>
      </c>
      <c r="X631" s="129">
        <v>0.18100980938989611</v>
      </c>
      <c r="Y631" s="130" t="e">
        <f t="shared" si="37"/>
        <v>#VALUE!</v>
      </c>
      <c r="Z631" s="129">
        <v>0.18100980938989611</v>
      </c>
      <c r="AA631" s="130" t="e">
        <f t="shared" si="38"/>
        <v>#VALUE!</v>
      </c>
    </row>
    <row r="632" spans="1:27" x14ac:dyDescent="0.3">
      <c r="A632">
        <v>630400</v>
      </c>
      <c r="B632">
        <v>17031630400</v>
      </c>
      <c r="C632">
        <v>17031</v>
      </c>
      <c r="D632">
        <v>2010</v>
      </c>
      <c r="E632">
        <v>63</v>
      </c>
      <c r="F632">
        <v>7085464.2175459098</v>
      </c>
      <c r="G632" s="43">
        <v>0.25415605693102583</v>
      </c>
      <c r="H632" s="58" t="str">
        <f>_xlfn.IFNA(
INDEX(CA!B$2:B$78,MATCH($E632,CA!$A$2:$A$78,0)),
"")</f>
        <v>GAGE PARK</v>
      </c>
      <c r="I632" s="60" t="str">
        <f>_xlfn.IFNA(
INDEX(CA!C$2:C$78,MATCH($E632,CA!$A$2:$A$78,0)),
"")</f>
        <v>4-B</v>
      </c>
      <c r="J632" s="60">
        <f>_xlfn.IFNA(
INDEX(CA!D$2:D$78,MATCH($E632,CA!$A$2:$A$78,0)),
"")</f>
        <v>4</v>
      </c>
      <c r="K632" s="58" t="str">
        <f>_xlfn.IFNA(
INDEX(CA!E$2:E$78,MATCH($E632,CA!$A$2:$A$78,0)),
"")</f>
        <v>SOUTHWEST</v>
      </c>
      <c r="L632" s="15" t="e">
        <v>#VALUE!</v>
      </c>
      <c r="M632" s="15" t="e">
        <v>#VALUE!</v>
      </c>
      <c r="N632" s="15" t="e">
        <v>#VALUE!</v>
      </c>
      <c r="O632" s="15" t="e">
        <v>#VALUE!</v>
      </c>
      <c r="P632" s="15" t="e">
        <v>#VALUE!</v>
      </c>
      <c r="Q632" s="15" t="e">
        <v>#VALUE!</v>
      </c>
      <c r="R632" s="15" t="e">
        <v>#VALUE!</v>
      </c>
      <c r="S632" s="15" t="e">
        <v>#VALUE!</v>
      </c>
      <c r="T632" s="129">
        <v>0</v>
      </c>
      <c r="U632" s="130" t="e">
        <f t="shared" si="39"/>
        <v>#VALUE!</v>
      </c>
      <c r="V632" s="129">
        <v>0</v>
      </c>
      <c r="W632" s="130" t="e">
        <f t="shared" si="36"/>
        <v>#VALUE!</v>
      </c>
      <c r="X632" s="129">
        <v>0</v>
      </c>
      <c r="Y632" s="130" t="e">
        <f t="shared" si="37"/>
        <v>#VALUE!</v>
      </c>
      <c r="Z632" s="129">
        <v>0</v>
      </c>
      <c r="AA632" s="130" t="e">
        <f t="shared" si="38"/>
        <v>#VALUE!</v>
      </c>
    </row>
    <row r="633" spans="1:27" x14ac:dyDescent="0.3">
      <c r="A633">
        <v>640400</v>
      </c>
      <c r="B633">
        <v>17031640400</v>
      </c>
      <c r="C633">
        <v>17031</v>
      </c>
      <c r="D633">
        <v>2010</v>
      </c>
      <c r="E633">
        <v>64</v>
      </c>
      <c r="F633">
        <v>14369430.356840899</v>
      </c>
      <c r="G633" s="43">
        <v>0.51543239055472689</v>
      </c>
      <c r="H633" s="58" t="str">
        <f>_xlfn.IFNA(
INDEX(CA!B$2:B$78,MATCH($E633,CA!$A$2:$A$78,0)),
"")</f>
        <v>CLEARING</v>
      </c>
      <c r="I633" s="60" t="str">
        <f>_xlfn.IFNA(
INDEX(CA!C$2:C$78,MATCH($E633,CA!$A$2:$A$78,0)),
"")</f>
        <v>4-C</v>
      </c>
      <c r="J633" s="60">
        <f>_xlfn.IFNA(
INDEX(CA!D$2:D$78,MATCH($E633,CA!$A$2:$A$78,0)),
"")</f>
        <v>4</v>
      </c>
      <c r="K633" s="58" t="str">
        <f>_xlfn.IFNA(
INDEX(CA!E$2:E$78,MATCH($E633,CA!$A$2:$A$78,0)),
"")</f>
        <v>SOUTHWEST</v>
      </c>
      <c r="L633" s="15" t="e">
        <v>#VALUE!</v>
      </c>
      <c r="M633" s="15" t="e">
        <v>#VALUE!</v>
      </c>
      <c r="N633" s="15" t="e">
        <v>#VALUE!</v>
      </c>
      <c r="O633" s="15" t="e">
        <v>#VALUE!</v>
      </c>
      <c r="P633" s="15" t="e">
        <v>#VALUE!</v>
      </c>
      <c r="Q633" s="15" t="e">
        <v>#VALUE!</v>
      </c>
      <c r="R633" s="15" t="e">
        <v>#VALUE!</v>
      </c>
      <c r="S633" s="15" t="e">
        <v>#VALUE!</v>
      </c>
      <c r="T633" s="129">
        <v>0.44860996077343029</v>
      </c>
      <c r="U633" s="130" t="e">
        <f t="shared" si="39"/>
        <v>#VALUE!</v>
      </c>
      <c r="V633" s="129">
        <v>0</v>
      </c>
      <c r="W633" s="130" t="e">
        <f t="shared" si="36"/>
        <v>#VALUE!</v>
      </c>
      <c r="X633" s="129">
        <v>0</v>
      </c>
      <c r="Y633" s="130" t="e">
        <f t="shared" si="37"/>
        <v>#VALUE!</v>
      </c>
      <c r="Z633" s="129">
        <v>0</v>
      </c>
      <c r="AA633" s="130" t="e">
        <f t="shared" si="38"/>
        <v>#VALUE!</v>
      </c>
    </row>
    <row r="634" spans="1:27" x14ac:dyDescent="0.3">
      <c r="A634">
        <v>640600</v>
      </c>
      <c r="B634">
        <v>17031640600</v>
      </c>
      <c r="C634">
        <v>17031</v>
      </c>
      <c r="D634">
        <v>2010</v>
      </c>
      <c r="E634">
        <v>64</v>
      </c>
      <c r="F634">
        <v>7104092.8440970397</v>
      </c>
      <c r="G634" s="43">
        <v>0.25482426696284721</v>
      </c>
      <c r="H634" s="58" t="str">
        <f>_xlfn.IFNA(
INDEX(CA!B$2:B$78,MATCH($E634,CA!$A$2:$A$78,0)),
"")</f>
        <v>CLEARING</v>
      </c>
      <c r="I634" s="60" t="str">
        <f>_xlfn.IFNA(
INDEX(CA!C$2:C$78,MATCH($E634,CA!$A$2:$A$78,0)),
"")</f>
        <v>4-C</v>
      </c>
      <c r="J634" s="60">
        <f>_xlfn.IFNA(
INDEX(CA!D$2:D$78,MATCH($E634,CA!$A$2:$A$78,0)),
"")</f>
        <v>4</v>
      </c>
      <c r="K634" s="58" t="str">
        <f>_xlfn.IFNA(
INDEX(CA!E$2:E$78,MATCH($E634,CA!$A$2:$A$78,0)),
"")</f>
        <v>SOUTHWEST</v>
      </c>
      <c r="L634" s="15" t="e">
        <v>#VALUE!</v>
      </c>
      <c r="M634" s="15" t="e">
        <v>#VALUE!</v>
      </c>
      <c r="N634" s="15" t="e">
        <v>#VALUE!</v>
      </c>
      <c r="O634" s="15" t="e">
        <v>#VALUE!</v>
      </c>
      <c r="P634" s="15" t="e">
        <v>#VALUE!</v>
      </c>
      <c r="Q634" s="15" t="e">
        <v>#VALUE!</v>
      </c>
      <c r="R634" s="15" t="e">
        <v>#VALUE!</v>
      </c>
      <c r="S634" s="15" t="e">
        <v>#VALUE!</v>
      </c>
      <c r="T634" s="129">
        <v>0.25482426815034293</v>
      </c>
      <c r="U634" s="130" t="e">
        <f t="shared" si="39"/>
        <v>#VALUE!</v>
      </c>
      <c r="V634" s="129">
        <v>0</v>
      </c>
      <c r="W634" s="130" t="e">
        <f t="shared" si="36"/>
        <v>#VALUE!</v>
      </c>
      <c r="X634" s="129">
        <v>0</v>
      </c>
      <c r="Y634" s="130" t="e">
        <f t="shared" si="37"/>
        <v>#VALUE!</v>
      </c>
      <c r="Z634" s="129">
        <v>0</v>
      </c>
      <c r="AA634" s="130" t="e">
        <f t="shared" si="38"/>
        <v>#VALUE!</v>
      </c>
    </row>
    <row r="635" spans="1:27" x14ac:dyDescent="0.3">
      <c r="A635">
        <v>640700</v>
      </c>
      <c r="B635">
        <v>17031640700</v>
      </c>
      <c r="C635">
        <v>17031</v>
      </c>
      <c r="D635">
        <v>2010</v>
      </c>
      <c r="E635">
        <v>64</v>
      </c>
      <c r="F635">
        <v>7083525.0707444604</v>
      </c>
      <c r="G635" s="43">
        <v>0.25408649961061108</v>
      </c>
      <c r="H635" s="58" t="str">
        <f>_xlfn.IFNA(
INDEX(CA!B$2:B$78,MATCH($E635,CA!$A$2:$A$78,0)),
"")</f>
        <v>CLEARING</v>
      </c>
      <c r="I635" s="60" t="str">
        <f>_xlfn.IFNA(
INDEX(CA!C$2:C$78,MATCH($E635,CA!$A$2:$A$78,0)),
"")</f>
        <v>4-C</v>
      </c>
      <c r="J635" s="60">
        <f>_xlfn.IFNA(
INDEX(CA!D$2:D$78,MATCH($E635,CA!$A$2:$A$78,0)),
"")</f>
        <v>4</v>
      </c>
      <c r="K635" s="58" t="str">
        <f>_xlfn.IFNA(
INDEX(CA!E$2:E$78,MATCH($E635,CA!$A$2:$A$78,0)),
"")</f>
        <v>SOUTHWEST</v>
      </c>
      <c r="L635" s="15" t="e">
        <v>#VALUE!</v>
      </c>
      <c r="M635" s="15" t="e">
        <v>#VALUE!</v>
      </c>
      <c r="N635" s="15" t="e">
        <v>#VALUE!</v>
      </c>
      <c r="O635" s="15" t="e">
        <v>#VALUE!</v>
      </c>
      <c r="P635" s="15" t="e">
        <v>#VALUE!</v>
      </c>
      <c r="Q635" s="15" t="e">
        <v>#VALUE!</v>
      </c>
      <c r="R635" s="15" t="e">
        <v>#VALUE!</v>
      </c>
      <c r="S635" s="15" t="e">
        <v>#VALUE!</v>
      </c>
      <c r="T635" s="129">
        <v>0.12090114174470307</v>
      </c>
      <c r="U635" s="130" t="e">
        <f t="shared" si="39"/>
        <v>#VALUE!</v>
      </c>
      <c r="V635" s="129">
        <v>0</v>
      </c>
      <c r="W635" s="130" t="e">
        <f t="shared" si="36"/>
        <v>#VALUE!</v>
      </c>
      <c r="X635" s="129">
        <v>0</v>
      </c>
      <c r="Y635" s="130" t="e">
        <f t="shared" si="37"/>
        <v>#VALUE!</v>
      </c>
      <c r="Z635" s="129">
        <v>0</v>
      </c>
      <c r="AA635" s="130" t="e">
        <f t="shared" si="38"/>
        <v>#VALUE!</v>
      </c>
    </row>
    <row r="636" spans="1:27" x14ac:dyDescent="0.3">
      <c r="A636">
        <v>640100</v>
      </c>
      <c r="B636">
        <v>17031640100</v>
      </c>
      <c r="C636">
        <v>17031</v>
      </c>
      <c r="D636">
        <v>2010</v>
      </c>
      <c r="E636">
        <v>64</v>
      </c>
      <c r="F636">
        <v>3563777.2934729299</v>
      </c>
      <c r="G636" s="43">
        <v>0.12783292059346771</v>
      </c>
      <c r="H636" s="58" t="str">
        <f>_xlfn.IFNA(
INDEX(CA!B$2:B$78,MATCH($E636,CA!$A$2:$A$78,0)),
"")</f>
        <v>CLEARING</v>
      </c>
      <c r="I636" s="60" t="str">
        <f>_xlfn.IFNA(
INDEX(CA!C$2:C$78,MATCH($E636,CA!$A$2:$A$78,0)),
"")</f>
        <v>4-C</v>
      </c>
      <c r="J636" s="60">
        <f>_xlfn.IFNA(
INDEX(CA!D$2:D$78,MATCH($E636,CA!$A$2:$A$78,0)),
"")</f>
        <v>4</v>
      </c>
      <c r="K636" s="58" t="str">
        <f>_xlfn.IFNA(
INDEX(CA!E$2:E$78,MATCH($E636,CA!$A$2:$A$78,0)),
"")</f>
        <v>SOUTHWEST</v>
      </c>
      <c r="L636" s="15" t="e">
        <v>#VALUE!</v>
      </c>
      <c r="M636" s="15" t="e">
        <v>#VALUE!</v>
      </c>
      <c r="N636" s="15" t="e">
        <v>#VALUE!</v>
      </c>
      <c r="O636" s="15" t="e">
        <v>#VALUE!</v>
      </c>
      <c r="P636" s="15" t="e">
        <v>#VALUE!</v>
      </c>
      <c r="Q636" s="15" t="e">
        <v>#VALUE!</v>
      </c>
      <c r="R636" s="15" t="e">
        <v>#VALUE!</v>
      </c>
      <c r="S636" s="15" t="e">
        <v>#VALUE!</v>
      </c>
      <c r="T636" s="129">
        <v>0.1214691563507357</v>
      </c>
      <c r="U636" s="130" t="e">
        <f t="shared" si="39"/>
        <v>#VALUE!</v>
      </c>
      <c r="V636" s="129">
        <v>0</v>
      </c>
      <c r="W636" s="130" t="e">
        <f t="shared" si="36"/>
        <v>#VALUE!</v>
      </c>
      <c r="X636" s="129">
        <v>0</v>
      </c>
      <c r="Y636" s="130" t="e">
        <f t="shared" si="37"/>
        <v>#VALUE!</v>
      </c>
      <c r="Z636" s="129">
        <v>0</v>
      </c>
      <c r="AA636" s="130" t="e">
        <f t="shared" si="38"/>
        <v>#VALUE!</v>
      </c>
    </row>
    <row r="637" spans="1:27" x14ac:dyDescent="0.3">
      <c r="A637">
        <v>640300</v>
      </c>
      <c r="B637">
        <v>17031640300</v>
      </c>
      <c r="C637">
        <v>17031</v>
      </c>
      <c r="D637">
        <v>2010</v>
      </c>
      <c r="E637">
        <v>64</v>
      </c>
      <c r="F637">
        <v>14256507.8222163</v>
      </c>
      <c r="G637" s="43">
        <v>0.5113818519791774</v>
      </c>
      <c r="H637" s="58" t="str">
        <f>_xlfn.IFNA(
INDEX(CA!B$2:B$78,MATCH($E637,CA!$A$2:$A$78,0)),
"")</f>
        <v>CLEARING</v>
      </c>
      <c r="I637" s="60" t="str">
        <f>_xlfn.IFNA(
INDEX(CA!C$2:C$78,MATCH($E637,CA!$A$2:$A$78,0)),
"")</f>
        <v>4-C</v>
      </c>
      <c r="J637" s="60">
        <f>_xlfn.IFNA(
INDEX(CA!D$2:D$78,MATCH($E637,CA!$A$2:$A$78,0)),
"")</f>
        <v>4</v>
      </c>
      <c r="K637" s="58" t="str">
        <f>_xlfn.IFNA(
INDEX(CA!E$2:E$78,MATCH($E637,CA!$A$2:$A$78,0)),
"")</f>
        <v>SOUTHWEST</v>
      </c>
      <c r="L637" s="15" t="e">
        <v>#VALUE!</v>
      </c>
      <c r="M637" s="15" t="e">
        <v>#VALUE!</v>
      </c>
      <c r="N637" s="15" t="e">
        <v>#VALUE!</v>
      </c>
      <c r="O637" s="15" t="e">
        <v>#VALUE!</v>
      </c>
      <c r="P637" s="15" t="e">
        <v>#VALUE!</v>
      </c>
      <c r="Q637" s="15" t="e">
        <v>#VALUE!</v>
      </c>
      <c r="R637" s="15" t="e">
        <v>#VALUE!</v>
      </c>
      <c r="S637" s="15" t="e">
        <v>#VALUE!</v>
      </c>
      <c r="T637" s="129">
        <v>0.49335094166510274</v>
      </c>
      <c r="U637" s="130" t="e">
        <f t="shared" si="39"/>
        <v>#VALUE!</v>
      </c>
      <c r="V637" s="129">
        <v>0</v>
      </c>
      <c r="W637" s="130" t="e">
        <f t="shared" si="36"/>
        <v>#VALUE!</v>
      </c>
      <c r="X637" s="129">
        <v>0</v>
      </c>
      <c r="Y637" s="130" t="e">
        <f t="shared" si="37"/>
        <v>#VALUE!</v>
      </c>
      <c r="Z637" s="129">
        <v>0</v>
      </c>
      <c r="AA637" s="130" t="e">
        <f t="shared" si="38"/>
        <v>#VALUE!</v>
      </c>
    </row>
    <row r="638" spans="1:27" x14ac:dyDescent="0.3">
      <c r="A638">
        <v>640800</v>
      </c>
      <c r="B638">
        <v>17031640800</v>
      </c>
      <c r="C638">
        <v>17031</v>
      </c>
      <c r="D638">
        <v>2010</v>
      </c>
      <c r="E638">
        <v>64</v>
      </c>
      <c r="F638">
        <v>3539051.0499572698</v>
      </c>
      <c r="G638" s="43">
        <v>0.12694598864917891</v>
      </c>
      <c r="H638" s="58" t="str">
        <f>_xlfn.IFNA(
INDEX(CA!B$2:B$78,MATCH($E638,CA!$A$2:$A$78,0)),
"")</f>
        <v>CLEARING</v>
      </c>
      <c r="I638" s="60" t="str">
        <f>_xlfn.IFNA(
INDEX(CA!C$2:C$78,MATCH($E638,CA!$A$2:$A$78,0)),
"")</f>
        <v>4-C</v>
      </c>
      <c r="J638" s="60">
        <f>_xlfn.IFNA(
INDEX(CA!D$2:D$78,MATCH($E638,CA!$A$2:$A$78,0)),
"")</f>
        <v>4</v>
      </c>
      <c r="K638" s="58" t="str">
        <f>_xlfn.IFNA(
INDEX(CA!E$2:E$78,MATCH($E638,CA!$A$2:$A$78,0)),
"")</f>
        <v>SOUTHWEST</v>
      </c>
      <c r="L638" s="15" t="e">
        <v>#VALUE!</v>
      </c>
      <c r="M638" s="15" t="e">
        <v>#VALUE!</v>
      </c>
      <c r="N638" s="15" t="e">
        <v>#VALUE!</v>
      </c>
      <c r="O638" s="15" t="e">
        <v>#VALUE!</v>
      </c>
      <c r="P638" s="15" t="e">
        <v>#VALUE!</v>
      </c>
      <c r="Q638" s="15" t="e">
        <v>#VALUE!</v>
      </c>
      <c r="R638" s="15" t="e">
        <v>#VALUE!</v>
      </c>
      <c r="S638" s="15" t="e">
        <v>#VALUE!</v>
      </c>
      <c r="T638" s="129">
        <v>0</v>
      </c>
      <c r="U638" s="130" t="e">
        <f t="shared" si="39"/>
        <v>#VALUE!</v>
      </c>
      <c r="V638" s="129">
        <v>0</v>
      </c>
      <c r="W638" s="130" t="e">
        <f t="shared" si="36"/>
        <v>#VALUE!</v>
      </c>
      <c r="X638" s="129">
        <v>0</v>
      </c>
      <c r="Y638" s="130" t="e">
        <f t="shared" si="37"/>
        <v>#VALUE!</v>
      </c>
      <c r="Z638" s="129">
        <v>0</v>
      </c>
      <c r="AA638" s="130" t="e">
        <f t="shared" si="38"/>
        <v>#VALUE!</v>
      </c>
    </row>
    <row r="639" spans="1:27" x14ac:dyDescent="0.3">
      <c r="A639">
        <v>640500</v>
      </c>
      <c r="B639">
        <v>17031640500</v>
      </c>
      <c r="C639">
        <v>17031</v>
      </c>
      <c r="D639">
        <v>2010</v>
      </c>
      <c r="E639">
        <v>64</v>
      </c>
      <c r="F639">
        <v>7123579.5006161798</v>
      </c>
      <c r="G639" s="43">
        <v>0.2555232545847746</v>
      </c>
      <c r="H639" s="58" t="str">
        <f>_xlfn.IFNA(
INDEX(CA!B$2:B$78,MATCH($E639,CA!$A$2:$A$78,0)),
"")</f>
        <v>CLEARING</v>
      </c>
      <c r="I639" s="60" t="str">
        <f>_xlfn.IFNA(
INDEX(CA!C$2:C$78,MATCH($E639,CA!$A$2:$A$78,0)),
"")</f>
        <v>4-C</v>
      </c>
      <c r="J639" s="60">
        <f>_xlfn.IFNA(
INDEX(CA!D$2:D$78,MATCH($E639,CA!$A$2:$A$78,0)),
"")</f>
        <v>4</v>
      </c>
      <c r="K639" s="58" t="str">
        <f>_xlfn.IFNA(
INDEX(CA!E$2:E$78,MATCH($E639,CA!$A$2:$A$78,0)),
"")</f>
        <v>SOUTHWEST</v>
      </c>
      <c r="L639" s="15" t="e">
        <v>#VALUE!</v>
      </c>
      <c r="M639" s="15" t="e">
        <v>#VALUE!</v>
      </c>
      <c r="N639" s="15" t="e">
        <v>#VALUE!</v>
      </c>
      <c r="O639" s="15" t="e">
        <v>#VALUE!</v>
      </c>
      <c r="P639" s="15" t="e">
        <v>#VALUE!</v>
      </c>
      <c r="Q639" s="15" t="e">
        <v>#VALUE!</v>
      </c>
      <c r="R639" s="15" t="e">
        <v>#VALUE!</v>
      </c>
      <c r="S639" s="15" t="e">
        <v>#VALUE!</v>
      </c>
      <c r="T639" s="129">
        <v>0.24723731040007033</v>
      </c>
      <c r="U639" s="130" t="e">
        <f t="shared" si="39"/>
        <v>#VALUE!</v>
      </c>
      <c r="V639" s="129">
        <v>0</v>
      </c>
      <c r="W639" s="130" t="e">
        <f t="shared" si="36"/>
        <v>#VALUE!</v>
      </c>
      <c r="X639" s="129">
        <v>0</v>
      </c>
      <c r="Y639" s="130" t="e">
        <f t="shared" si="37"/>
        <v>#VALUE!</v>
      </c>
      <c r="Z639" s="129">
        <v>0</v>
      </c>
      <c r="AA639" s="130" t="e">
        <f t="shared" si="38"/>
        <v>#VALUE!</v>
      </c>
    </row>
    <row r="640" spans="1:27" x14ac:dyDescent="0.3">
      <c r="A640">
        <v>650500</v>
      </c>
      <c r="B640">
        <v>17031650500</v>
      </c>
      <c r="C640">
        <v>17031</v>
      </c>
      <c r="D640">
        <v>2010</v>
      </c>
      <c r="E640">
        <v>65</v>
      </c>
      <c r="F640">
        <v>34926101.750887498</v>
      </c>
      <c r="G640" s="43">
        <v>1.2528015148246492</v>
      </c>
      <c r="H640" s="58" t="str">
        <f>_xlfn.IFNA(
INDEX(CA!B$2:B$78,MATCH($E640,CA!$A$2:$A$78,0)),
"")</f>
        <v>WEST LAWN</v>
      </c>
      <c r="I640" s="60" t="str">
        <f>_xlfn.IFNA(
INDEX(CA!C$2:C$78,MATCH($E640,CA!$A$2:$A$78,0)),
"")</f>
        <v>4-C</v>
      </c>
      <c r="J640" s="60">
        <f>_xlfn.IFNA(
INDEX(CA!D$2:D$78,MATCH($E640,CA!$A$2:$A$78,0)),
"")</f>
        <v>4</v>
      </c>
      <c r="K640" s="58" t="str">
        <f>_xlfn.IFNA(
INDEX(CA!E$2:E$78,MATCH($E640,CA!$A$2:$A$78,0)),
"")</f>
        <v>SOUTHWEST</v>
      </c>
      <c r="L640" s="15" t="e">
        <v>#VALUE!</v>
      </c>
      <c r="M640" s="15" t="e">
        <v>#VALUE!</v>
      </c>
      <c r="N640" s="15" t="e">
        <v>#VALUE!</v>
      </c>
      <c r="O640" s="15" t="e">
        <v>#VALUE!</v>
      </c>
      <c r="P640" s="15" t="e">
        <v>#VALUE!</v>
      </c>
      <c r="Q640" s="15" t="e">
        <v>#VALUE!</v>
      </c>
      <c r="R640" s="15" t="e">
        <v>#VALUE!</v>
      </c>
      <c r="S640" s="15" t="e">
        <v>#VALUE!</v>
      </c>
      <c r="T640" s="129">
        <v>0</v>
      </c>
      <c r="U640" s="130" t="e">
        <f t="shared" si="39"/>
        <v>#VALUE!</v>
      </c>
      <c r="V640" s="129">
        <v>0</v>
      </c>
      <c r="W640" s="130" t="e">
        <f t="shared" si="36"/>
        <v>#VALUE!</v>
      </c>
      <c r="X640" s="129">
        <v>0</v>
      </c>
      <c r="Y640" s="130" t="e">
        <f t="shared" si="37"/>
        <v>#VALUE!</v>
      </c>
      <c r="Z640" s="129">
        <v>0</v>
      </c>
      <c r="AA640" s="130" t="e">
        <f t="shared" si="38"/>
        <v>#VALUE!</v>
      </c>
    </row>
    <row r="641" spans="1:27" x14ac:dyDescent="0.3">
      <c r="A641">
        <v>650302</v>
      </c>
      <c r="B641">
        <v>17031650302</v>
      </c>
      <c r="C641">
        <v>17031</v>
      </c>
      <c r="D641">
        <v>2010</v>
      </c>
      <c r="E641">
        <v>65</v>
      </c>
      <c r="F641">
        <v>7106011.4068725202</v>
      </c>
      <c r="G641" s="43">
        <v>0.25489308593292731</v>
      </c>
      <c r="H641" s="58" t="str">
        <f>_xlfn.IFNA(
INDEX(CA!B$2:B$78,MATCH($E641,CA!$A$2:$A$78,0)),
"")</f>
        <v>WEST LAWN</v>
      </c>
      <c r="I641" s="60" t="str">
        <f>_xlfn.IFNA(
INDEX(CA!C$2:C$78,MATCH($E641,CA!$A$2:$A$78,0)),
"")</f>
        <v>4-C</v>
      </c>
      <c r="J641" s="60">
        <f>_xlfn.IFNA(
INDEX(CA!D$2:D$78,MATCH($E641,CA!$A$2:$A$78,0)),
"")</f>
        <v>4</v>
      </c>
      <c r="K641" s="58" t="str">
        <f>_xlfn.IFNA(
INDEX(CA!E$2:E$78,MATCH($E641,CA!$A$2:$A$78,0)),
"")</f>
        <v>SOUTHWEST</v>
      </c>
      <c r="L641" s="15" t="e">
        <v>#VALUE!</v>
      </c>
      <c r="M641" s="15" t="e">
        <v>#VALUE!</v>
      </c>
      <c r="N641" s="15" t="e">
        <v>#VALUE!</v>
      </c>
      <c r="O641" s="15" t="e">
        <v>#VALUE!</v>
      </c>
      <c r="P641" s="15" t="e">
        <v>#VALUE!</v>
      </c>
      <c r="Q641" s="15" t="e">
        <v>#VALUE!</v>
      </c>
      <c r="R641" s="15" t="e">
        <v>#VALUE!</v>
      </c>
      <c r="S641" s="15" t="e">
        <v>#VALUE!</v>
      </c>
      <c r="T641" s="129">
        <v>0.24034343603305283</v>
      </c>
      <c r="U641" s="130" t="e">
        <f t="shared" si="39"/>
        <v>#VALUE!</v>
      </c>
      <c r="V641" s="129">
        <v>0.24034343603305283</v>
      </c>
      <c r="W641" s="130" t="e">
        <f t="shared" si="36"/>
        <v>#VALUE!</v>
      </c>
      <c r="X641" s="129">
        <v>0.24034343603305283</v>
      </c>
      <c r="Y641" s="130" t="e">
        <f t="shared" si="37"/>
        <v>#VALUE!</v>
      </c>
      <c r="Z641" s="129">
        <v>0.24034343603305283</v>
      </c>
      <c r="AA641" s="130" t="e">
        <f t="shared" si="38"/>
        <v>#VALUE!</v>
      </c>
    </row>
    <row r="642" spans="1:27" x14ac:dyDescent="0.3">
      <c r="A642">
        <v>650301</v>
      </c>
      <c r="B642">
        <v>17031650301</v>
      </c>
      <c r="C642">
        <v>17031</v>
      </c>
      <c r="D642">
        <v>2010</v>
      </c>
      <c r="E642">
        <v>65</v>
      </c>
      <c r="F642">
        <v>10586344.9067534</v>
      </c>
      <c r="G642" s="43">
        <v>0.37973287228655161</v>
      </c>
      <c r="H642" s="58" t="str">
        <f>_xlfn.IFNA(
INDEX(CA!B$2:B$78,MATCH($E642,CA!$A$2:$A$78,0)),
"")</f>
        <v>WEST LAWN</v>
      </c>
      <c r="I642" s="60" t="str">
        <f>_xlfn.IFNA(
INDEX(CA!C$2:C$78,MATCH($E642,CA!$A$2:$A$78,0)),
"")</f>
        <v>4-C</v>
      </c>
      <c r="J642" s="60">
        <f>_xlfn.IFNA(
INDEX(CA!D$2:D$78,MATCH($E642,CA!$A$2:$A$78,0)),
"")</f>
        <v>4</v>
      </c>
      <c r="K642" s="58" t="str">
        <f>_xlfn.IFNA(
INDEX(CA!E$2:E$78,MATCH($E642,CA!$A$2:$A$78,0)),
"")</f>
        <v>SOUTHWEST</v>
      </c>
      <c r="L642" s="15" t="e">
        <v>#VALUE!</v>
      </c>
      <c r="M642" s="15" t="e">
        <v>#VALUE!</v>
      </c>
      <c r="N642" s="15" t="e">
        <v>#VALUE!</v>
      </c>
      <c r="O642" s="15" t="e">
        <v>#VALUE!</v>
      </c>
      <c r="P642" s="15" t="e">
        <v>#VALUE!</v>
      </c>
      <c r="Q642" s="15" t="e">
        <v>#VALUE!</v>
      </c>
      <c r="R642" s="15" t="e">
        <v>#VALUE!</v>
      </c>
      <c r="S642" s="15" t="e">
        <v>#VALUE!</v>
      </c>
      <c r="T642" s="129">
        <v>2.0446859041303768E-4</v>
      </c>
      <c r="U642" s="130" t="e">
        <f t="shared" si="39"/>
        <v>#VALUE!</v>
      </c>
      <c r="V642" s="129">
        <v>2.0446819590535649E-4</v>
      </c>
      <c r="W642" s="130" t="e">
        <f t="shared" si="36"/>
        <v>#VALUE!</v>
      </c>
      <c r="X642" s="129">
        <v>2.0446819590535649E-4</v>
      </c>
      <c r="Y642" s="130" t="e">
        <f t="shared" si="37"/>
        <v>#VALUE!</v>
      </c>
      <c r="Z642" s="129">
        <v>2.0446819590535649E-4</v>
      </c>
      <c r="AA642" s="130" t="e">
        <f t="shared" si="38"/>
        <v>#VALUE!</v>
      </c>
    </row>
    <row r="643" spans="1:27" x14ac:dyDescent="0.3">
      <c r="A643">
        <v>650200</v>
      </c>
      <c r="B643">
        <v>17031650200</v>
      </c>
      <c r="C643">
        <v>17031</v>
      </c>
      <c r="D643">
        <v>2010</v>
      </c>
      <c r="E643">
        <v>65</v>
      </c>
      <c r="F643">
        <v>10613182.0351416</v>
      </c>
      <c r="G643" s="43">
        <v>0.3806955218069043</v>
      </c>
      <c r="H643" s="58" t="str">
        <f>_xlfn.IFNA(
INDEX(CA!B$2:B$78,MATCH($E643,CA!$A$2:$A$78,0)),
"")</f>
        <v>WEST LAWN</v>
      </c>
      <c r="I643" s="60" t="str">
        <f>_xlfn.IFNA(
INDEX(CA!C$2:C$78,MATCH($E643,CA!$A$2:$A$78,0)),
"")</f>
        <v>4-C</v>
      </c>
      <c r="J643" s="60">
        <f>_xlfn.IFNA(
INDEX(CA!D$2:D$78,MATCH($E643,CA!$A$2:$A$78,0)),
"")</f>
        <v>4</v>
      </c>
      <c r="K643" s="58" t="str">
        <f>_xlfn.IFNA(
INDEX(CA!E$2:E$78,MATCH($E643,CA!$A$2:$A$78,0)),
"")</f>
        <v>SOUTHWEST</v>
      </c>
      <c r="L643" s="15" t="e">
        <v>#VALUE!</v>
      </c>
      <c r="M643" s="15" t="e">
        <v>#VALUE!</v>
      </c>
      <c r="N643" s="15" t="e">
        <v>#VALUE!</v>
      </c>
      <c r="O643" s="15" t="e">
        <v>#VALUE!</v>
      </c>
      <c r="P643" s="15" t="e">
        <v>#VALUE!</v>
      </c>
      <c r="Q643" s="15" t="e">
        <v>#VALUE!</v>
      </c>
      <c r="R643" s="15" t="e">
        <v>#VALUE!</v>
      </c>
      <c r="S643" s="15" t="e">
        <v>#VALUE!</v>
      </c>
      <c r="T643" s="129">
        <v>0.37830940314480749</v>
      </c>
      <c r="U643" s="130" t="e">
        <f t="shared" si="39"/>
        <v>#VALUE!</v>
      </c>
      <c r="V643" s="129">
        <v>2.160139554004541E-4</v>
      </c>
      <c r="W643" s="130" t="e">
        <f t="shared" si="36"/>
        <v>#VALUE!</v>
      </c>
      <c r="X643" s="129">
        <v>2.160139554004541E-4</v>
      </c>
      <c r="Y643" s="130" t="e">
        <f t="shared" si="37"/>
        <v>#VALUE!</v>
      </c>
      <c r="Z643" s="129">
        <v>2.160139554004541E-4</v>
      </c>
      <c r="AA643" s="130" t="e">
        <f t="shared" si="38"/>
        <v>#VALUE!</v>
      </c>
    </row>
    <row r="644" spans="1:27" x14ac:dyDescent="0.3">
      <c r="A644">
        <v>650100</v>
      </c>
      <c r="B644">
        <v>17031650100</v>
      </c>
      <c r="C644">
        <v>17031</v>
      </c>
      <c r="D644">
        <v>2010</v>
      </c>
      <c r="E644">
        <v>65</v>
      </c>
      <c r="F644">
        <v>7248760.5669899099</v>
      </c>
      <c r="G644" s="43">
        <v>0.26001350748213348</v>
      </c>
      <c r="H644" s="58" t="str">
        <f>_xlfn.IFNA(
INDEX(CA!B$2:B$78,MATCH($E644,CA!$A$2:$A$78,0)),
"")</f>
        <v>WEST LAWN</v>
      </c>
      <c r="I644" s="60" t="str">
        <f>_xlfn.IFNA(
INDEX(CA!C$2:C$78,MATCH($E644,CA!$A$2:$A$78,0)),
"")</f>
        <v>4-C</v>
      </c>
      <c r="J644" s="60">
        <f>_xlfn.IFNA(
INDEX(CA!D$2:D$78,MATCH($E644,CA!$A$2:$A$78,0)),
"")</f>
        <v>4</v>
      </c>
      <c r="K644" s="58" t="str">
        <f>_xlfn.IFNA(
INDEX(CA!E$2:E$78,MATCH($E644,CA!$A$2:$A$78,0)),
"")</f>
        <v>SOUTHWEST</v>
      </c>
      <c r="L644" s="15" t="e">
        <v>#VALUE!</v>
      </c>
      <c r="M644" s="15" t="e">
        <v>#VALUE!</v>
      </c>
      <c r="N644" s="15" t="e">
        <v>#VALUE!</v>
      </c>
      <c r="O644" s="15" t="e">
        <v>#VALUE!</v>
      </c>
      <c r="P644" s="15" t="e">
        <v>#VALUE!</v>
      </c>
      <c r="Q644" s="15" t="e">
        <v>#VALUE!</v>
      </c>
      <c r="R644" s="15" t="e">
        <v>#VALUE!</v>
      </c>
      <c r="S644" s="15" t="e">
        <v>#VALUE!</v>
      </c>
      <c r="T644" s="129">
        <v>0.26001351194038752</v>
      </c>
      <c r="U644" s="130" t="e">
        <f t="shared" si="39"/>
        <v>#VALUE!</v>
      </c>
      <c r="V644" s="129">
        <v>0.2076658781054429</v>
      </c>
      <c r="W644" s="130" t="e">
        <f t="shared" si="36"/>
        <v>#VALUE!</v>
      </c>
      <c r="X644" s="129">
        <v>0.2076658781054429</v>
      </c>
      <c r="Y644" s="130" t="e">
        <f t="shared" si="37"/>
        <v>#VALUE!</v>
      </c>
      <c r="Z644" s="129">
        <v>0.2076658781054429</v>
      </c>
      <c r="AA644" s="130" t="e">
        <f t="shared" si="38"/>
        <v>#VALUE!</v>
      </c>
    </row>
    <row r="645" spans="1:27" x14ac:dyDescent="0.3">
      <c r="A645">
        <v>650400</v>
      </c>
      <c r="B645">
        <v>17031650400</v>
      </c>
      <c r="C645">
        <v>17031</v>
      </c>
      <c r="D645">
        <v>2010</v>
      </c>
      <c r="E645">
        <v>65</v>
      </c>
      <c r="F645">
        <v>11834901.075079</v>
      </c>
      <c r="G645" s="43">
        <v>0.42451866230052654</v>
      </c>
      <c r="H645" s="58" t="str">
        <f>_xlfn.IFNA(
INDEX(CA!B$2:B$78,MATCH($E645,CA!$A$2:$A$78,0)),
"")</f>
        <v>WEST LAWN</v>
      </c>
      <c r="I645" s="60" t="str">
        <f>_xlfn.IFNA(
INDEX(CA!C$2:C$78,MATCH($E645,CA!$A$2:$A$78,0)),
"")</f>
        <v>4-C</v>
      </c>
      <c r="J645" s="60">
        <f>_xlfn.IFNA(
INDEX(CA!D$2:D$78,MATCH($E645,CA!$A$2:$A$78,0)),
"")</f>
        <v>4</v>
      </c>
      <c r="K645" s="58" t="str">
        <f>_xlfn.IFNA(
INDEX(CA!E$2:E$78,MATCH($E645,CA!$A$2:$A$78,0)),
"")</f>
        <v>SOUTHWEST</v>
      </c>
      <c r="L645" s="15" t="e">
        <v>#VALUE!</v>
      </c>
      <c r="M645" s="15" t="e">
        <v>#VALUE!</v>
      </c>
      <c r="N645" s="15" t="e">
        <v>#VALUE!</v>
      </c>
      <c r="O645" s="15" t="e">
        <v>#VALUE!</v>
      </c>
      <c r="P645" s="15" t="e">
        <v>#VALUE!</v>
      </c>
      <c r="Q645" s="15" t="e">
        <v>#VALUE!</v>
      </c>
      <c r="R645" s="15" t="e">
        <v>#VALUE!</v>
      </c>
      <c r="S645" s="15" t="e">
        <v>#VALUE!</v>
      </c>
      <c r="T645" s="129">
        <v>0.19111408303853447</v>
      </c>
      <c r="U645" s="130" t="e">
        <f t="shared" si="39"/>
        <v>#VALUE!</v>
      </c>
      <c r="V645" s="129">
        <v>0.19111408303853447</v>
      </c>
      <c r="W645" s="130" t="e">
        <f t="shared" si="36"/>
        <v>#VALUE!</v>
      </c>
      <c r="X645" s="129">
        <v>0.19111408303853447</v>
      </c>
      <c r="Y645" s="130" t="e">
        <f t="shared" si="37"/>
        <v>#VALUE!</v>
      </c>
      <c r="Z645" s="129">
        <v>0.19111408303853447</v>
      </c>
      <c r="AA645" s="130" t="e">
        <f t="shared" si="38"/>
        <v>#VALUE!</v>
      </c>
    </row>
    <row r="646" spans="1:27" x14ac:dyDescent="0.3">
      <c r="A646">
        <v>835000</v>
      </c>
      <c r="B646">
        <v>17031835000</v>
      </c>
      <c r="C646">
        <v>17031</v>
      </c>
      <c r="D646">
        <v>2010</v>
      </c>
      <c r="E646">
        <v>66</v>
      </c>
      <c r="F646">
        <v>10554666.7871096</v>
      </c>
      <c r="G646" s="43">
        <v>0.37859657609868574</v>
      </c>
      <c r="H646" s="58" t="str">
        <f>_xlfn.IFNA(
INDEX(CA!B$2:B$78,MATCH($E646,CA!$A$2:$A$78,0)),
"")</f>
        <v>CHICAGO LAWN</v>
      </c>
      <c r="I646" s="60" t="str">
        <f>_xlfn.IFNA(
INDEX(CA!C$2:C$78,MATCH($E646,CA!$A$2:$A$78,0)),
"")</f>
        <v>4-B</v>
      </c>
      <c r="J646" s="60">
        <f>_xlfn.IFNA(
INDEX(CA!D$2:D$78,MATCH($E646,CA!$A$2:$A$78,0)),
"")</f>
        <v>4</v>
      </c>
      <c r="K646" s="58" t="str">
        <f>_xlfn.IFNA(
INDEX(CA!E$2:E$78,MATCH($E646,CA!$A$2:$A$78,0)),
"")</f>
        <v>SOUTHWEST</v>
      </c>
      <c r="L646" s="15" t="e">
        <v>#VALUE!</v>
      </c>
      <c r="M646" s="15" t="e">
        <v>#VALUE!</v>
      </c>
      <c r="N646" s="15" t="e">
        <v>#VALUE!</v>
      </c>
      <c r="O646" s="15" t="e">
        <v>#VALUE!</v>
      </c>
      <c r="P646" s="15" t="e">
        <v>#VALUE!</v>
      </c>
      <c r="Q646" s="15" t="e">
        <v>#VALUE!</v>
      </c>
      <c r="R646" s="15" t="e">
        <v>#VALUE!</v>
      </c>
      <c r="S646" s="15" t="e">
        <v>#VALUE!</v>
      </c>
      <c r="T646" s="129">
        <v>0.37859657100215938</v>
      </c>
      <c r="U646" s="130" t="e">
        <f t="shared" si="39"/>
        <v>#VALUE!</v>
      </c>
      <c r="V646" s="129">
        <v>0.37668740060312644</v>
      </c>
      <c r="W646" s="130" t="e">
        <f t="shared" ref="W646:W709" si="40">(V646/$G646)*$L646</f>
        <v>#VALUE!</v>
      </c>
      <c r="X646" s="129">
        <v>0.37668740060312644</v>
      </c>
      <c r="Y646" s="130" t="e">
        <f t="shared" ref="Y646:Y709" si="41">(X646/$G646)*$L646</f>
        <v>#VALUE!</v>
      </c>
      <c r="Z646" s="129">
        <v>0.37668740060312644</v>
      </c>
      <c r="AA646" s="130" t="e">
        <f t="shared" ref="AA646:AA709" si="42">(Z646/$G646)*$L646</f>
        <v>#VALUE!</v>
      </c>
    </row>
    <row r="647" spans="1:27" x14ac:dyDescent="0.3">
      <c r="A647">
        <v>660700</v>
      </c>
      <c r="B647">
        <v>17031660700</v>
      </c>
      <c r="C647">
        <v>17031</v>
      </c>
      <c r="D647">
        <v>2010</v>
      </c>
      <c r="E647">
        <v>66</v>
      </c>
      <c r="F647">
        <v>5176108.4201804604</v>
      </c>
      <c r="G647" s="43">
        <v>0.18566734174774951</v>
      </c>
      <c r="H647" s="58" t="str">
        <f>_xlfn.IFNA(
INDEX(CA!B$2:B$78,MATCH($E647,CA!$A$2:$A$78,0)),
"")</f>
        <v>CHICAGO LAWN</v>
      </c>
      <c r="I647" s="60" t="str">
        <f>_xlfn.IFNA(
INDEX(CA!C$2:C$78,MATCH($E647,CA!$A$2:$A$78,0)),
"")</f>
        <v>4-B</v>
      </c>
      <c r="J647" s="60">
        <f>_xlfn.IFNA(
INDEX(CA!D$2:D$78,MATCH($E647,CA!$A$2:$A$78,0)),
"")</f>
        <v>4</v>
      </c>
      <c r="K647" s="58" t="str">
        <f>_xlfn.IFNA(
INDEX(CA!E$2:E$78,MATCH($E647,CA!$A$2:$A$78,0)),
"")</f>
        <v>SOUTHWEST</v>
      </c>
      <c r="L647" s="15" t="e">
        <v>#VALUE!</v>
      </c>
      <c r="M647" s="15" t="e">
        <v>#VALUE!</v>
      </c>
      <c r="N647" s="15" t="e">
        <v>#VALUE!</v>
      </c>
      <c r="O647" s="15" t="e">
        <v>#VALUE!</v>
      </c>
      <c r="P647" s="15" t="e">
        <v>#VALUE!</v>
      </c>
      <c r="Q647" s="15" t="e">
        <v>#VALUE!</v>
      </c>
      <c r="R647" s="15" t="e">
        <v>#VALUE!</v>
      </c>
      <c r="S647" s="15" t="e">
        <v>#VALUE!</v>
      </c>
      <c r="T647" s="129">
        <v>0.18566734669876608</v>
      </c>
      <c r="U647" s="130" t="e">
        <f t="shared" ref="U647:U710" si="43">(T647/$G647)*$L647</f>
        <v>#VALUE!</v>
      </c>
      <c r="V647" s="129">
        <v>0.18566734669876608</v>
      </c>
      <c r="W647" s="130" t="e">
        <f t="shared" si="40"/>
        <v>#VALUE!</v>
      </c>
      <c r="X647" s="129">
        <v>0.18566734669876608</v>
      </c>
      <c r="Y647" s="130" t="e">
        <f t="shared" si="41"/>
        <v>#VALUE!</v>
      </c>
      <c r="Z647" s="129">
        <v>0.18566734669876608</v>
      </c>
      <c r="AA647" s="130" t="e">
        <f t="shared" si="42"/>
        <v>#VALUE!</v>
      </c>
    </row>
    <row r="648" spans="1:27" x14ac:dyDescent="0.3">
      <c r="A648">
        <v>660302</v>
      </c>
      <c r="B648">
        <v>17031660302</v>
      </c>
      <c r="C648">
        <v>17031</v>
      </c>
      <c r="D648">
        <v>2010</v>
      </c>
      <c r="E648">
        <v>66</v>
      </c>
      <c r="F648">
        <v>5294797.8223938504</v>
      </c>
      <c r="G648" s="43">
        <v>0.18992473823439834</v>
      </c>
      <c r="H648" s="58" t="str">
        <f>_xlfn.IFNA(
INDEX(CA!B$2:B$78,MATCH($E648,CA!$A$2:$A$78,0)),
"")</f>
        <v>CHICAGO LAWN</v>
      </c>
      <c r="I648" s="60" t="str">
        <f>_xlfn.IFNA(
INDEX(CA!C$2:C$78,MATCH($E648,CA!$A$2:$A$78,0)),
"")</f>
        <v>4-B</v>
      </c>
      <c r="J648" s="60">
        <f>_xlfn.IFNA(
INDEX(CA!D$2:D$78,MATCH($E648,CA!$A$2:$A$78,0)),
"")</f>
        <v>4</v>
      </c>
      <c r="K648" s="58" t="str">
        <f>_xlfn.IFNA(
INDEX(CA!E$2:E$78,MATCH($E648,CA!$A$2:$A$78,0)),
"")</f>
        <v>SOUTHWEST</v>
      </c>
      <c r="L648" s="15" t="e">
        <v>#VALUE!</v>
      </c>
      <c r="M648" s="15" t="e">
        <v>#VALUE!</v>
      </c>
      <c r="N648" s="15" t="e">
        <v>#VALUE!</v>
      </c>
      <c r="O648" s="15" t="e">
        <v>#VALUE!</v>
      </c>
      <c r="P648" s="15" t="e">
        <v>#VALUE!</v>
      </c>
      <c r="Q648" s="15" t="e">
        <v>#VALUE!</v>
      </c>
      <c r="R648" s="15" t="e">
        <v>#VALUE!</v>
      </c>
      <c r="S648" s="15" t="e">
        <v>#VALUE!</v>
      </c>
      <c r="T648" s="129">
        <v>0.18992474139057478</v>
      </c>
      <c r="U648" s="130" t="e">
        <f t="shared" si="43"/>
        <v>#VALUE!</v>
      </c>
      <c r="V648" s="129">
        <v>0.188558925488061</v>
      </c>
      <c r="W648" s="130" t="e">
        <f t="shared" si="40"/>
        <v>#VALUE!</v>
      </c>
      <c r="X648" s="129">
        <v>0.188558925488061</v>
      </c>
      <c r="Y648" s="130" t="e">
        <f t="shared" si="41"/>
        <v>#VALUE!</v>
      </c>
      <c r="Z648" s="129">
        <v>0.188558925488061</v>
      </c>
      <c r="AA648" s="130" t="e">
        <f t="shared" si="42"/>
        <v>#VALUE!</v>
      </c>
    </row>
    <row r="649" spans="1:27" x14ac:dyDescent="0.3">
      <c r="A649">
        <v>660900</v>
      </c>
      <c r="B649">
        <v>17031660900</v>
      </c>
      <c r="C649">
        <v>17031</v>
      </c>
      <c r="D649">
        <v>2010</v>
      </c>
      <c r="E649">
        <v>66</v>
      </c>
      <c r="F649">
        <v>21240318.028806198</v>
      </c>
      <c r="G649" s="43">
        <v>0.76189157300297716</v>
      </c>
      <c r="H649" s="58" t="str">
        <f>_xlfn.IFNA(
INDEX(CA!B$2:B$78,MATCH($E649,CA!$A$2:$A$78,0)),
"")</f>
        <v>CHICAGO LAWN</v>
      </c>
      <c r="I649" s="60" t="str">
        <f>_xlfn.IFNA(
INDEX(CA!C$2:C$78,MATCH($E649,CA!$A$2:$A$78,0)),
"")</f>
        <v>4-B</v>
      </c>
      <c r="J649" s="60">
        <f>_xlfn.IFNA(
INDEX(CA!D$2:D$78,MATCH($E649,CA!$A$2:$A$78,0)),
"")</f>
        <v>4</v>
      </c>
      <c r="K649" s="58" t="str">
        <f>_xlfn.IFNA(
INDEX(CA!E$2:E$78,MATCH($E649,CA!$A$2:$A$78,0)),
"")</f>
        <v>SOUTHWEST</v>
      </c>
      <c r="L649" s="15" t="e">
        <v>#VALUE!</v>
      </c>
      <c r="M649" s="15" t="e">
        <v>#VALUE!</v>
      </c>
      <c r="N649" s="15" t="e">
        <v>#VALUE!</v>
      </c>
      <c r="O649" s="15" t="e">
        <v>#VALUE!</v>
      </c>
      <c r="P649" s="15" t="e">
        <v>#VALUE!</v>
      </c>
      <c r="Q649" s="15" t="e">
        <v>#VALUE!</v>
      </c>
      <c r="R649" s="15" t="e">
        <v>#VALUE!</v>
      </c>
      <c r="S649" s="15" t="e">
        <v>#VALUE!</v>
      </c>
      <c r="T649" s="129">
        <v>0.7574274213494534</v>
      </c>
      <c r="U649" s="130" t="e">
        <f t="shared" si="43"/>
        <v>#VALUE!</v>
      </c>
      <c r="V649" s="129">
        <v>0.7559895366592343</v>
      </c>
      <c r="W649" s="130" t="e">
        <f t="shared" si="40"/>
        <v>#VALUE!</v>
      </c>
      <c r="X649" s="129">
        <v>0.7559895366592343</v>
      </c>
      <c r="Y649" s="130" t="e">
        <f t="shared" si="41"/>
        <v>#VALUE!</v>
      </c>
      <c r="Z649" s="129">
        <v>0.7559895366592343</v>
      </c>
      <c r="AA649" s="130" t="e">
        <f t="shared" si="42"/>
        <v>#VALUE!</v>
      </c>
    </row>
    <row r="650" spans="1:27" x14ac:dyDescent="0.3">
      <c r="A650">
        <v>660400</v>
      </c>
      <c r="B650">
        <v>17031660400</v>
      </c>
      <c r="C650">
        <v>17031</v>
      </c>
      <c r="D650">
        <v>2010</v>
      </c>
      <c r="E650">
        <v>66</v>
      </c>
      <c r="F650">
        <v>6950872.2895873999</v>
      </c>
      <c r="G650" s="43">
        <v>0.24932823582369862</v>
      </c>
      <c r="H650" s="58" t="str">
        <f>_xlfn.IFNA(
INDEX(CA!B$2:B$78,MATCH($E650,CA!$A$2:$A$78,0)),
"")</f>
        <v>CHICAGO LAWN</v>
      </c>
      <c r="I650" s="60" t="str">
        <f>_xlfn.IFNA(
INDEX(CA!C$2:C$78,MATCH($E650,CA!$A$2:$A$78,0)),
"")</f>
        <v>4-B</v>
      </c>
      <c r="J650" s="60">
        <f>_xlfn.IFNA(
INDEX(CA!D$2:D$78,MATCH($E650,CA!$A$2:$A$78,0)),
"")</f>
        <v>4</v>
      </c>
      <c r="K650" s="58" t="str">
        <f>_xlfn.IFNA(
INDEX(CA!E$2:E$78,MATCH($E650,CA!$A$2:$A$78,0)),
"")</f>
        <v>SOUTHWEST</v>
      </c>
      <c r="L650" s="15" t="e">
        <v>#VALUE!</v>
      </c>
      <c r="M650" s="15" t="e">
        <v>#VALUE!</v>
      </c>
      <c r="N650" s="15" t="e">
        <v>#VALUE!</v>
      </c>
      <c r="O650" s="15" t="e">
        <v>#VALUE!</v>
      </c>
      <c r="P650" s="15" t="e">
        <v>#VALUE!</v>
      </c>
      <c r="Q650" s="15" t="e">
        <v>#VALUE!</v>
      </c>
      <c r="R650" s="15" t="e">
        <v>#VALUE!</v>
      </c>
      <c r="S650" s="15" t="e">
        <v>#VALUE!</v>
      </c>
      <c r="T650" s="129">
        <v>0.24932823420001182</v>
      </c>
      <c r="U650" s="130" t="e">
        <f t="shared" si="43"/>
        <v>#VALUE!</v>
      </c>
      <c r="V650" s="129">
        <v>0.24816570524616047</v>
      </c>
      <c r="W650" s="130" t="e">
        <f t="shared" si="40"/>
        <v>#VALUE!</v>
      </c>
      <c r="X650" s="129">
        <v>0.24816570524616047</v>
      </c>
      <c r="Y650" s="130" t="e">
        <f t="shared" si="41"/>
        <v>#VALUE!</v>
      </c>
      <c r="Z650" s="129">
        <v>0.24816570524616047</v>
      </c>
      <c r="AA650" s="130" t="e">
        <f t="shared" si="42"/>
        <v>#VALUE!</v>
      </c>
    </row>
    <row r="651" spans="1:27" x14ac:dyDescent="0.3">
      <c r="A651">
        <v>661100</v>
      </c>
      <c r="B651">
        <v>17031661100</v>
      </c>
      <c r="C651">
        <v>17031</v>
      </c>
      <c r="D651">
        <v>2010</v>
      </c>
      <c r="E651">
        <v>66</v>
      </c>
      <c r="F651">
        <v>13858021.394731199</v>
      </c>
      <c r="G651" s="43">
        <v>0.49708811821091597</v>
      </c>
      <c r="H651" s="58" t="str">
        <f>_xlfn.IFNA(
INDEX(CA!B$2:B$78,MATCH($E651,CA!$A$2:$A$78,0)),
"")</f>
        <v>CHICAGO LAWN</v>
      </c>
      <c r="I651" s="60" t="str">
        <f>_xlfn.IFNA(
INDEX(CA!C$2:C$78,MATCH($E651,CA!$A$2:$A$78,0)),
"")</f>
        <v>4-B</v>
      </c>
      <c r="J651" s="60">
        <f>_xlfn.IFNA(
INDEX(CA!D$2:D$78,MATCH($E651,CA!$A$2:$A$78,0)),
"")</f>
        <v>4</v>
      </c>
      <c r="K651" s="58" t="str">
        <f>_xlfn.IFNA(
INDEX(CA!E$2:E$78,MATCH($E651,CA!$A$2:$A$78,0)),
"")</f>
        <v>SOUTHWEST</v>
      </c>
      <c r="L651" s="15" t="e">
        <v>#VALUE!</v>
      </c>
      <c r="M651" s="15" t="e">
        <v>#VALUE!</v>
      </c>
      <c r="N651" s="15" t="e">
        <v>#VALUE!</v>
      </c>
      <c r="O651" s="15" t="e">
        <v>#VALUE!</v>
      </c>
      <c r="P651" s="15" t="e">
        <v>#VALUE!</v>
      </c>
      <c r="Q651" s="15" t="e">
        <v>#VALUE!</v>
      </c>
      <c r="R651" s="15" t="e">
        <v>#VALUE!</v>
      </c>
      <c r="S651" s="15" t="e">
        <v>#VALUE!</v>
      </c>
      <c r="T651" s="129">
        <v>0</v>
      </c>
      <c r="U651" s="130" t="e">
        <f t="shared" si="43"/>
        <v>#VALUE!</v>
      </c>
      <c r="V651" s="129">
        <v>0</v>
      </c>
      <c r="W651" s="130" t="e">
        <f t="shared" si="40"/>
        <v>#VALUE!</v>
      </c>
      <c r="X651" s="129">
        <v>0</v>
      </c>
      <c r="Y651" s="130" t="e">
        <f t="shared" si="41"/>
        <v>#VALUE!</v>
      </c>
      <c r="Z651" s="129">
        <v>0</v>
      </c>
      <c r="AA651" s="130" t="e">
        <f t="shared" si="42"/>
        <v>#VALUE!</v>
      </c>
    </row>
    <row r="652" spans="1:27" x14ac:dyDescent="0.3">
      <c r="A652">
        <v>660301</v>
      </c>
      <c r="B652">
        <v>17031660301</v>
      </c>
      <c r="C652">
        <v>17031</v>
      </c>
      <c r="D652">
        <v>2010</v>
      </c>
      <c r="E652">
        <v>66</v>
      </c>
      <c r="F652">
        <v>1762690.60332358</v>
      </c>
      <c r="G652" s="43">
        <v>6.3227825245479652E-2</v>
      </c>
      <c r="H652" s="58" t="str">
        <f>_xlfn.IFNA(
INDEX(CA!B$2:B$78,MATCH($E652,CA!$A$2:$A$78,0)),
"")</f>
        <v>CHICAGO LAWN</v>
      </c>
      <c r="I652" s="60" t="str">
        <f>_xlfn.IFNA(
INDEX(CA!C$2:C$78,MATCH($E652,CA!$A$2:$A$78,0)),
"")</f>
        <v>4-B</v>
      </c>
      <c r="J652" s="60">
        <f>_xlfn.IFNA(
INDEX(CA!D$2:D$78,MATCH($E652,CA!$A$2:$A$78,0)),
"")</f>
        <v>4</v>
      </c>
      <c r="K652" s="58" t="str">
        <f>_xlfn.IFNA(
INDEX(CA!E$2:E$78,MATCH($E652,CA!$A$2:$A$78,0)),
"")</f>
        <v>SOUTHWEST</v>
      </c>
      <c r="L652" s="15" t="e">
        <v>#VALUE!</v>
      </c>
      <c r="M652" s="15" t="e">
        <v>#VALUE!</v>
      </c>
      <c r="N652" s="15" t="e">
        <v>#VALUE!</v>
      </c>
      <c r="O652" s="15" t="e">
        <v>#VALUE!</v>
      </c>
      <c r="P652" s="15" t="e">
        <v>#VALUE!</v>
      </c>
      <c r="Q652" s="15" t="e">
        <v>#VALUE!</v>
      </c>
      <c r="R652" s="15" t="e">
        <v>#VALUE!</v>
      </c>
      <c r="S652" s="15" t="e">
        <v>#VALUE!</v>
      </c>
      <c r="T652" s="129">
        <v>6.3227824547681361E-2</v>
      </c>
      <c r="U652" s="130" t="e">
        <f t="shared" si="43"/>
        <v>#VALUE!</v>
      </c>
      <c r="V652" s="129">
        <v>6.3227824547681361E-2</v>
      </c>
      <c r="W652" s="130" t="e">
        <f t="shared" si="40"/>
        <v>#VALUE!</v>
      </c>
      <c r="X652" s="129">
        <v>6.3227824547681361E-2</v>
      </c>
      <c r="Y652" s="130" t="e">
        <f t="shared" si="41"/>
        <v>#VALUE!</v>
      </c>
      <c r="Z652" s="129">
        <v>6.3227824547681361E-2</v>
      </c>
      <c r="AA652" s="130" t="e">
        <f t="shared" si="42"/>
        <v>#VALUE!</v>
      </c>
    </row>
    <row r="653" spans="1:27" x14ac:dyDescent="0.3">
      <c r="A653">
        <v>661000</v>
      </c>
      <c r="B653">
        <v>17031661000</v>
      </c>
      <c r="C653">
        <v>17031</v>
      </c>
      <c r="D653">
        <v>2010</v>
      </c>
      <c r="E653">
        <v>66</v>
      </c>
      <c r="F653">
        <v>12072142.188273501</v>
      </c>
      <c r="G653" s="43">
        <v>0.43302851628047162</v>
      </c>
      <c r="H653" s="58" t="str">
        <f>_xlfn.IFNA(
INDEX(CA!B$2:B$78,MATCH($E653,CA!$A$2:$A$78,0)),
"")</f>
        <v>CHICAGO LAWN</v>
      </c>
      <c r="I653" s="60" t="str">
        <f>_xlfn.IFNA(
INDEX(CA!C$2:C$78,MATCH($E653,CA!$A$2:$A$78,0)),
"")</f>
        <v>4-B</v>
      </c>
      <c r="J653" s="60">
        <f>_xlfn.IFNA(
INDEX(CA!D$2:D$78,MATCH($E653,CA!$A$2:$A$78,0)),
"")</f>
        <v>4</v>
      </c>
      <c r="K653" s="58" t="str">
        <f>_xlfn.IFNA(
INDEX(CA!E$2:E$78,MATCH($E653,CA!$A$2:$A$78,0)),
"")</f>
        <v>SOUTHWEST</v>
      </c>
      <c r="L653" s="15" t="e">
        <v>#VALUE!</v>
      </c>
      <c r="M653" s="15" t="e">
        <v>#VALUE!</v>
      </c>
      <c r="N653" s="15" t="e">
        <v>#VALUE!</v>
      </c>
      <c r="O653" s="15" t="e">
        <v>#VALUE!</v>
      </c>
      <c r="P653" s="15" t="e">
        <v>#VALUE!</v>
      </c>
      <c r="Q653" s="15" t="e">
        <v>#VALUE!</v>
      </c>
      <c r="R653" s="15" t="e">
        <v>#VALUE!</v>
      </c>
      <c r="S653" s="15" t="e">
        <v>#VALUE!</v>
      </c>
      <c r="T653" s="129">
        <v>0.18313280576371349</v>
      </c>
      <c r="U653" s="130" t="e">
        <f t="shared" si="43"/>
        <v>#VALUE!</v>
      </c>
      <c r="V653" s="129">
        <v>0.18313280576371349</v>
      </c>
      <c r="W653" s="130" t="e">
        <f t="shared" si="40"/>
        <v>#VALUE!</v>
      </c>
      <c r="X653" s="129">
        <v>0.18313280576371349</v>
      </c>
      <c r="Y653" s="130" t="e">
        <f t="shared" si="41"/>
        <v>#VALUE!</v>
      </c>
      <c r="Z653" s="129">
        <v>0.18313280576371349</v>
      </c>
      <c r="AA653" s="130" t="e">
        <f t="shared" si="42"/>
        <v>#VALUE!</v>
      </c>
    </row>
    <row r="654" spans="1:27" x14ac:dyDescent="0.3">
      <c r="A654">
        <v>660800</v>
      </c>
      <c r="B654">
        <v>17031660800</v>
      </c>
      <c r="C654">
        <v>17031</v>
      </c>
      <c r="D654">
        <v>2010</v>
      </c>
      <c r="E654">
        <v>66</v>
      </c>
      <c r="F654">
        <v>7053371.70713971</v>
      </c>
      <c r="G654" s="43">
        <v>0.25300489651987595</v>
      </c>
      <c r="H654" s="58" t="str">
        <f>_xlfn.IFNA(
INDEX(CA!B$2:B$78,MATCH($E654,CA!$A$2:$A$78,0)),
"")</f>
        <v>CHICAGO LAWN</v>
      </c>
      <c r="I654" s="60" t="str">
        <f>_xlfn.IFNA(
INDEX(CA!C$2:C$78,MATCH($E654,CA!$A$2:$A$78,0)),
"")</f>
        <v>4-B</v>
      </c>
      <c r="J654" s="60">
        <f>_xlfn.IFNA(
INDEX(CA!D$2:D$78,MATCH($E654,CA!$A$2:$A$78,0)),
"")</f>
        <v>4</v>
      </c>
      <c r="K654" s="58" t="str">
        <f>_xlfn.IFNA(
INDEX(CA!E$2:E$78,MATCH($E654,CA!$A$2:$A$78,0)),
"")</f>
        <v>SOUTHWEST</v>
      </c>
      <c r="L654" s="15" t="e">
        <v>#VALUE!</v>
      </c>
      <c r="M654" s="15" t="e">
        <v>#VALUE!</v>
      </c>
      <c r="N654" s="15" t="e">
        <v>#VALUE!</v>
      </c>
      <c r="O654" s="15" t="e">
        <v>#VALUE!</v>
      </c>
      <c r="P654" s="15" t="e">
        <v>#VALUE!</v>
      </c>
      <c r="Q654" s="15" t="e">
        <v>#VALUE!</v>
      </c>
      <c r="R654" s="15" t="e">
        <v>#VALUE!</v>
      </c>
      <c r="S654" s="15" t="e">
        <v>#VALUE!</v>
      </c>
      <c r="T654" s="129">
        <v>0.25300489609867888</v>
      </c>
      <c r="U654" s="130" t="e">
        <f t="shared" si="43"/>
        <v>#VALUE!</v>
      </c>
      <c r="V654" s="129">
        <v>0.25300489609867888</v>
      </c>
      <c r="W654" s="130" t="e">
        <f t="shared" si="40"/>
        <v>#VALUE!</v>
      </c>
      <c r="X654" s="129">
        <v>0.25300489609867888</v>
      </c>
      <c r="Y654" s="130" t="e">
        <f t="shared" si="41"/>
        <v>#VALUE!</v>
      </c>
      <c r="Z654" s="129">
        <v>0.25300489609867888</v>
      </c>
      <c r="AA654" s="130" t="e">
        <f t="shared" si="42"/>
        <v>#VALUE!</v>
      </c>
    </row>
    <row r="655" spans="1:27" x14ac:dyDescent="0.3">
      <c r="A655">
        <v>660500</v>
      </c>
      <c r="B655">
        <v>17031660500</v>
      </c>
      <c r="C655">
        <v>17031</v>
      </c>
      <c r="D655">
        <v>2010</v>
      </c>
      <c r="E655">
        <v>66</v>
      </c>
      <c r="F655">
        <v>7114837.0877472702</v>
      </c>
      <c r="G655" s="43">
        <v>0.25520966367321191</v>
      </c>
      <c r="H655" s="58" t="str">
        <f>_xlfn.IFNA(
INDEX(CA!B$2:B$78,MATCH($E655,CA!$A$2:$A$78,0)),
"")</f>
        <v>CHICAGO LAWN</v>
      </c>
      <c r="I655" s="60" t="str">
        <f>_xlfn.IFNA(
INDEX(CA!C$2:C$78,MATCH($E655,CA!$A$2:$A$78,0)),
"")</f>
        <v>4-B</v>
      </c>
      <c r="J655" s="60">
        <f>_xlfn.IFNA(
INDEX(CA!D$2:D$78,MATCH($E655,CA!$A$2:$A$78,0)),
"")</f>
        <v>4</v>
      </c>
      <c r="K655" s="58" t="str">
        <f>_xlfn.IFNA(
INDEX(CA!E$2:E$78,MATCH($E655,CA!$A$2:$A$78,0)),
"")</f>
        <v>SOUTHWEST</v>
      </c>
      <c r="L655" s="15" t="e">
        <v>#VALUE!</v>
      </c>
      <c r="M655" s="15" t="e">
        <v>#VALUE!</v>
      </c>
      <c r="N655" s="15" t="e">
        <v>#VALUE!</v>
      </c>
      <c r="O655" s="15" t="e">
        <v>#VALUE!</v>
      </c>
      <c r="P655" s="15" t="e">
        <v>#VALUE!</v>
      </c>
      <c r="Q655" s="15" t="e">
        <v>#VALUE!</v>
      </c>
      <c r="R655" s="15" t="e">
        <v>#VALUE!</v>
      </c>
      <c r="S655" s="15" t="e">
        <v>#VALUE!</v>
      </c>
      <c r="T655" s="129">
        <v>0.25520966156172303</v>
      </c>
      <c r="U655" s="130" t="e">
        <f t="shared" si="43"/>
        <v>#VALUE!</v>
      </c>
      <c r="V655" s="129">
        <v>0.25520966156172303</v>
      </c>
      <c r="W655" s="130" t="e">
        <f t="shared" si="40"/>
        <v>#VALUE!</v>
      </c>
      <c r="X655" s="129">
        <v>0.25520966156172303</v>
      </c>
      <c r="Y655" s="130" t="e">
        <f t="shared" si="41"/>
        <v>#VALUE!</v>
      </c>
      <c r="Z655" s="129">
        <v>0.25520966156172303</v>
      </c>
      <c r="AA655" s="130" t="e">
        <f t="shared" si="42"/>
        <v>#VALUE!</v>
      </c>
    </row>
    <row r="656" spans="1:27" x14ac:dyDescent="0.3">
      <c r="A656">
        <v>660600</v>
      </c>
      <c r="B656">
        <v>17031660600</v>
      </c>
      <c r="C656">
        <v>17031</v>
      </c>
      <c r="D656">
        <v>2010</v>
      </c>
      <c r="E656">
        <v>66</v>
      </c>
      <c r="F656">
        <v>7090659.1732030902</v>
      </c>
      <c r="G656" s="43">
        <v>0.25434240032437622</v>
      </c>
      <c r="H656" s="58" t="str">
        <f>_xlfn.IFNA(
INDEX(CA!B$2:B$78,MATCH($E656,CA!$A$2:$A$78,0)),
"")</f>
        <v>CHICAGO LAWN</v>
      </c>
      <c r="I656" s="60" t="str">
        <f>_xlfn.IFNA(
INDEX(CA!C$2:C$78,MATCH($E656,CA!$A$2:$A$78,0)),
"")</f>
        <v>4-B</v>
      </c>
      <c r="J656" s="60">
        <f>_xlfn.IFNA(
INDEX(CA!D$2:D$78,MATCH($E656,CA!$A$2:$A$78,0)),
"")</f>
        <v>4</v>
      </c>
      <c r="K656" s="58" t="str">
        <f>_xlfn.IFNA(
INDEX(CA!E$2:E$78,MATCH($E656,CA!$A$2:$A$78,0)),
"")</f>
        <v>SOUTHWEST</v>
      </c>
      <c r="L656" s="15" t="e">
        <v>#VALUE!</v>
      </c>
      <c r="M656" s="15" t="e">
        <v>#VALUE!</v>
      </c>
      <c r="N656" s="15" t="e">
        <v>#VALUE!</v>
      </c>
      <c r="O656" s="15" t="e">
        <v>#VALUE!</v>
      </c>
      <c r="P656" s="15" t="e">
        <v>#VALUE!</v>
      </c>
      <c r="Q656" s="15" t="e">
        <v>#VALUE!</v>
      </c>
      <c r="R656" s="15" t="e">
        <v>#VALUE!</v>
      </c>
      <c r="S656" s="15" t="e">
        <v>#VALUE!</v>
      </c>
      <c r="T656" s="129">
        <v>0.25434240141226216</v>
      </c>
      <c r="U656" s="130" t="e">
        <f t="shared" si="43"/>
        <v>#VALUE!</v>
      </c>
      <c r="V656" s="129">
        <v>0.25434240141226216</v>
      </c>
      <c r="W656" s="130" t="e">
        <f t="shared" si="40"/>
        <v>#VALUE!</v>
      </c>
      <c r="X656" s="129">
        <v>0.25434240141226216</v>
      </c>
      <c r="Y656" s="130" t="e">
        <f t="shared" si="41"/>
        <v>#VALUE!</v>
      </c>
      <c r="Z656" s="129">
        <v>0.25434240141226216</v>
      </c>
      <c r="AA656" s="130" t="e">
        <f t="shared" si="42"/>
        <v>#VALUE!</v>
      </c>
    </row>
    <row r="657" spans="1:27" x14ac:dyDescent="0.3">
      <c r="A657">
        <v>670100</v>
      </c>
      <c r="B657">
        <v>17031670100</v>
      </c>
      <c r="C657">
        <v>17031</v>
      </c>
      <c r="D657">
        <v>2010</v>
      </c>
      <c r="E657">
        <v>67</v>
      </c>
      <c r="F657">
        <v>3518648.1095584901</v>
      </c>
      <c r="G657" s="43">
        <v>0.12621413386559094</v>
      </c>
      <c r="H657" s="58" t="str">
        <f>_xlfn.IFNA(
INDEX(CA!B$2:B$78,MATCH($E657,CA!$A$2:$A$78,0)),
"")</f>
        <v>WEST ENGLEWOOD</v>
      </c>
      <c r="I657" s="60" t="str">
        <f>_xlfn.IFNA(
INDEX(CA!C$2:C$78,MATCH($E657,CA!$A$2:$A$78,0)),
"")</f>
        <v>4-A</v>
      </c>
      <c r="J657" s="60">
        <f>_xlfn.IFNA(
INDEX(CA!D$2:D$78,MATCH($E657,CA!$A$2:$A$78,0)),
"")</f>
        <v>4</v>
      </c>
      <c r="K657" s="58" t="str">
        <f>_xlfn.IFNA(
INDEX(CA!E$2:E$78,MATCH($E657,CA!$A$2:$A$78,0)),
"")</f>
        <v>SOUTHWEST</v>
      </c>
      <c r="L657" s="15" t="e">
        <v>#VALUE!</v>
      </c>
      <c r="M657" s="15" t="e">
        <v>#VALUE!</v>
      </c>
      <c r="N657" s="15" t="e">
        <v>#VALUE!</v>
      </c>
      <c r="O657" s="15" t="e">
        <v>#VALUE!</v>
      </c>
      <c r="P657" s="15" t="e">
        <v>#VALUE!</v>
      </c>
      <c r="Q657" s="15" t="e">
        <v>#VALUE!</v>
      </c>
      <c r="R657" s="15" t="e">
        <v>#VALUE!</v>
      </c>
      <c r="S657" s="15" t="e">
        <v>#VALUE!</v>
      </c>
      <c r="T657" s="129">
        <v>0.12621413570338613</v>
      </c>
      <c r="U657" s="130" t="e">
        <f t="shared" si="43"/>
        <v>#VALUE!</v>
      </c>
      <c r="V657" s="129">
        <v>0.12621413570338613</v>
      </c>
      <c r="W657" s="130" t="e">
        <f t="shared" si="40"/>
        <v>#VALUE!</v>
      </c>
      <c r="X657" s="129">
        <v>0.12621413570338613</v>
      </c>
      <c r="Y657" s="130" t="e">
        <f t="shared" si="41"/>
        <v>#VALUE!</v>
      </c>
      <c r="Z657" s="129">
        <v>0.12621413570338613</v>
      </c>
      <c r="AA657" s="130" t="e">
        <f t="shared" si="42"/>
        <v>#VALUE!</v>
      </c>
    </row>
    <row r="658" spans="1:27" x14ac:dyDescent="0.3">
      <c r="A658">
        <v>670600</v>
      </c>
      <c r="B658">
        <v>17031670600</v>
      </c>
      <c r="C658">
        <v>17031</v>
      </c>
      <c r="D658">
        <v>2010</v>
      </c>
      <c r="E658">
        <v>67</v>
      </c>
      <c r="F658">
        <v>3520525.1032646801</v>
      </c>
      <c r="G658" s="43">
        <v>0.12628146175048352</v>
      </c>
      <c r="H658" s="58" t="str">
        <f>_xlfn.IFNA(
INDEX(CA!B$2:B$78,MATCH($E658,CA!$A$2:$A$78,0)),
"")</f>
        <v>WEST ENGLEWOOD</v>
      </c>
      <c r="I658" s="60" t="str">
        <f>_xlfn.IFNA(
INDEX(CA!C$2:C$78,MATCH($E658,CA!$A$2:$A$78,0)),
"")</f>
        <v>4-A</v>
      </c>
      <c r="J658" s="60">
        <f>_xlfn.IFNA(
INDEX(CA!D$2:D$78,MATCH($E658,CA!$A$2:$A$78,0)),
"")</f>
        <v>4</v>
      </c>
      <c r="K658" s="58" t="str">
        <f>_xlfn.IFNA(
INDEX(CA!E$2:E$78,MATCH($E658,CA!$A$2:$A$78,0)),
"")</f>
        <v>SOUTHWEST</v>
      </c>
      <c r="L658" s="15" t="e">
        <v>#VALUE!</v>
      </c>
      <c r="M658" s="15" t="e">
        <v>#VALUE!</v>
      </c>
      <c r="N658" s="15" t="e">
        <v>#VALUE!</v>
      </c>
      <c r="O658" s="15" t="e">
        <v>#VALUE!</v>
      </c>
      <c r="P658" s="15" t="e">
        <v>#VALUE!</v>
      </c>
      <c r="Q658" s="15" t="e">
        <v>#VALUE!</v>
      </c>
      <c r="R658" s="15" t="e">
        <v>#VALUE!</v>
      </c>
      <c r="S658" s="15" t="e">
        <v>#VALUE!</v>
      </c>
      <c r="T658" s="129">
        <v>0.12628146625739067</v>
      </c>
      <c r="U658" s="130" t="e">
        <f t="shared" si="43"/>
        <v>#VALUE!</v>
      </c>
      <c r="V658" s="129">
        <v>0.12628146625739067</v>
      </c>
      <c r="W658" s="130" t="e">
        <f t="shared" si="40"/>
        <v>#VALUE!</v>
      </c>
      <c r="X658" s="129">
        <v>0.12628146625739067</v>
      </c>
      <c r="Y658" s="130" t="e">
        <f t="shared" si="41"/>
        <v>#VALUE!</v>
      </c>
      <c r="Z658" s="129">
        <v>0.12628146625739067</v>
      </c>
      <c r="AA658" s="130" t="e">
        <f t="shared" si="42"/>
        <v>#VALUE!</v>
      </c>
    </row>
    <row r="659" spans="1:27" x14ac:dyDescent="0.3">
      <c r="A659">
        <v>670800</v>
      </c>
      <c r="B659">
        <v>17031670800</v>
      </c>
      <c r="C659">
        <v>17031</v>
      </c>
      <c r="D659">
        <v>2010</v>
      </c>
      <c r="E659">
        <v>67</v>
      </c>
      <c r="F659">
        <v>3512438.5678380802</v>
      </c>
      <c r="G659" s="43">
        <v>0.12599139720493574</v>
      </c>
      <c r="H659" s="58" t="str">
        <f>_xlfn.IFNA(
INDEX(CA!B$2:B$78,MATCH($E659,CA!$A$2:$A$78,0)),
"")</f>
        <v>WEST ENGLEWOOD</v>
      </c>
      <c r="I659" s="60" t="str">
        <f>_xlfn.IFNA(
INDEX(CA!C$2:C$78,MATCH($E659,CA!$A$2:$A$78,0)),
"")</f>
        <v>4-A</v>
      </c>
      <c r="J659" s="60">
        <f>_xlfn.IFNA(
INDEX(CA!D$2:D$78,MATCH($E659,CA!$A$2:$A$78,0)),
"")</f>
        <v>4</v>
      </c>
      <c r="K659" s="58" t="str">
        <f>_xlfn.IFNA(
INDEX(CA!E$2:E$78,MATCH($E659,CA!$A$2:$A$78,0)),
"")</f>
        <v>SOUTHWEST</v>
      </c>
      <c r="L659" s="15" t="e">
        <v>#VALUE!</v>
      </c>
      <c r="M659" s="15" t="e">
        <v>#VALUE!</v>
      </c>
      <c r="N659" s="15" t="e">
        <v>#VALUE!</v>
      </c>
      <c r="O659" s="15" t="e">
        <v>#VALUE!</v>
      </c>
      <c r="P659" s="15" t="e">
        <v>#VALUE!</v>
      </c>
      <c r="Q659" s="15" t="e">
        <v>#VALUE!</v>
      </c>
      <c r="R659" s="15" t="e">
        <v>#VALUE!</v>
      </c>
      <c r="S659" s="15" t="e">
        <v>#VALUE!</v>
      </c>
      <c r="T659" s="129">
        <v>7.6274727579455054E-2</v>
      </c>
      <c r="U659" s="130" t="e">
        <f t="shared" si="43"/>
        <v>#VALUE!</v>
      </c>
      <c r="V659" s="129">
        <v>4.5779897854514966E-2</v>
      </c>
      <c r="W659" s="130" t="e">
        <f t="shared" si="40"/>
        <v>#VALUE!</v>
      </c>
      <c r="X659" s="129">
        <v>4.5779897854514966E-2</v>
      </c>
      <c r="Y659" s="130" t="e">
        <f t="shared" si="41"/>
        <v>#VALUE!</v>
      </c>
      <c r="Z659" s="129">
        <v>4.5779897854514966E-2</v>
      </c>
      <c r="AA659" s="130" t="e">
        <f t="shared" si="42"/>
        <v>#VALUE!</v>
      </c>
    </row>
    <row r="660" spans="1:27" x14ac:dyDescent="0.3">
      <c r="A660">
        <v>671300</v>
      </c>
      <c r="B660">
        <v>17031671300</v>
      </c>
      <c r="C660">
        <v>17031</v>
      </c>
      <c r="D660">
        <v>2010</v>
      </c>
      <c r="E660">
        <v>67</v>
      </c>
      <c r="F660">
        <v>5217003.3024425404</v>
      </c>
      <c r="G660" s="43">
        <v>0.18713424380317881</v>
      </c>
      <c r="H660" s="58" t="str">
        <f>_xlfn.IFNA(
INDEX(CA!B$2:B$78,MATCH($E660,CA!$A$2:$A$78,0)),
"")</f>
        <v>WEST ENGLEWOOD</v>
      </c>
      <c r="I660" s="60" t="str">
        <f>_xlfn.IFNA(
INDEX(CA!C$2:C$78,MATCH($E660,CA!$A$2:$A$78,0)),
"")</f>
        <v>4-A</v>
      </c>
      <c r="J660" s="60">
        <f>_xlfn.IFNA(
INDEX(CA!D$2:D$78,MATCH($E660,CA!$A$2:$A$78,0)),
"")</f>
        <v>4</v>
      </c>
      <c r="K660" s="58" t="str">
        <f>_xlfn.IFNA(
INDEX(CA!E$2:E$78,MATCH($E660,CA!$A$2:$A$78,0)),
"")</f>
        <v>SOUTHWEST</v>
      </c>
      <c r="L660" s="15" t="e">
        <v>#VALUE!</v>
      </c>
      <c r="M660" s="15" t="e">
        <v>#VALUE!</v>
      </c>
      <c r="N660" s="15" t="e">
        <v>#VALUE!</v>
      </c>
      <c r="O660" s="15" t="e">
        <v>#VALUE!</v>
      </c>
      <c r="P660" s="15" t="e">
        <v>#VALUE!</v>
      </c>
      <c r="Q660" s="15" t="e">
        <v>#VALUE!</v>
      </c>
      <c r="R660" s="15" t="e">
        <v>#VALUE!</v>
      </c>
      <c r="S660" s="15" t="e">
        <v>#VALUE!</v>
      </c>
      <c r="T660" s="129">
        <v>0.18713424109497964</v>
      </c>
      <c r="U660" s="130" t="e">
        <f t="shared" si="43"/>
        <v>#VALUE!</v>
      </c>
      <c r="V660" s="129">
        <v>0.18713424109497964</v>
      </c>
      <c r="W660" s="130" t="e">
        <f t="shared" si="40"/>
        <v>#VALUE!</v>
      </c>
      <c r="X660" s="129">
        <v>0.18713424109497964</v>
      </c>
      <c r="Y660" s="130" t="e">
        <f t="shared" si="41"/>
        <v>#VALUE!</v>
      </c>
      <c r="Z660" s="129">
        <v>0.18713424109497964</v>
      </c>
      <c r="AA660" s="130" t="e">
        <f t="shared" si="42"/>
        <v>#VALUE!</v>
      </c>
    </row>
    <row r="661" spans="1:27" x14ac:dyDescent="0.3">
      <c r="A661">
        <v>671100</v>
      </c>
      <c r="B661">
        <v>17031671100</v>
      </c>
      <c r="C661">
        <v>17031</v>
      </c>
      <c r="D661">
        <v>2010</v>
      </c>
      <c r="E661">
        <v>67</v>
      </c>
      <c r="F661">
        <v>2639494.4733887101</v>
      </c>
      <c r="G661" s="43">
        <v>9.4678836424927901E-2</v>
      </c>
      <c r="H661" s="58" t="str">
        <f>_xlfn.IFNA(
INDEX(CA!B$2:B$78,MATCH($E661,CA!$A$2:$A$78,0)),
"")</f>
        <v>WEST ENGLEWOOD</v>
      </c>
      <c r="I661" s="60" t="str">
        <f>_xlfn.IFNA(
INDEX(CA!C$2:C$78,MATCH($E661,CA!$A$2:$A$78,0)),
"")</f>
        <v>4-A</v>
      </c>
      <c r="J661" s="60">
        <f>_xlfn.IFNA(
INDEX(CA!D$2:D$78,MATCH($E661,CA!$A$2:$A$78,0)),
"")</f>
        <v>4</v>
      </c>
      <c r="K661" s="58" t="str">
        <f>_xlfn.IFNA(
INDEX(CA!E$2:E$78,MATCH($E661,CA!$A$2:$A$78,0)),
"")</f>
        <v>SOUTHWEST</v>
      </c>
      <c r="L661" s="15" t="e">
        <v>#VALUE!</v>
      </c>
      <c r="M661" s="15" t="e">
        <v>#VALUE!</v>
      </c>
      <c r="N661" s="15" t="e">
        <v>#VALUE!</v>
      </c>
      <c r="O661" s="15" t="e">
        <v>#VALUE!</v>
      </c>
      <c r="P661" s="15" t="e">
        <v>#VALUE!</v>
      </c>
      <c r="Q661" s="15" t="e">
        <v>#VALUE!</v>
      </c>
      <c r="R661" s="15" t="e">
        <v>#VALUE!</v>
      </c>
      <c r="S661" s="15" t="e">
        <v>#VALUE!</v>
      </c>
      <c r="T661" s="129">
        <v>9.4025424078507017E-2</v>
      </c>
      <c r="U661" s="130" t="e">
        <f t="shared" si="43"/>
        <v>#VALUE!</v>
      </c>
      <c r="V661" s="129">
        <v>9.4025424078507017E-2</v>
      </c>
      <c r="W661" s="130" t="e">
        <f t="shared" si="40"/>
        <v>#VALUE!</v>
      </c>
      <c r="X661" s="129">
        <v>9.4025424078507017E-2</v>
      </c>
      <c r="Y661" s="130" t="e">
        <f t="shared" si="41"/>
        <v>#VALUE!</v>
      </c>
      <c r="Z661" s="129">
        <v>9.4025424078507017E-2</v>
      </c>
      <c r="AA661" s="130" t="e">
        <f t="shared" si="42"/>
        <v>#VALUE!</v>
      </c>
    </row>
    <row r="662" spans="1:27" x14ac:dyDescent="0.3">
      <c r="A662">
        <v>671200</v>
      </c>
      <c r="B662">
        <v>17031671200</v>
      </c>
      <c r="C662">
        <v>17031</v>
      </c>
      <c r="D662">
        <v>2010</v>
      </c>
      <c r="E662">
        <v>67</v>
      </c>
      <c r="F662">
        <v>2636286.26564088</v>
      </c>
      <c r="G662" s="43">
        <v>9.4563757806792353E-2</v>
      </c>
      <c r="H662" s="58" t="str">
        <f>_xlfn.IFNA(
INDEX(CA!B$2:B$78,MATCH($E662,CA!$A$2:$A$78,0)),
"")</f>
        <v>WEST ENGLEWOOD</v>
      </c>
      <c r="I662" s="60" t="str">
        <f>_xlfn.IFNA(
INDEX(CA!C$2:C$78,MATCH($E662,CA!$A$2:$A$78,0)),
"")</f>
        <v>4-A</v>
      </c>
      <c r="J662" s="60">
        <f>_xlfn.IFNA(
INDEX(CA!D$2:D$78,MATCH($E662,CA!$A$2:$A$78,0)),
"")</f>
        <v>4</v>
      </c>
      <c r="K662" s="58" t="str">
        <f>_xlfn.IFNA(
INDEX(CA!E$2:E$78,MATCH($E662,CA!$A$2:$A$78,0)),
"")</f>
        <v>SOUTHWEST</v>
      </c>
      <c r="L662" s="15" t="e">
        <v>#VALUE!</v>
      </c>
      <c r="M662" s="15" t="e">
        <v>#VALUE!</v>
      </c>
      <c r="N662" s="15" t="e">
        <v>#VALUE!</v>
      </c>
      <c r="O662" s="15" t="e">
        <v>#VALUE!</v>
      </c>
      <c r="P662" s="15" t="e">
        <v>#VALUE!</v>
      </c>
      <c r="Q662" s="15" t="e">
        <v>#VALUE!</v>
      </c>
      <c r="R662" s="15" t="e">
        <v>#VALUE!</v>
      </c>
      <c r="S662" s="15" t="e">
        <v>#VALUE!</v>
      </c>
      <c r="T662" s="129">
        <v>9.4563034983970742E-2</v>
      </c>
      <c r="U662" s="130" t="e">
        <f t="shared" si="43"/>
        <v>#VALUE!</v>
      </c>
      <c r="V662" s="129">
        <v>9.4563034983970742E-2</v>
      </c>
      <c r="W662" s="130" t="e">
        <f t="shared" si="40"/>
        <v>#VALUE!</v>
      </c>
      <c r="X662" s="129">
        <v>9.4563034983970742E-2</v>
      </c>
      <c r="Y662" s="130" t="e">
        <f t="shared" si="41"/>
        <v>#VALUE!</v>
      </c>
      <c r="Z662" s="129">
        <v>9.4563034983970742E-2</v>
      </c>
      <c r="AA662" s="130" t="e">
        <f t="shared" si="42"/>
        <v>#VALUE!</v>
      </c>
    </row>
    <row r="663" spans="1:27" x14ac:dyDescent="0.3">
      <c r="A663">
        <v>671900</v>
      </c>
      <c r="B663">
        <v>17031671900</v>
      </c>
      <c r="C663">
        <v>17031</v>
      </c>
      <c r="D663">
        <v>2010</v>
      </c>
      <c r="E663">
        <v>67</v>
      </c>
      <c r="F663">
        <v>3429731.85835465</v>
      </c>
      <c r="G663" s="43">
        <v>0.12302470221944767</v>
      </c>
      <c r="H663" s="58" t="str">
        <f>_xlfn.IFNA(
INDEX(CA!B$2:B$78,MATCH($E663,CA!$A$2:$A$78,0)),
"")</f>
        <v>WEST ENGLEWOOD</v>
      </c>
      <c r="I663" s="60" t="str">
        <f>_xlfn.IFNA(
INDEX(CA!C$2:C$78,MATCH($E663,CA!$A$2:$A$78,0)),
"")</f>
        <v>4-A</v>
      </c>
      <c r="J663" s="60">
        <f>_xlfn.IFNA(
INDEX(CA!D$2:D$78,MATCH($E663,CA!$A$2:$A$78,0)),
"")</f>
        <v>4</v>
      </c>
      <c r="K663" s="58" t="str">
        <f>_xlfn.IFNA(
INDEX(CA!E$2:E$78,MATCH($E663,CA!$A$2:$A$78,0)),
"")</f>
        <v>SOUTHWEST</v>
      </c>
      <c r="L663" s="15" t="e">
        <v>#VALUE!</v>
      </c>
      <c r="M663" s="15" t="e">
        <v>#VALUE!</v>
      </c>
      <c r="N663" s="15" t="e">
        <v>#VALUE!</v>
      </c>
      <c r="O663" s="15" t="e">
        <v>#VALUE!</v>
      </c>
      <c r="P663" s="15" t="e">
        <v>#VALUE!</v>
      </c>
      <c r="Q663" s="15" t="e">
        <v>#VALUE!</v>
      </c>
      <c r="R663" s="15" t="e">
        <v>#VALUE!</v>
      </c>
      <c r="S663" s="15" t="e">
        <v>#VALUE!</v>
      </c>
      <c r="T663" s="129">
        <v>0</v>
      </c>
      <c r="U663" s="130" t="e">
        <f t="shared" si="43"/>
        <v>#VALUE!</v>
      </c>
      <c r="V663" s="129">
        <v>0</v>
      </c>
      <c r="W663" s="130" t="e">
        <f t="shared" si="40"/>
        <v>#VALUE!</v>
      </c>
      <c r="X663" s="129">
        <v>0</v>
      </c>
      <c r="Y663" s="130" t="e">
        <f t="shared" si="41"/>
        <v>#VALUE!</v>
      </c>
      <c r="Z663" s="129">
        <v>0</v>
      </c>
      <c r="AA663" s="130" t="e">
        <f t="shared" si="42"/>
        <v>#VALUE!</v>
      </c>
    </row>
    <row r="664" spans="1:27" x14ac:dyDescent="0.3">
      <c r="A664">
        <v>670200</v>
      </c>
      <c r="B664">
        <v>17031670200</v>
      </c>
      <c r="C664">
        <v>17031</v>
      </c>
      <c r="D664">
        <v>2010</v>
      </c>
      <c r="E664">
        <v>67</v>
      </c>
      <c r="F664">
        <v>3515370.0156736099</v>
      </c>
      <c r="G664" s="43">
        <v>0.12609654842722717</v>
      </c>
      <c r="H664" s="58" t="str">
        <f>_xlfn.IFNA(
INDEX(CA!B$2:B$78,MATCH($E664,CA!$A$2:$A$78,0)),
"")</f>
        <v>WEST ENGLEWOOD</v>
      </c>
      <c r="I664" s="60" t="str">
        <f>_xlfn.IFNA(
INDEX(CA!C$2:C$78,MATCH($E664,CA!$A$2:$A$78,0)),
"")</f>
        <v>4-A</v>
      </c>
      <c r="J664" s="60">
        <f>_xlfn.IFNA(
INDEX(CA!D$2:D$78,MATCH($E664,CA!$A$2:$A$78,0)),
"")</f>
        <v>4</v>
      </c>
      <c r="K664" s="58" t="str">
        <f>_xlfn.IFNA(
INDEX(CA!E$2:E$78,MATCH($E664,CA!$A$2:$A$78,0)),
"")</f>
        <v>SOUTHWEST</v>
      </c>
      <c r="L664" s="15" t="e">
        <v>#VALUE!</v>
      </c>
      <c r="M664" s="15" t="e">
        <v>#VALUE!</v>
      </c>
      <c r="N664" s="15" t="e">
        <v>#VALUE!</v>
      </c>
      <c r="O664" s="15" t="e">
        <v>#VALUE!</v>
      </c>
      <c r="P664" s="15" t="e">
        <v>#VALUE!</v>
      </c>
      <c r="Q664" s="15" t="e">
        <v>#VALUE!</v>
      </c>
      <c r="R664" s="15" t="e">
        <v>#VALUE!</v>
      </c>
      <c r="S664" s="15" t="e">
        <v>#VALUE!</v>
      </c>
      <c r="T664" s="129">
        <v>0.12530140234252934</v>
      </c>
      <c r="U664" s="130" t="e">
        <f t="shared" si="43"/>
        <v>#VALUE!</v>
      </c>
      <c r="V664" s="129">
        <v>0.12465034943187951</v>
      </c>
      <c r="W664" s="130" t="e">
        <f t="shared" si="40"/>
        <v>#VALUE!</v>
      </c>
      <c r="X664" s="129">
        <v>0.12465034943187951</v>
      </c>
      <c r="Y664" s="130" t="e">
        <f t="shared" si="41"/>
        <v>#VALUE!</v>
      </c>
      <c r="Z664" s="129">
        <v>0.12465034943187951</v>
      </c>
      <c r="AA664" s="130" t="e">
        <f t="shared" si="42"/>
        <v>#VALUE!</v>
      </c>
    </row>
    <row r="665" spans="1:27" x14ac:dyDescent="0.3">
      <c r="A665">
        <v>670700</v>
      </c>
      <c r="B665">
        <v>17031670700</v>
      </c>
      <c r="C665">
        <v>17031</v>
      </c>
      <c r="D665">
        <v>2010</v>
      </c>
      <c r="E665">
        <v>67</v>
      </c>
      <c r="F665">
        <v>3516833.1381246801</v>
      </c>
      <c r="G665" s="43">
        <v>0.12614903072359535</v>
      </c>
      <c r="H665" s="58" t="str">
        <f>_xlfn.IFNA(
INDEX(CA!B$2:B$78,MATCH($E665,CA!$A$2:$A$78,0)),
"")</f>
        <v>WEST ENGLEWOOD</v>
      </c>
      <c r="I665" s="60" t="str">
        <f>_xlfn.IFNA(
INDEX(CA!C$2:C$78,MATCH($E665,CA!$A$2:$A$78,0)),
"")</f>
        <v>4-A</v>
      </c>
      <c r="J665" s="60">
        <f>_xlfn.IFNA(
INDEX(CA!D$2:D$78,MATCH($E665,CA!$A$2:$A$78,0)),
"")</f>
        <v>4</v>
      </c>
      <c r="K665" s="58" t="str">
        <f>_xlfn.IFNA(
INDEX(CA!E$2:E$78,MATCH($E665,CA!$A$2:$A$78,0)),
"")</f>
        <v>SOUTHWEST</v>
      </c>
      <c r="L665" s="15" t="e">
        <v>#VALUE!</v>
      </c>
      <c r="M665" s="15" t="e">
        <v>#VALUE!</v>
      </c>
      <c r="N665" s="15" t="e">
        <v>#VALUE!</v>
      </c>
      <c r="O665" s="15" t="e">
        <v>#VALUE!</v>
      </c>
      <c r="P665" s="15" t="e">
        <v>#VALUE!</v>
      </c>
      <c r="Q665" s="15" t="e">
        <v>#VALUE!</v>
      </c>
      <c r="R665" s="15" t="e">
        <v>#VALUE!</v>
      </c>
      <c r="S665" s="15" t="e">
        <v>#VALUE!</v>
      </c>
      <c r="T665" s="129">
        <v>0.12577669753380036</v>
      </c>
      <c r="U665" s="130" t="e">
        <f t="shared" si="43"/>
        <v>#VALUE!</v>
      </c>
      <c r="V665" s="129">
        <v>0.12577669753380036</v>
      </c>
      <c r="W665" s="130" t="e">
        <f t="shared" si="40"/>
        <v>#VALUE!</v>
      </c>
      <c r="X665" s="129">
        <v>0.12577669753380036</v>
      </c>
      <c r="Y665" s="130" t="e">
        <f t="shared" si="41"/>
        <v>#VALUE!</v>
      </c>
      <c r="Z665" s="129">
        <v>0.12577669753380036</v>
      </c>
      <c r="AA665" s="130" t="e">
        <f t="shared" si="42"/>
        <v>#VALUE!</v>
      </c>
    </row>
    <row r="666" spans="1:27" x14ac:dyDescent="0.3">
      <c r="A666">
        <v>671500</v>
      </c>
      <c r="B666">
        <v>17031671500</v>
      </c>
      <c r="C666">
        <v>17031</v>
      </c>
      <c r="D666">
        <v>2010</v>
      </c>
      <c r="E666">
        <v>67</v>
      </c>
      <c r="F666">
        <v>7914678.6156884599</v>
      </c>
      <c r="G666" s="43">
        <v>0.28390003069360004</v>
      </c>
      <c r="H666" s="58" t="str">
        <f>_xlfn.IFNA(
INDEX(CA!B$2:B$78,MATCH($E666,CA!$A$2:$A$78,0)),
"")</f>
        <v>WEST ENGLEWOOD</v>
      </c>
      <c r="I666" s="60" t="str">
        <f>_xlfn.IFNA(
INDEX(CA!C$2:C$78,MATCH($E666,CA!$A$2:$A$78,0)),
"")</f>
        <v>4-A</v>
      </c>
      <c r="J666" s="60">
        <f>_xlfn.IFNA(
INDEX(CA!D$2:D$78,MATCH($E666,CA!$A$2:$A$78,0)),
"")</f>
        <v>4</v>
      </c>
      <c r="K666" s="58" t="str">
        <f>_xlfn.IFNA(
INDEX(CA!E$2:E$78,MATCH($E666,CA!$A$2:$A$78,0)),
"")</f>
        <v>SOUTHWEST</v>
      </c>
      <c r="L666" s="15" t="e">
        <v>#VALUE!</v>
      </c>
      <c r="M666" s="15" t="e">
        <v>#VALUE!</v>
      </c>
      <c r="N666" s="15" t="e">
        <v>#VALUE!</v>
      </c>
      <c r="O666" s="15" t="e">
        <v>#VALUE!</v>
      </c>
      <c r="P666" s="15" t="e">
        <v>#VALUE!</v>
      </c>
      <c r="Q666" s="15" t="e">
        <v>#VALUE!</v>
      </c>
      <c r="R666" s="15" t="e">
        <v>#VALUE!</v>
      </c>
      <c r="S666" s="15" t="e">
        <v>#VALUE!</v>
      </c>
      <c r="T666" s="129">
        <v>0.28389122505540632</v>
      </c>
      <c r="U666" s="130" t="e">
        <f t="shared" si="43"/>
        <v>#VALUE!</v>
      </c>
      <c r="V666" s="129">
        <v>0.28389122505540632</v>
      </c>
      <c r="W666" s="130" t="e">
        <f t="shared" si="40"/>
        <v>#VALUE!</v>
      </c>
      <c r="X666" s="129">
        <v>0.28389122505540632</v>
      </c>
      <c r="Y666" s="130" t="e">
        <f t="shared" si="41"/>
        <v>#VALUE!</v>
      </c>
      <c r="Z666" s="129">
        <v>0.28389122505540632</v>
      </c>
      <c r="AA666" s="130" t="e">
        <f t="shared" si="42"/>
        <v>#VALUE!</v>
      </c>
    </row>
    <row r="667" spans="1:27" x14ac:dyDescent="0.3">
      <c r="A667">
        <v>834900</v>
      </c>
      <c r="B667">
        <v>17031834900</v>
      </c>
      <c r="C667">
        <v>17031</v>
      </c>
      <c r="D667">
        <v>2010</v>
      </c>
      <c r="E667">
        <v>67</v>
      </c>
      <c r="F667">
        <v>7030962.9677422997</v>
      </c>
      <c r="G667" s="43">
        <v>0.25220109359727599</v>
      </c>
      <c r="H667" s="58" t="str">
        <f>_xlfn.IFNA(
INDEX(CA!B$2:B$78,MATCH($E667,CA!$A$2:$A$78,0)),
"")</f>
        <v>WEST ENGLEWOOD</v>
      </c>
      <c r="I667" s="60" t="str">
        <f>_xlfn.IFNA(
INDEX(CA!C$2:C$78,MATCH($E667,CA!$A$2:$A$78,0)),
"")</f>
        <v>4-A</v>
      </c>
      <c r="J667" s="60">
        <f>_xlfn.IFNA(
INDEX(CA!D$2:D$78,MATCH($E667,CA!$A$2:$A$78,0)),
"")</f>
        <v>4</v>
      </c>
      <c r="K667" s="58" t="str">
        <f>_xlfn.IFNA(
INDEX(CA!E$2:E$78,MATCH($E667,CA!$A$2:$A$78,0)),
"")</f>
        <v>SOUTHWEST</v>
      </c>
      <c r="L667" s="15" t="e">
        <v>#VALUE!</v>
      </c>
      <c r="M667" s="15" t="e">
        <v>#VALUE!</v>
      </c>
      <c r="N667" s="15" t="e">
        <v>#VALUE!</v>
      </c>
      <c r="O667" s="15" t="e">
        <v>#VALUE!</v>
      </c>
      <c r="P667" s="15" t="e">
        <v>#VALUE!</v>
      </c>
      <c r="Q667" s="15" t="e">
        <v>#VALUE!</v>
      </c>
      <c r="R667" s="15" t="e">
        <v>#VALUE!</v>
      </c>
      <c r="S667" s="15" t="e">
        <v>#VALUE!</v>
      </c>
      <c r="T667" s="129">
        <v>0.25094865268694688</v>
      </c>
      <c r="U667" s="130" t="e">
        <f t="shared" si="43"/>
        <v>#VALUE!</v>
      </c>
      <c r="V667" s="129">
        <v>0.25094865268694688</v>
      </c>
      <c r="W667" s="130" t="e">
        <f t="shared" si="40"/>
        <v>#VALUE!</v>
      </c>
      <c r="X667" s="129">
        <v>0.25094865268694688</v>
      </c>
      <c r="Y667" s="130" t="e">
        <f t="shared" si="41"/>
        <v>#VALUE!</v>
      </c>
      <c r="Z667" s="129">
        <v>0.25094865268694688</v>
      </c>
      <c r="AA667" s="130" t="e">
        <f t="shared" si="42"/>
        <v>#VALUE!</v>
      </c>
    </row>
    <row r="668" spans="1:27" x14ac:dyDescent="0.3">
      <c r="A668">
        <v>672000</v>
      </c>
      <c r="B668">
        <v>17031672000</v>
      </c>
      <c r="C668">
        <v>17031</v>
      </c>
      <c r="D668">
        <v>2010</v>
      </c>
      <c r="E668">
        <v>67</v>
      </c>
      <c r="F668">
        <v>10406284.3363622</v>
      </c>
      <c r="G668" s="43">
        <v>0.37327408805247791</v>
      </c>
      <c r="H668" s="58" t="str">
        <f>_xlfn.IFNA(
INDEX(CA!B$2:B$78,MATCH($E668,CA!$A$2:$A$78,0)),
"")</f>
        <v>WEST ENGLEWOOD</v>
      </c>
      <c r="I668" s="60" t="str">
        <f>_xlfn.IFNA(
INDEX(CA!C$2:C$78,MATCH($E668,CA!$A$2:$A$78,0)),
"")</f>
        <v>4-A</v>
      </c>
      <c r="J668" s="60">
        <f>_xlfn.IFNA(
INDEX(CA!D$2:D$78,MATCH($E668,CA!$A$2:$A$78,0)),
"")</f>
        <v>4</v>
      </c>
      <c r="K668" s="58" t="str">
        <f>_xlfn.IFNA(
INDEX(CA!E$2:E$78,MATCH($E668,CA!$A$2:$A$78,0)),
"")</f>
        <v>SOUTHWEST</v>
      </c>
      <c r="L668" s="15" t="e">
        <v>#VALUE!</v>
      </c>
      <c r="M668" s="15" t="e">
        <v>#VALUE!</v>
      </c>
      <c r="N668" s="15" t="e">
        <v>#VALUE!</v>
      </c>
      <c r="O668" s="15" t="e">
        <v>#VALUE!</v>
      </c>
      <c r="P668" s="15" t="e">
        <v>#VALUE!</v>
      </c>
      <c r="Q668" s="15" t="e">
        <v>#VALUE!</v>
      </c>
      <c r="R668" s="15" t="e">
        <v>#VALUE!</v>
      </c>
      <c r="S668" s="15" t="e">
        <v>#VALUE!</v>
      </c>
      <c r="T668" s="129">
        <v>0.37143187414528095</v>
      </c>
      <c r="U668" s="130" t="e">
        <f t="shared" si="43"/>
        <v>#VALUE!</v>
      </c>
      <c r="V668" s="129">
        <v>0.37143187414528095</v>
      </c>
      <c r="W668" s="130" t="e">
        <f t="shared" si="40"/>
        <v>#VALUE!</v>
      </c>
      <c r="X668" s="129">
        <v>0.37143187414528095</v>
      </c>
      <c r="Y668" s="130" t="e">
        <f t="shared" si="41"/>
        <v>#VALUE!</v>
      </c>
      <c r="Z668" s="129">
        <v>0.37143187414528095</v>
      </c>
      <c r="AA668" s="130" t="e">
        <f t="shared" si="42"/>
        <v>#VALUE!</v>
      </c>
    </row>
    <row r="669" spans="1:27" x14ac:dyDescent="0.3">
      <c r="A669">
        <v>670400</v>
      </c>
      <c r="B669">
        <v>17031670400</v>
      </c>
      <c r="C669">
        <v>17031</v>
      </c>
      <c r="D669">
        <v>2010</v>
      </c>
      <c r="E669">
        <v>67</v>
      </c>
      <c r="F669">
        <v>3513376.60349192</v>
      </c>
      <c r="G669" s="43">
        <v>0.12602504460413511</v>
      </c>
      <c r="H669" s="58" t="str">
        <f>_xlfn.IFNA(
INDEX(CA!B$2:B$78,MATCH($E669,CA!$A$2:$A$78,0)),
"")</f>
        <v>WEST ENGLEWOOD</v>
      </c>
      <c r="I669" s="60" t="str">
        <f>_xlfn.IFNA(
INDEX(CA!C$2:C$78,MATCH($E669,CA!$A$2:$A$78,0)),
"")</f>
        <v>4-A</v>
      </c>
      <c r="J669" s="60">
        <f>_xlfn.IFNA(
INDEX(CA!D$2:D$78,MATCH($E669,CA!$A$2:$A$78,0)),
"")</f>
        <v>4</v>
      </c>
      <c r="K669" s="58" t="str">
        <f>_xlfn.IFNA(
INDEX(CA!E$2:E$78,MATCH($E669,CA!$A$2:$A$78,0)),
"")</f>
        <v>SOUTHWEST</v>
      </c>
      <c r="L669" s="15" t="e">
        <v>#VALUE!</v>
      </c>
      <c r="M669" s="15" t="e">
        <v>#VALUE!</v>
      </c>
      <c r="N669" s="15" t="e">
        <v>#VALUE!</v>
      </c>
      <c r="O669" s="15" t="e">
        <v>#VALUE!</v>
      </c>
      <c r="P669" s="15" t="e">
        <v>#VALUE!</v>
      </c>
      <c r="Q669" s="15" t="e">
        <v>#VALUE!</v>
      </c>
      <c r="R669" s="15" t="e">
        <v>#VALUE!</v>
      </c>
      <c r="S669" s="15" t="e">
        <v>#VALUE!</v>
      </c>
      <c r="T669" s="129">
        <v>0.12602504659509334</v>
      </c>
      <c r="U669" s="130" t="e">
        <f t="shared" si="43"/>
        <v>#VALUE!</v>
      </c>
      <c r="V669" s="129">
        <v>0.12602504659509334</v>
      </c>
      <c r="W669" s="130" t="e">
        <f t="shared" si="40"/>
        <v>#VALUE!</v>
      </c>
      <c r="X669" s="129">
        <v>0.12602504659509334</v>
      </c>
      <c r="Y669" s="130" t="e">
        <f t="shared" si="41"/>
        <v>#VALUE!</v>
      </c>
      <c r="Z669" s="129">
        <v>0.12602504659509334</v>
      </c>
      <c r="AA669" s="130" t="e">
        <f t="shared" si="42"/>
        <v>#VALUE!</v>
      </c>
    </row>
    <row r="670" spans="1:27" x14ac:dyDescent="0.3">
      <c r="A670">
        <v>671800</v>
      </c>
      <c r="B670">
        <v>17031671800</v>
      </c>
      <c r="C670">
        <v>17031</v>
      </c>
      <c r="D670">
        <v>2010</v>
      </c>
      <c r="E670">
        <v>67</v>
      </c>
      <c r="F670">
        <v>3457625.77041804</v>
      </c>
      <c r="G670" s="43">
        <v>0.12402525863815858</v>
      </c>
      <c r="H670" s="58" t="str">
        <f>_xlfn.IFNA(
INDEX(CA!B$2:B$78,MATCH($E670,CA!$A$2:$A$78,0)),
"")</f>
        <v>WEST ENGLEWOOD</v>
      </c>
      <c r="I670" s="60" t="str">
        <f>_xlfn.IFNA(
INDEX(CA!C$2:C$78,MATCH($E670,CA!$A$2:$A$78,0)),
"")</f>
        <v>4-A</v>
      </c>
      <c r="J670" s="60">
        <f>_xlfn.IFNA(
INDEX(CA!D$2:D$78,MATCH($E670,CA!$A$2:$A$78,0)),
"")</f>
        <v>4</v>
      </c>
      <c r="K670" s="58" t="str">
        <f>_xlfn.IFNA(
INDEX(CA!E$2:E$78,MATCH($E670,CA!$A$2:$A$78,0)),
"")</f>
        <v>SOUTHWEST</v>
      </c>
      <c r="L670" s="15" t="e">
        <v>#VALUE!</v>
      </c>
      <c r="M670" s="15" t="e">
        <v>#VALUE!</v>
      </c>
      <c r="N670" s="15" t="e">
        <v>#VALUE!</v>
      </c>
      <c r="O670" s="15" t="e">
        <v>#VALUE!</v>
      </c>
      <c r="P670" s="15" t="e">
        <v>#VALUE!</v>
      </c>
      <c r="Q670" s="15" t="e">
        <v>#VALUE!</v>
      </c>
      <c r="R670" s="15" t="e">
        <v>#VALUE!</v>
      </c>
      <c r="S670" s="15" t="e">
        <v>#VALUE!</v>
      </c>
      <c r="T670" s="129">
        <v>0</v>
      </c>
      <c r="U670" s="130" t="e">
        <f t="shared" si="43"/>
        <v>#VALUE!</v>
      </c>
      <c r="V670" s="129">
        <v>0</v>
      </c>
      <c r="W670" s="130" t="e">
        <f t="shared" si="40"/>
        <v>#VALUE!</v>
      </c>
      <c r="X670" s="129">
        <v>0</v>
      </c>
      <c r="Y670" s="130" t="e">
        <f t="shared" si="41"/>
        <v>#VALUE!</v>
      </c>
      <c r="Z670" s="129">
        <v>0</v>
      </c>
      <c r="AA670" s="130" t="e">
        <f t="shared" si="42"/>
        <v>#VALUE!</v>
      </c>
    </row>
    <row r="671" spans="1:27" x14ac:dyDescent="0.3">
      <c r="A671">
        <v>670300</v>
      </c>
      <c r="B671">
        <v>17031670300</v>
      </c>
      <c r="C671">
        <v>17031</v>
      </c>
      <c r="D671">
        <v>2010</v>
      </c>
      <c r="E671">
        <v>67</v>
      </c>
      <c r="F671">
        <v>3512569.1280722399</v>
      </c>
      <c r="G671" s="43">
        <v>0.12599608040892735</v>
      </c>
      <c r="H671" s="58" t="str">
        <f>_xlfn.IFNA(
INDEX(CA!B$2:B$78,MATCH($E671,CA!$A$2:$A$78,0)),
"")</f>
        <v>WEST ENGLEWOOD</v>
      </c>
      <c r="I671" s="60" t="str">
        <f>_xlfn.IFNA(
INDEX(CA!C$2:C$78,MATCH($E671,CA!$A$2:$A$78,0)),
"")</f>
        <v>4-A</v>
      </c>
      <c r="J671" s="60">
        <f>_xlfn.IFNA(
INDEX(CA!D$2:D$78,MATCH($E671,CA!$A$2:$A$78,0)),
"")</f>
        <v>4</v>
      </c>
      <c r="K671" s="58" t="str">
        <f>_xlfn.IFNA(
INDEX(CA!E$2:E$78,MATCH($E671,CA!$A$2:$A$78,0)),
"")</f>
        <v>SOUTHWEST</v>
      </c>
      <c r="L671" s="15" t="e">
        <v>#VALUE!</v>
      </c>
      <c r="M671" s="15" t="e">
        <v>#VALUE!</v>
      </c>
      <c r="N671" s="15" t="e">
        <v>#VALUE!</v>
      </c>
      <c r="O671" s="15" t="e">
        <v>#VALUE!</v>
      </c>
      <c r="P671" s="15" t="e">
        <v>#VALUE!</v>
      </c>
      <c r="Q671" s="15" t="e">
        <v>#VALUE!</v>
      </c>
      <c r="R671" s="15" t="e">
        <v>#VALUE!</v>
      </c>
      <c r="S671" s="15" t="e">
        <v>#VALUE!</v>
      </c>
      <c r="T671" s="129">
        <v>0.12533449774715982</v>
      </c>
      <c r="U671" s="130" t="e">
        <f t="shared" si="43"/>
        <v>#VALUE!</v>
      </c>
      <c r="V671" s="129">
        <v>0.12533449774715982</v>
      </c>
      <c r="W671" s="130" t="e">
        <f t="shared" si="40"/>
        <v>#VALUE!</v>
      </c>
      <c r="X671" s="129">
        <v>0.12533449774715982</v>
      </c>
      <c r="Y671" s="130" t="e">
        <f t="shared" si="41"/>
        <v>#VALUE!</v>
      </c>
      <c r="Z671" s="129">
        <v>0.12533449774715982</v>
      </c>
      <c r="AA671" s="130" t="e">
        <f t="shared" si="42"/>
        <v>#VALUE!</v>
      </c>
    </row>
    <row r="672" spans="1:27" x14ac:dyDescent="0.3">
      <c r="A672">
        <v>670900</v>
      </c>
      <c r="B672">
        <v>17031670900</v>
      </c>
      <c r="C672">
        <v>17031</v>
      </c>
      <c r="D672">
        <v>2010</v>
      </c>
      <c r="E672">
        <v>67</v>
      </c>
      <c r="F672">
        <v>3512087.5751332399</v>
      </c>
      <c r="G672" s="43">
        <v>0.1259788070740516</v>
      </c>
      <c r="H672" s="58" t="str">
        <f>_xlfn.IFNA(
INDEX(CA!B$2:B$78,MATCH($E672,CA!$A$2:$A$78,0)),
"")</f>
        <v>WEST ENGLEWOOD</v>
      </c>
      <c r="I672" s="60" t="str">
        <f>_xlfn.IFNA(
INDEX(CA!C$2:C$78,MATCH($E672,CA!$A$2:$A$78,0)),
"")</f>
        <v>4-A</v>
      </c>
      <c r="J672" s="60">
        <f>_xlfn.IFNA(
INDEX(CA!D$2:D$78,MATCH($E672,CA!$A$2:$A$78,0)),
"")</f>
        <v>4</v>
      </c>
      <c r="K672" s="58" t="str">
        <f>_xlfn.IFNA(
INDEX(CA!E$2:E$78,MATCH($E672,CA!$A$2:$A$78,0)),
"")</f>
        <v>SOUTHWEST</v>
      </c>
      <c r="L672" s="15" t="e">
        <v>#VALUE!</v>
      </c>
      <c r="M672" s="15" t="e">
        <v>#VALUE!</v>
      </c>
      <c r="N672" s="15" t="e">
        <v>#VALUE!</v>
      </c>
      <c r="O672" s="15" t="e">
        <v>#VALUE!</v>
      </c>
      <c r="P672" s="15" t="e">
        <v>#VALUE!</v>
      </c>
      <c r="Q672" s="15" t="e">
        <v>#VALUE!</v>
      </c>
      <c r="R672" s="15" t="e">
        <v>#VALUE!</v>
      </c>
      <c r="S672" s="15" t="e">
        <v>#VALUE!</v>
      </c>
      <c r="T672" s="129">
        <v>0.11989370998291474</v>
      </c>
      <c r="U672" s="130" t="e">
        <f t="shared" si="43"/>
        <v>#VALUE!</v>
      </c>
      <c r="V672" s="129">
        <v>8.8377087137697999E-2</v>
      </c>
      <c r="W672" s="130" t="e">
        <f t="shared" si="40"/>
        <v>#VALUE!</v>
      </c>
      <c r="X672" s="129">
        <v>8.8377087137697999E-2</v>
      </c>
      <c r="Y672" s="130" t="e">
        <f t="shared" si="41"/>
        <v>#VALUE!</v>
      </c>
      <c r="Z672" s="129">
        <v>8.8377087137697999E-2</v>
      </c>
      <c r="AA672" s="130" t="e">
        <f t="shared" si="42"/>
        <v>#VALUE!</v>
      </c>
    </row>
    <row r="673" spans="1:27" x14ac:dyDescent="0.3">
      <c r="A673">
        <v>671600</v>
      </c>
      <c r="B673">
        <v>17031671600</v>
      </c>
      <c r="C673">
        <v>17031</v>
      </c>
      <c r="D673">
        <v>2010</v>
      </c>
      <c r="E673">
        <v>67</v>
      </c>
      <c r="F673">
        <v>4383827.6928122202</v>
      </c>
      <c r="G673" s="43">
        <v>0.15724818112991493</v>
      </c>
      <c r="H673" s="58" t="str">
        <f>_xlfn.IFNA(
INDEX(CA!B$2:B$78,MATCH($E673,CA!$A$2:$A$78,0)),
"")</f>
        <v>WEST ENGLEWOOD</v>
      </c>
      <c r="I673" s="60" t="str">
        <f>_xlfn.IFNA(
INDEX(CA!C$2:C$78,MATCH($E673,CA!$A$2:$A$78,0)),
"")</f>
        <v>4-A</v>
      </c>
      <c r="J673" s="60">
        <f>_xlfn.IFNA(
INDEX(CA!D$2:D$78,MATCH($E673,CA!$A$2:$A$78,0)),
"")</f>
        <v>4</v>
      </c>
      <c r="K673" s="58" t="str">
        <f>_xlfn.IFNA(
INDEX(CA!E$2:E$78,MATCH($E673,CA!$A$2:$A$78,0)),
"")</f>
        <v>SOUTHWEST</v>
      </c>
      <c r="L673" s="15" t="e">
        <v>#VALUE!</v>
      </c>
      <c r="M673" s="15" t="e">
        <v>#VALUE!</v>
      </c>
      <c r="N673" s="15" t="e">
        <v>#VALUE!</v>
      </c>
      <c r="O673" s="15" t="e">
        <v>#VALUE!</v>
      </c>
      <c r="P673" s="15" t="e">
        <v>#VALUE!</v>
      </c>
      <c r="Q673" s="15" t="e">
        <v>#VALUE!</v>
      </c>
      <c r="R673" s="15" t="e">
        <v>#VALUE!</v>
      </c>
      <c r="S673" s="15" t="e">
        <v>#VALUE!</v>
      </c>
      <c r="T673" s="129">
        <v>0.15653523086740703</v>
      </c>
      <c r="U673" s="130" t="e">
        <f t="shared" si="43"/>
        <v>#VALUE!</v>
      </c>
      <c r="V673" s="129">
        <v>0.15653523086740703</v>
      </c>
      <c r="W673" s="130" t="e">
        <f t="shared" si="40"/>
        <v>#VALUE!</v>
      </c>
      <c r="X673" s="129">
        <v>0.15653523086740703</v>
      </c>
      <c r="Y673" s="130" t="e">
        <f t="shared" si="41"/>
        <v>#VALUE!</v>
      </c>
      <c r="Z673" s="129">
        <v>0.15653523086740703</v>
      </c>
      <c r="AA673" s="130" t="e">
        <f t="shared" si="42"/>
        <v>#VALUE!</v>
      </c>
    </row>
    <row r="674" spans="1:27" x14ac:dyDescent="0.3">
      <c r="A674">
        <v>670500</v>
      </c>
      <c r="B674">
        <v>17031670500</v>
      </c>
      <c r="C674">
        <v>17031</v>
      </c>
      <c r="D674">
        <v>2010</v>
      </c>
      <c r="E674">
        <v>67</v>
      </c>
      <c r="F674">
        <v>7151230.3729286101</v>
      </c>
      <c r="G674" s="43">
        <v>0.25651509315199617</v>
      </c>
      <c r="H674" s="58" t="str">
        <f>_xlfn.IFNA(
INDEX(CA!B$2:B$78,MATCH($E674,CA!$A$2:$A$78,0)),
"")</f>
        <v>WEST ENGLEWOOD</v>
      </c>
      <c r="I674" s="60" t="str">
        <f>_xlfn.IFNA(
INDEX(CA!C$2:C$78,MATCH($E674,CA!$A$2:$A$78,0)),
"")</f>
        <v>4-A</v>
      </c>
      <c r="J674" s="60">
        <f>_xlfn.IFNA(
INDEX(CA!D$2:D$78,MATCH($E674,CA!$A$2:$A$78,0)),
"")</f>
        <v>4</v>
      </c>
      <c r="K674" s="58" t="str">
        <f>_xlfn.IFNA(
INDEX(CA!E$2:E$78,MATCH($E674,CA!$A$2:$A$78,0)),
"")</f>
        <v>SOUTHWEST</v>
      </c>
      <c r="L674" s="15" t="e">
        <v>#VALUE!</v>
      </c>
      <c r="M674" s="15" t="e">
        <v>#VALUE!</v>
      </c>
      <c r="N674" s="15" t="e">
        <v>#VALUE!</v>
      </c>
      <c r="O674" s="15" t="e">
        <v>#VALUE!</v>
      </c>
      <c r="P674" s="15" t="e">
        <v>#VALUE!</v>
      </c>
      <c r="Q674" s="15" t="e">
        <v>#VALUE!</v>
      </c>
      <c r="R674" s="15" t="e">
        <v>#VALUE!</v>
      </c>
      <c r="S674" s="15" t="e">
        <v>#VALUE!</v>
      </c>
      <c r="T674" s="129">
        <v>0.25651509533024386</v>
      </c>
      <c r="U674" s="130" t="e">
        <f t="shared" si="43"/>
        <v>#VALUE!</v>
      </c>
      <c r="V674" s="129">
        <v>0.25651509533024386</v>
      </c>
      <c r="W674" s="130" t="e">
        <f t="shared" si="40"/>
        <v>#VALUE!</v>
      </c>
      <c r="X674" s="129">
        <v>0.25651509533024386</v>
      </c>
      <c r="Y674" s="130" t="e">
        <f t="shared" si="41"/>
        <v>#VALUE!</v>
      </c>
      <c r="Z674" s="129">
        <v>0.25651509533024386</v>
      </c>
      <c r="AA674" s="130" t="e">
        <f t="shared" si="42"/>
        <v>#VALUE!</v>
      </c>
    </row>
    <row r="675" spans="1:27" x14ac:dyDescent="0.3">
      <c r="A675">
        <v>681200</v>
      </c>
      <c r="B675">
        <v>17031681200</v>
      </c>
      <c r="C675">
        <v>17031</v>
      </c>
      <c r="D675">
        <v>2010</v>
      </c>
      <c r="E675">
        <v>68</v>
      </c>
      <c r="F675">
        <v>8555877.8150699008</v>
      </c>
      <c r="G675" s="43">
        <v>0.30689988719115519</v>
      </c>
      <c r="H675" s="58" t="str">
        <f>_xlfn.IFNA(
INDEX(CA!B$2:B$78,MATCH($E675,CA!$A$2:$A$78,0)),
"")</f>
        <v>ENGLEWOOD</v>
      </c>
      <c r="I675" s="60" t="str">
        <f>_xlfn.IFNA(
INDEX(CA!C$2:C$78,MATCH($E675,CA!$A$2:$A$78,0)),
"")</f>
        <v>4-A</v>
      </c>
      <c r="J675" s="60">
        <f>_xlfn.IFNA(
INDEX(CA!D$2:D$78,MATCH($E675,CA!$A$2:$A$78,0)),
"")</f>
        <v>4</v>
      </c>
      <c r="K675" s="58" t="str">
        <f>_xlfn.IFNA(
INDEX(CA!E$2:E$78,MATCH($E675,CA!$A$2:$A$78,0)),
"")</f>
        <v>SOUTHWEST</v>
      </c>
      <c r="L675" s="15" t="e">
        <v>#VALUE!</v>
      </c>
      <c r="M675" s="15" t="e">
        <v>#VALUE!</v>
      </c>
      <c r="N675" s="15" t="e">
        <v>#VALUE!</v>
      </c>
      <c r="O675" s="15" t="e">
        <v>#VALUE!</v>
      </c>
      <c r="P675" s="15" t="e">
        <v>#VALUE!</v>
      </c>
      <c r="Q675" s="15" t="e">
        <v>#VALUE!</v>
      </c>
      <c r="R675" s="15" t="e">
        <v>#VALUE!</v>
      </c>
      <c r="S675" s="15" t="e">
        <v>#VALUE!</v>
      </c>
      <c r="T675" s="129">
        <v>0.30689989379926214</v>
      </c>
      <c r="U675" s="130" t="e">
        <f t="shared" si="43"/>
        <v>#VALUE!</v>
      </c>
      <c r="V675" s="129">
        <v>0.30689989379926214</v>
      </c>
      <c r="W675" s="130" t="e">
        <f t="shared" si="40"/>
        <v>#VALUE!</v>
      </c>
      <c r="X675" s="129">
        <v>0.30689989379926214</v>
      </c>
      <c r="Y675" s="130" t="e">
        <f t="shared" si="41"/>
        <v>#VALUE!</v>
      </c>
      <c r="Z675" s="129">
        <v>0.30689989379926214</v>
      </c>
      <c r="AA675" s="130" t="e">
        <f t="shared" si="42"/>
        <v>#VALUE!</v>
      </c>
    </row>
    <row r="676" spans="1:27" x14ac:dyDescent="0.3">
      <c r="A676">
        <v>681300</v>
      </c>
      <c r="B676">
        <v>17031681300</v>
      </c>
      <c r="C676">
        <v>17031</v>
      </c>
      <c r="D676">
        <v>2010</v>
      </c>
      <c r="E676">
        <v>68</v>
      </c>
      <c r="F676">
        <v>7793332.8670832198</v>
      </c>
      <c r="G676" s="43">
        <v>0.27954735089112787</v>
      </c>
      <c r="H676" s="58" t="str">
        <f>_xlfn.IFNA(
INDEX(CA!B$2:B$78,MATCH($E676,CA!$A$2:$A$78,0)),
"")</f>
        <v>ENGLEWOOD</v>
      </c>
      <c r="I676" s="60" t="str">
        <f>_xlfn.IFNA(
INDEX(CA!C$2:C$78,MATCH($E676,CA!$A$2:$A$78,0)),
"")</f>
        <v>4-A</v>
      </c>
      <c r="J676" s="60">
        <f>_xlfn.IFNA(
INDEX(CA!D$2:D$78,MATCH($E676,CA!$A$2:$A$78,0)),
"")</f>
        <v>4</v>
      </c>
      <c r="K676" s="58" t="str">
        <f>_xlfn.IFNA(
INDEX(CA!E$2:E$78,MATCH($E676,CA!$A$2:$A$78,0)),
"")</f>
        <v>SOUTHWEST</v>
      </c>
      <c r="L676" s="15" t="e">
        <v>#VALUE!</v>
      </c>
      <c r="M676" s="15" t="e">
        <v>#VALUE!</v>
      </c>
      <c r="N676" s="15" t="e">
        <v>#VALUE!</v>
      </c>
      <c r="O676" s="15" t="e">
        <v>#VALUE!</v>
      </c>
      <c r="P676" s="15" t="e">
        <v>#VALUE!</v>
      </c>
      <c r="Q676" s="15" t="e">
        <v>#VALUE!</v>
      </c>
      <c r="R676" s="15" t="e">
        <v>#VALUE!</v>
      </c>
      <c r="S676" s="15" t="e">
        <v>#VALUE!</v>
      </c>
      <c r="T676" s="129">
        <v>0.27954735373486855</v>
      </c>
      <c r="U676" s="130" t="e">
        <f t="shared" si="43"/>
        <v>#VALUE!</v>
      </c>
      <c r="V676" s="129">
        <v>0.27954735373486855</v>
      </c>
      <c r="W676" s="130" t="e">
        <f t="shared" si="40"/>
        <v>#VALUE!</v>
      </c>
      <c r="X676" s="129">
        <v>0.27954735373486855</v>
      </c>
      <c r="Y676" s="130" t="e">
        <f t="shared" si="41"/>
        <v>#VALUE!</v>
      </c>
      <c r="Z676" s="129">
        <v>0.27954735373486855</v>
      </c>
      <c r="AA676" s="130" t="e">
        <f t="shared" si="42"/>
        <v>#VALUE!</v>
      </c>
    </row>
    <row r="677" spans="1:27" x14ac:dyDescent="0.3">
      <c r="A677">
        <v>834600</v>
      </c>
      <c r="B677">
        <v>17031834600</v>
      </c>
      <c r="C677">
        <v>17031</v>
      </c>
      <c r="D677">
        <v>2010</v>
      </c>
      <c r="E677">
        <v>68</v>
      </c>
      <c r="F677">
        <v>16904459.261537202</v>
      </c>
      <c r="G677" s="43">
        <v>0.60636404031569968</v>
      </c>
      <c r="H677" s="58" t="str">
        <f>_xlfn.IFNA(
INDEX(CA!B$2:B$78,MATCH($E677,CA!$A$2:$A$78,0)),
"")</f>
        <v>ENGLEWOOD</v>
      </c>
      <c r="I677" s="60" t="str">
        <f>_xlfn.IFNA(
INDEX(CA!C$2:C$78,MATCH($E677,CA!$A$2:$A$78,0)),
"")</f>
        <v>4-A</v>
      </c>
      <c r="J677" s="60">
        <f>_xlfn.IFNA(
INDEX(CA!D$2:D$78,MATCH($E677,CA!$A$2:$A$78,0)),
"")</f>
        <v>4</v>
      </c>
      <c r="K677" s="58" t="str">
        <f>_xlfn.IFNA(
INDEX(CA!E$2:E$78,MATCH($E677,CA!$A$2:$A$78,0)),
"")</f>
        <v>SOUTHWEST</v>
      </c>
      <c r="L677" s="15" t="e">
        <v>#VALUE!</v>
      </c>
      <c r="M677" s="15" t="e">
        <v>#VALUE!</v>
      </c>
      <c r="N677" s="15" t="e">
        <v>#VALUE!</v>
      </c>
      <c r="O677" s="15" t="e">
        <v>#VALUE!</v>
      </c>
      <c r="P677" s="15" t="e">
        <v>#VALUE!</v>
      </c>
      <c r="Q677" s="15" t="e">
        <v>#VALUE!</v>
      </c>
      <c r="R677" s="15" t="e">
        <v>#VALUE!</v>
      </c>
      <c r="S677" s="15" t="e">
        <v>#VALUE!</v>
      </c>
      <c r="T677" s="129">
        <v>0.25054263168423796</v>
      </c>
      <c r="U677" s="130" t="e">
        <f t="shared" si="43"/>
        <v>#VALUE!</v>
      </c>
      <c r="V677" s="129">
        <v>0.25054263168423796</v>
      </c>
      <c r="W677" s="130" t="e">
        <f t="shared" si="40"/>
        <v>#VALUE!</v>
      </c>
      <c r="X677" s="129">
        <v>0.25054263168423796</v>
      </c>
      <c r="Y677" s="130" t="e">
        <f t="shared" si="41"/>
        <v>#VALUE!</v>
      </c>
      <c r="Z677" s="129">
        <v>0.25054263168423796</v>
      </c>
      <c r="AA677" s="130" t="e">
        <f t="shared" si="42"/>
        <v>#VALUE!</v>
      </c>
    </row>
    <row r="678" spans="1:27" x14ac:dyDescent="0.3">
      <c r="A678">
        <v>834700</v>
      </c>
      <c r="B678">
        <v>17031834700</v>
      </c>
      <c r="C678">
        <v>17031</v>
      </c>
      <c r="D678">
        <v>2010</v>
      </c>
      <c r="E678">
        <v>68</v>
      </c>
      <c r="F678">
        <v>6986422.5574230095</v>
      </c>
      <c r="G678" s="43">
        <v>0.25060342621610315</v>
      </c>
      <c r="H678" s="58" t="str">
        <f>_xlfn.IFNA(
INDEX(CA!B$2:B$78,MATCH($E678,CA!$A$2:$A$78,0)),
"")</f>
        <v>ENGLEWOOD</v>
      </c>
      <c r="I678" s="60" t="str">
        <f>_xlfn.IFNA(
INDEX(CA!C$2:C$78,MATCH($E678,CA!$A$2:$A$78,0)),
"")</f>
        <v>4-A</v>
      </c>
      <c r="J678" s="60">
        <f>_xlfn.IFNA(
INDEX(CA!D$2:D$78,MATCH($E678,CA!$A$2:$A$78,0)),
"")</f>
        <v>4</v>
      </c>
      <c r="K678" s="58" t="str">
        <f>_xlfn.IFNA(
INDEX(CA!E$2:E$78,MATCH($E678,CA!$A$2:$A$78,0)),
"")</f>
        <v>SOUTHWEST</v>
      </c>
      <c r="L678" s="15" t="e">
        <v>#VALUE!</v>
      </c>
      <c r="M678" s="15" t="e">
        <v>#VALUE!</v>
      </c>
      <c r="N678" s="15" t="e">
        <v>#VALUE!</v>
      </c>
      <c r="O678" s="15" t="e">
        <v>#VALUE!</v>
      </c>
      <c r="P678" s="15" t="e">
        <v>#VALUE!</v>
      </c>
      <c r="Q678" s="15" t="e">
        <v>#VALUE!</v>
      </c>
      <c r="R678" s="15" t="e">
        <v>#VALUE!</v>
      </c>
      <c r="S678" s="15" t="e">
        <v>#VALUE!</v>
      </c>
      <c r="T678" s="129">
        <v>0.25060342457543833</v>
      </c>
      <c r="U678" s="130" t="e">
        <f t="shared" si="43"/>
        <v>#VALUE!</v>
      </c>
      <c r="V678" s="129">
        <v>0.25060342457543833</v>
      </c>
      <c r="W678" s="130" t="e">
        <f t="shared" si="40"/>
        <v>#VALUE!</v>
      </c>
      <c r="X678" s="129">
        <v>0.25060342457543833</v>
      </c>
      <c r="Y678" s="130" t="e">
        <f t="shared" si="41"/>
        <v>#VALUE!</v>
      </c>
      <c r="Z678" s="129">
        <v>0.25060342457543833</v>
      </c>
      <c r="AA678" s="130" t="e">
        <f t="shared" si="42"/>
        <v>#VALUE!</v>
      </c>
    </row>
    <row r="679" spans="1:27" x14ac:dyDescent="0.3">
      <c r="A679">
        <v>834800</v>
      </c>
      <c r="B679">
        <v>17031834800</v>
      </c>
      <c r="C679">
        <v>17031</v>
      </c>
      <c r="D679">
        <v>2010</v>
      </c>
      <c r="E679">
        <v>68</v>
      </c>
      <c r="F679">
        <v>6457263.8606412299</v>
      </c>
      <c r="G679" s="43">
        <v>0.23162246974866671</v>
      </c>
      <c r="H679" s="58" t="str">
        <f>_xlfn.IFNA(
INDEX(CA!B$2:B$78,MATCH($E679,CA!$A$2:$A$78,0)),
"")</f>
        <v>ENGLEWOOD</v>
      </c>
      <c r="I679" s="60" t="str">
        <f>_xlfn.IFNA(
INDEX(CA!C$2:C$78,MATCH($E679,CA!$A$2:$A$78,0)),
"")</f>
        <v>4-A</v>
      </c>
      <c r="J679" s="60">
        <f>_xlfn.IFNA(
INDEX(CA!D$2:D$78,MATCH($E679,CA!$A$2:$A$78,0)),
"")</f>
        <v>4</v>
      </c>
      <c r="K679" s="58" t="str">
        <f>_xlfn.IFNA(
INDEX(CA!E$2:E$78,MATCH($E679,CA!$A$2:$A$78,0)),
"")</f>
        <v>SOUTHWEST</v>
      </c>
      <c r="L679" s="15" t="e">
        <v>#VALUE!</v>
      </c>
      <c r="M679" s="15" t="e">
        <v>#VALUE!</v>
      </c>
      <c r="N679" s="15" t="e">
        <v>#VALUE!</v>
      </c>
      <c r="O679" s="15" t="e">
        <v>#VALUE!</v>
      </c>
      <c r="P679" s="15" t="e">
        <v>#VALUE!</v>
      </c>
      <c r="Q679" s="15" t="e">
        <v>#VALUE!</v>
      </c>
      <c r="R679" s="15" t="e">
        <v>#VALUE!</v>
      </c>
      <c r="S679" s="15" t="e">
        <v>#VALUE!</v>
      </c>
      <c r="T679" s="129">
        <v>0.231622468467378</v>
      </c>
      <c r="U679" s="130" t="e">
        <f t="shared" si="43"/>
        <v>#VALUE!</v>
      </c>
      <c r="V679" s="129">
        <v>0.231622468467378</v>
      </c>
      <c r="W679" s="130" t="e">
        <f t="shared" si="40"/>
        <v>#VALUE!</v>
      </c>
      <c r="X679" s="129">
        <v>0.231622468467378</v>
      </c>
      <c r="Y679" s="130" t="e">
        <f t="shared" si="41"/>
        <v>#VALUE!</v>
      </c>
      <c r="Z679" s="129">
        <v>0.231622468467378</v>
      </c>
      <c r="AA679" s="130" t="e">
        <f t="shared" si="42"/>
        <v>#VALUE!</v>
      </c>
    </row>
    <row r="680" spans="1:27" x14ac:dyDescent="0.3">
      <c r="A680">
        <v>681100</v>
      </c>
      <c r="B680">
        <v>17031681100</v>
      </c>
      <c r="C680">
        <v>17031</v>
      </c>
      <c r="D680">
        <v>2010</v>
      </c>
      <c r="E680">
        <v>68</v>
      </c>
      <c r="F680">
        <v>7022808.0994299604</v>
      </c>
      <c r="G680" s="43">
        <v>0.25190857794672433</v>
      </c>
      <c r="H680" s="58" t="str">
        <f>_xlfn.IFNA(
INDEX(CA!B$2:B$78,MATCH($E680,CA!$A$2:$A$78,0)),
"")</f>
        <v>ENGLEWOOD</v>
      </c>
      <c r="I680" s="60" t="str">
        <f>_xlfn.IFNA(
INDEX(CA!C$2:C$78,MATCH($E680,CA!$A$2:$A$78,0)),
"")</f>
        <v>4-A</v>
      </c>
      <c r="J680" s="60">
        <f>_xlfn.IFNA(
INDEX(CA!D$2:D$78,MATCH($E680,CA!$A$2:$A$78,0)),
"")</f>
        <v>4</v>
      </c>
      <c r="K680" s="58" t="str">
        <f>_xlfn.IFNA(
INDEX(CA!E$2:E$78,MATCH($E680,CA!$A$2:$A$78,0)),
"")</f>
        <v>SOUTHWEST</v>
      </c>
      <c r="L680" s="15" t="e">
        <v>#VALUE!</v>
      </c>
      <c r="M680" s="15" t="e">
        <v>#VALUE!</v>
      </c>
      <c r="N680" s="15" t="e">
        <v>#VALUE!</v>
      </c>
      <c r="O680" s="15" t="e">
        <v>#VALUE!</v>
      </c>
      <c r="P680" s="15" t="e">
        <v>#VALUE!</v>
      </c>
      <c r="Q680" s="15" t="e">
        <v>#VALUE!</v>
      </c>
      <c r="R680" s="15" t="e">
        <v>#VALUE!</v>
      </c>
      <c r="S680" s="15" t="e">
        <v>#VALUE!</v>
      </c>
      <c r="T680" s="129">
        <v>0.25190532658956899</v>
      </c>
      <c r="U680" s="130" t="e">
        <f t="shared" si="43"/>
        <v>#VALUE!</v>
      </c>
      <c r="V680" s="129">
        <v>0.25190532658956899</v>
      </c>
      <c r="W680" s="130" t="e">
        <f t="shared" si="40"/>
        <v>#VALUE!</v>
      </c>
      <c r="X680" s="129">
        <v>0.25190532658956899</v>
      </c>
      <c r="Y680" s="130" t="e">
        <f t="shared" si="41"/>
        <v>#VALUE!</v>
      </c>
      <c r="Z680" s="129">
        <v>0.25190532658956899</v>
      </c>
      <c r="AA680" s="130" t="e">
        <f t="shared" si="42"/>
        <v>#VALUE!</v>
      </c>
    </row>
    <row r="681" spans="1:27" x14ac:dyDescent="0.3">
      <c r="A681">
        <v>681000</v>
      </c>
      <c r="B681">
        <v>17031681000</v>
      </c>
      <c r="C681">
        <v>17031</v>
      </c>
      <c r="D681">
        <v>2010</v>
      </c>
      <c r="E681">
        <v>68</v>
      </c>
      <c r="F681">
        <v>7014901.0639862204</v>
      </c>
      <c r="G681" s="43">
        <v>0.25162495207709984</v>
      </c>
      <c r="H681" s="58" t="str">
        <f>_xlfn.IFNA(
INDEX(CA!B$2:B$78,MATCH($E681,CA!$A$2:$A$78,0)),
"")</f>
        <v>ENGLEWOOD</v>
      </c>
      <c r="I681" s="60" t="str">
        <f>_xlfn.IFNA(
INDEX(CA!C$2:C$78,MATCH($E681,CA!$A$2:$A$78,0)),
"")</f>
        <v>4-A</v>
      </c>
      <c r="J681" s="60">
        <f>_xlfn.IFNA(
INDEX(CA!D$2:D$78,MATCH($E681,CA!$A$2:$A$78,0)),
"")</f>
        <v>4</v>
      </c>
      <c r="K681" s="58" t="str">
        <f>_xlfn.IFNA(
INDEX(CA!E$2:E$78,MATCH($E681,CA!$A$2:$A$78,0)),
"")</f>
        <v>SOUTHWEST</v>
      </c>
      <c r="L681" s="15" t="e">
        <v>#VALUE!</v>
      </c>
      <c r="M681" s="15" t="e">
        <v>#VALUE!</v>
      </c>
      <c r="N681" s="15" t="e">
        <v>#VALUE!</v>
      </c>
      <c r="O681" s="15" t="e">
        <v>#VALUE!</v>
      </c>
      <c r="P681" s="15" t="e">
        <v>#VALUE!</v>
      </c>
      <c r="Q681" s="15" t="e">
        <v>#VALUE!</v>
      </c>
      <c r="R681" s="15" t="e">
        <v>#VALUE!</v>
      </c>
      <c r="S681" s="15" t="e">
        <v>#VALUE!</v>
      </c>
      <c r="T681" s="129">
        <v>0.25162054556519992</v>
      </c>
      <c r="U681" s="130" t="e">
        <f t="shared" si="43"/>
        <v>#VALUE!</v>
      </c>
      <c r="V681" s="129">
        <v>0.25162054556519992</v>
      </c>
      <c r="W681" s="130" t="e">
        <f t="shared" si="40"/>
        <v>#VALUE!</v>
      </c>
      <c r="X681" s="129">
        <v>0.25162054556519992</v>
      </c>
      <c r="Y681" s="130" t="e">
        <f t="shared" si="41"/>
        <v>#VALUE!</v>
      </c>
      <c r="Z681" s="129">
        <v>0.25162054556519992</v>
      </c>
      <c r="AA681" s="130" t="e">
        <f t="shared" si="42"/>
        <v>#VALUE!</v>
      </c>
    </row>
    <row r="682" spans="1:27" x14ac:dyDescent="0.3">
      <c r="A682">
        <v>680900</v>
      </c>
      <c r="B682">
        <v>17031680900</v>
      </c>
      <c r="C682">
        <v>17031</v>
      </c>
      <c r="D682">
        <v>2010</v>
      </c>
      <c r="E682">
        <v>68</v>
      </c>
      <c r="F682">
        <v>11126226.4499486</v>
      </c>
      <c r="G682" s="43">
        <v>0.39909845794409288</v>
      </c>
      <c r="H682" s="58" t="str">
        <f>_xlfn.IFNA(
INDEX(CA!B$2:B$78,MATCH($E682,CA!$A$2:$A$78,0)),
"")</f>
        <v>ENGLEWOOD</v>
      </c>
      <c r="I682" s="60" t="str">
        <f>_xlfn.IFNA(
INDEX(CA!C$2:C$78,MATCH($E682,CA!$A$2:$A$78,0)),
"")</f>
        <v>4-A</v>
      </c>
      <c r="J682" s="60">
        <f>_xlfn.IFNA(
INDEX(CA!D$2:D$78,MATCH($E682,CA!$A$2:$A$78,0)),
"")</f>
        <v>4</v>
      </c>
      <c r="K682" s="58" t="str">
        <f>_xlfn.IFNA(
INDEX(CA!E$2:E$78,MATCH($E682,CA!$A$2:$A$78,0)),
"")</f>
        <v>SOUTHWEST</v>
      </c>
      <c r="L682" s="15" t="e">
        <v>#VALUE!</v>
      </c>
      <c r="M682" s="15" t="e">
        <v>#VALUE!</v>
      </c>
      <c r="N682" s="15" t="e">
        <v>#VALUE!</v>
      </c>
      <c r="O682" s="15" t="e">
        <v>#VALUE!</v>
      </c>
      <c r="P682" s="15" t="e">
        <v>#VALUE!</v>
      </c>
      <c r="Q682" s="15" t="e">
        <v>#VALUE!</v>
      </c>
      <c r="R682" s="15" t="e">
        <v>#VALUE!</v>
      </c>
      <c r="S682" s="15" t="e">
        <v>#VALUE!</v>
      </c>
      <c r="T682" s="129">
        <v>0.39849529800762601</v>
      </c>
      <c r="U682" s="130" t="e">
        <f t="shared" si="43"/>
        <v>#VALUE!</v>
      </c>
      <c r="V682" s="129">
        <v>0.39849529800762601</v>
      </c>
      <c r="W682" s="130" t="e">
        <f t="shared" si="40"/>
        <v>#VALUE!</v>
      </c>
      <c r="X682" s="129">
        <v>0.39849529800762601</v>
      </c>
      <c r="Y682" s="130" t="e">
        <f t="shared" si="41"/>
        <v>#VALUE!</v>
      </c>
      <c r="Z682" s="129">
        <v>0.39849529800762601</v>
      </c>
      <c r="AA682" s="130" t="e">
        <f t="shared" si="42"/>
        <v>#VALUE!</v>
      </c>
    </row>
    <row r="683" spans="1:27" x14ac:dyDescent="0.3">
      <c r="A683">
        <v>680600</v>
      </c>
      <c r="B683">
        <v>17031680600</v>
      </c>
      <c r="C683">
        <v>17031</v>
      </c>
      <c r="D683">
        <v>2010</v>
      </c>
      <c r="E683">
        <v>68</v>
      </c>
      <c r="F683">
        <v>3514234.8351328401</v>
      </c>
      <c r="G683" s="43">
        <v>0.1260558294282613</v>
      </c>
      <c r="H683" s="58" t="str">
        <f>_xlfn.IFNA(
INDEX(CA!B$2:B$78,MATCH($E683,CA!$A$2:$A$78,0)),
"")</f>
        <v>ENGLEWOOD</v>
      </c>
      <c r="I683" s="60" t="str">
        <f>_xlfn.IFNA(
INDEX(CA!C$2:C$78,MATCH($E683,CA!$A$2:$A$78,0)),
"")</f>
        <v>4-A</v>
      </c>
      <c r="J683" s="60">
        <f>_xlfn.IFNA(
INDEX(CA!D$2:D$78,MATCH($E683,CA!$A$2:$A$78,0)),
"")</f>
        <v>4</v>
      </c>
      <c r="K683" s="58" t="str">
        <f>_xlfn.IFNA(
INDEX(CA!E$2:E$78,MATCH($E683,CA!$A$2:$A$78,0)),
"")</f>
        <v>SOUTHWEST</v>
      </c>
      <c r="L683" s="15" t="e">
        <v>#VALUE!</v>
      </c>
      <c r="M683" s="15" t="e">
        <v>#VALUE!</v>
      </c>
      <c r="N683" s="15" t="e">
        <v>#VALUE!</v>
      </c>
      <c r="O683" s="15" t="e">
        <v>#VALUE!</v>
      </c>
      <c r="P683" s="15" t="e">
        <v>#VALUE!</v>
      </c>
      <c r="Q683" s="15" t="e">
        <v>#VALUE!</v>
      </c>
      <c r="R683" s="15" t="e">
        <v>#VALUE!</v>
      </c>
      <c r="S683" s="15" t="e">
        <v>#VALUE!</v>
      </c>
      <c r="T683" s="129">
        <v>0.12605110883869375</v>
      </c>
      <c r="U683" s="130" t="e">
        <f t="shared" si="43"/>
        <v>#VALUE!</v>
      </c>
      <c r="V683" s="129">
        <v>0.12581316025441847</v>
      </c>
      <c r="W683" s="130" t="e">
        <f t="shared" si="40"/>
        <v>#VALUE!</v>
      </c>
      <c r="X683" s="129">
        <v>0.12581316025441847</v>
      </c>
      <c r="Y683" s="130" t="e">
        <f t="shared" si="41"/>
        <v>#VALUE!</v>
      </c>
      <c r="Z683" s="129">
        <v>0.12581316025441847</v>
      </c>
      <c r="AA683" s="130" t="e">
        <f t="shared" si="42"/>
        <v>#VALUE!</v>
      </c>
    </row>
    <row r="684" spans="1:27" x14ac:dyDescent="0.3">
      <c r="A684">
        <v>680500</v>
      </c>
      <c r="B684">
        <v>17031680500</v>
      </c>
      <c r="C684">
        <v>17031</v>
      </c>
      <c r="D684">
        <v>2010</v>
      </c>
      <c r="E684">
        <v>68</v>
      </c>
      <c r="F684">
        <v>3518727.97025161</v>
      </c>
      <c r="G684" s="43">
        <v>0.12621699847378651</v>
      </c>
      <c r="H684" s="58" t="str">
        <f>_xlfn.IFNA(
INDEX(CA!B$2:B$78,MATCH($E684,CA!$A$2:$A$78,0)),
"")</f>
        <v>ENGLEWOOD</v>
      </c>
      <c r="I684" s="60" t="str">
        <f>_xlfn.IFNA(
INDEX(CA!C$2:C$78,MATCH($E684,CA!$A$2:$A$78,0)),
"")</f>
        <v>4-A</v>
      </c>
      <c r="J684" s="60">
        <f>_xlfn.IFNA(
INDEX(CA!D$2:D$78,MATCH($E684,CA!$A$2:$A$78,0)),
"")</f>
        <v>4</v>
      </c>
      <c r="K684" s="58" t="str">
        <f>_xlfn.IFNA(
INDEX(CA!E$2:E$78,MATCH($E684,CA!$A$2:$A$78,0)),
"")</f>
        <v>SOUTHWEST</v>
      </c>
      <c r="L684" s="15" t="e">
        <v>#VALUE!</v>
      </c>
      <c r="M684" s="15" t="e">
        <v>#VALUE!</v>
      </c>
      <c r="N684" s="15" t="e">
        <v>#VALUE!</v>
      </c>
      <c r="O684" s="15" t="e">
        <v>#VALUE!</v>
      </c>
      <c r="P684" s="15" t="e">
        <v>#VALUE!</v>
      </c>
      <c r="Q684" s="15" t="e">
        <v>#VALUE!</v>
      </c>
      <c r="R684" s="15" t="e">
        <v>#VALUE!</v>
      </c>
      <c r="S684" s="15" t="e">
        <v>#VALUE!</v>
      </c>
      <c r="T684" s="129">
        <v>0.12621699785582349</v>
      </c>
      <c r="U684" s="130" t="e">
        <f t="shared" si="43"/>
        <v>#VALUE!</v>
      </c>
      <c r="V684" s="129">
        <v>0.12621699785582349</v>
      </c>
      <c r="W684" s="130" t="e">
        <f t="shared" si="40"/>
        <v>#VALUE!</v>
      </c>
      <c r="X684" s="129">
        <v>0.12621699785582349</v>
      </c>
      <c r="Y684" s="130" t="e">
        <f t="shared" si="41"/>
        <v>#VALUE!</v>
      </c>
      <c r="Z684" s="129">
        <v>0.12621699785582349</v>
      </c>
      <c r="AA684" s="130" t="e">
        <f t="shared" si="42"/>
        <v>#VALUE!</v>
      </c>
    </row>
    <row r="685" spans="1:27" x14ac:dyDescent="0.3">
      <c r="A685">
        <v>681400</v>
      </c>
      <c r="B685">
        <v>17031681400</v>
      </c>
      <c r="C685">
        <v>17031</v>
      </c>
      <c r="D685">
        <v>2010</v>
      </c>
      <c r="E685">
        <v>68</v>
      </c>
      <c r="F685">
        <v>6758068.3020418296</v>
      </c>
      <c r="G685" s="43">
        <v>0.24241234439716158</v>
      </c>
      <c r="H685" s="58" t="str">
        <f>_xlfn.IFNA(
INDEX(CA!B$2:B$78,MATCH($E685,CA!$A$2:$A$78,0)),
"")</f>
        <v>ENGLEWOOD</v>
      </c>
      <c r="I685" s="60" t="str">
        <f>_xlfn.IFNA(
INDEX(CA!C$2:C$78,MATCH($E685,CA!$A$2:$A$78,0)),
"")</f>
        <v>4-A</v>
      </c>
      <c r="J685" s="60">
        <f>_xlfn.IFNA(
INDEX(CA!D$2:D$78,MATCH($E685,CA!$A$2:$A$78,0)),
"")</f>
        <v>4</v>
      </c>
      <c r="K685" s="58" t="str">
        <f>_xlfn.IFNA(
INDEX(CA!E$2:E$78,MATCH($E685,CA!$A$2:$A$78,0)),
"")</f>
        <v>SOUTHWEST</v>
      </c>
      <c r="L685" s="15" t="e">
        <v>#VALUE!</v>
      </c>
      <c r="M685" s="15" t="e">
        <v>#VALUE!</v>
      </c>
      <c r="N685" s="15" t="e">
        <v>#VALUE!</v>
      </c>
      <c r="O685" s="15" t="e">
        <v>#VALUE!</v>
      </c>
      <c r="P685" s="15" t="e">
        <v>#VALUE!</v>
      </c>
      <c r="Q685" s="15" t="e">
        <v>#VALUE!</v>
      </c>
      <c r="R685" s="15" t="e">
        <v>#VALUE!</v>
      </c>
      <c r="S685" s="15" t="e">
        <v>#VALUE!</v>
      </c>
      <c r="T685" s="129">
        <v>0.24179576387320936</v>
      </c>
      <c r="U685" s="130" t="e">
        <f t="shared" si="43"/>
        <v>#VALUE!</v>
      </c>
      <c r="V685" s="129">
        <v>0.24179576387320936</v>
      </c>
      <c r="W685" s="130" t="e">
        <f t="shared" si="40"/>
        <v>#VALUE!</v>
      </c>
      <c r="X685" s="129">
        <v>0.24179576387320936</v>
      </c>
      <c r="Y685" s="130" t="e">
        <f t="shared" si="41"/>
        <v>#VALUE!</v>
      </c>
      <c r="Z685" s="129">
        <v>0.24179576387320936</v>
      </c>
      <c r="AA685" s="130" t="e">
        <f t="shared" si="42"/>
        <v>#VALUE!</v>
      </c>
    </row>
    <row r="686" spans="1:27" x14ac:dyDescent="0.3">
      <c r="A686">
        <v>691100</v>
      </c>
      <c r="B686">
        <v>17031691100</v>
      </c>
      <c r="C686">
        <v>17031</v>
      </c>
      <c r="D686">
        <v>2010</v>
      </c>
      <c r="E686">
        <v>69</v>
      </c>
      <c r="F686">
        <v>7275016.0704627996</v>
      </c>
      <c r="G686" s="43">
        <v>0.26095529407938761</v>
      </c>
      <c r="H686" s="58" t="str">
        <f>_xlfn.IFNA(
INDEX(CA!B$2:B$78,MATCH($E686,CA!$A$2:$A$78,0)),
"")</f>
        <v>GREATER GRAND CROSSING</v>
      </c>
      <c r="I686" s="60" t="str">
        <f>_xlfn.IFNA(
INDEX(CA!C$2:C$78,MATCH($E686,CA!$A$2:$A$78,0)),
"")</f>
        <v>6-B</v>
      </c>
      <c r="J686" s="60">
        <f>_xlfn.IFNA(
INDEX(CA!D$2:D$78,MATCH($E686,CA!$A$2:$A$78,0)),
"")</f>
        <v>6</v>
      </c>
      <c r="K686" s="58" t="str">
        <f>_xlfn.IFNA(
INDEX(CA!E$2:E$78,MATCH($E686,CA!$A$2:$A$78,0)),
"")</f>
        <v>SOUTH</v>
      </c>
      <c r="L686" s="15" t="e">
        <v>#VALUE!</v>
      </c>
      <c r="M686" s="15" t="e">
        <v>#VALUE!</v>
      </c>
      <c r="N686" s="15" t="e">
        <v>#VALUE!</v>
      </c>
      <c r="O686" s="15" t="e">
        <v>#VALUE!</v>
      </c>
      <c r="P686" s="15" t="e">
        <v>#VALUE!</v>
      </c>
      <c r="Q686" s="15" t="e">
        <v>#VALUE!</v>
      </c>
      <c r="R686" s="15" t="e">
        <v>#VALUE!</v>
      </c>
      <c r="S686" s="15" t="e">
        <v>#VALUE!</v>
      </c>
      <c r="T686" s="129">
        <v>0.2609552924728159</v>
      </c>
      <c r="U686" s="130" t="e">
        <f t="shared" si="43"/>
        <v>#VALUE!</v>
      </c>
      <c r="V686" s="129">
        <v>0.2609552924728159</v>
      </c>
      <c r="W686" s="130" t="e">
        <f t="shared" si="40"/>
        <v>#VALUE!</v>
      </c>
      <c r="X686" s="129">
        <v>0.2609552924728159</v>
      </c>
      <c r="Y686" s="130" t="e">
        <f t="shared" si="41"/>
        <v>#VALUE!</v>
      </c>
      <c r="Z686" s="129">
        <v>0.2609552924728159</v>
      </c>
      <c r="AA686" s="130" t="e">
        <f t="shared" si="42"/>
        <v>#VALUE!</v>
      </c>
    </row>
    <row r="687" spans="1:27" x14ac:dyDescent="0.3">
      <c r="A687">
        <v>691300</v>
      </c>
      <c r="B687">
        <v>17031691300</v>
      </c>
      <c r="C687">
        <v>17031</v>
      </c>
      <c r="D687">
        <v>2010</v>
      </c>
      <c r="E687">
        <v>69</v>
      </c>
      <c r="F687">
        <v>6965470.6416236702</v>
      </c>
      <c r="G687" s="43">
        <v>0.24985187964960939</v>
      </c>
      <c r="H687" s="58" t="str">
        <f>_xlfn.IFNA(
INDEX(CA!B$2:B$78,MATCH($E687,CA!$A$2:$A$78,0)),
"")</f>
        <v>GREATER GRAND CROSSING</v>
      </c>
      <c r="I687" s="60" t="str">
        <f>_xlfn.IFNA(
INDEX(CA!C$2:C$78,MATCH($E687,CA!$A$2:$A$78,0)),
"")</f>
        <v>6-B</v>
      </c>
      <c r="J687" s="60">
        <f>_xlfn.IFNA(
INDEX(CA!D$2:D$78,MATCH($E687,CA!$A$2:$A$78,0)),
"")</f>
        <v>6</v>
      </c>
      <c r="K687" s="58" t="str">
        <f>_xlfn.IFNA(
INDEX(CA!E$2:E$78,MATCH($E687,CA!$A$2:$A$78,0)),
"")</f>
        <v>SOUTH</v>
      </c>
      <c r="L687" s="15" t="e">
        <v>#VALUE!</v>
      </c>
      <c r="M687" s="15" t="e">
        <v>#VALUE!</v>
      </c>
      <c r="N687" s="15" t="e">
        <v>#VALUE!</v>
      </c>
      <c r="O687" s="15" t="e">
        <v>#VALUE!</v>
      </c>
      <c r="P687" s="15" t="e">
        <v>#VALUE!</v>
      </c>
      <c r="Q687" s="15" t="e">
        <v>#VALUE!</v>
      </c>
      <c r="R687" s="15" t="e">
        <v>#VALUE!</v>
      </c>
      <c r="S687" s="15" t="e">
        <v>#VALUE!</v>
      </c>
      <c r="T687" s="129">
        <v>0.24985187686274607</v>
      </c>
      <c r="U687" s="130" t="e">
        <f t="shared" si="43"/>
        <v>#VALUE!</v>
      </c>
      <c r="V687" s="129">
        <v>0.24985187686274607</v>
      </c>
      <c r="W687" s="130" t="e">
        <f t="shared" si="40"/>
        <v>#VALUE!</v>
      </c>
      <c r="X687" s="129">
        <v>0.24985187686274607</v>
      </c>
      <c r="Y687" s="130" t="e">
        <f t="shared" si="41"/>
        <v>#VALUE!</v>
      </c>
      <c r="Z687" s="129">
        <v>0.24985187686274607</v>
      </c>
      <c r="AA687" s="130" t="e">
        <f t="shared" si="42"/>
        <v>#VALUE!</v>
      </c>
    </row>
    <row r="688" spans="1:27" x14ac:dyDescent="0.3">
      <c r="A688">
        <v>691400</v>
      </c>
      <c r="B688">
        <v>17031691400</v>
      </c>
      <c r="C688">
        <v>17031</v>
      </c>
      <c r="D688">
        <v>2010</v>
      </c>
      <c r="E688">
        <v>69</v>
      </c>
      <c r="F688">
        <v>7068968.4326930996</v>
      </c>
      <c r="G688" s="43">
        <v>0.25356435206802042</v>
      </c>
      <c r="H688" s="58" t="str">
        <f>_xlfn.IFNA(
INDEX(CA!B$2:B$78,MATCH($E688,CA!$A$2:$A$78,0)),
"")</f>
        <v>GREATER GRAND CROSSING</v>
      </c>
      <c r="I688" s="60" t="str">
        <f>_xlfn.IFNA(
INDEX(CA!C$2:C$78,MATCH($E688,CA!$A$2:$A$78,0)),
"")</f>
        <v>6-B</v>
      </c>
      <c r="J688" s="60">
        <f>_xlfn.IFNA(
INDEX(CA!D$2:D$78,MATCH($E688,CA!$A$2:$A$78,0)),
"")</f>
        <v>6</v>
      </c>
      <c r="K688" s="58" t="str">
        <f>_xlfn.IFNA(
INDEX(CA!E$2:E$78,MATCH($E688,CA!$A$2:$A$78,0)),
"")</f>
        <v>SOUTH</v>
      </c>
      <c r="L688" s="15" t="e">
        <v>#VALUE!</v>
      </c>
      <c r="M688" s="15" t="e">
        <v>#VALUE!</v>
      </c>
      <c r="N688" s="15" t="e">
        <v>#VALUE!</v>
      </c>
      <c r="O688" s="15" t="e">
        <v>#VALUE!</v>
      </c>
      <c r="P688" s="15" t="e">
        <v>#VALUE!</v>
      </c>
      <c r="Q688" s="15" t="e">
        <v>#VALUE!</v>
      </c>
      <c r="R688" s="15" t="e">
        <v>#VALUE!</v>
      </c>
      <c r="S688" s="15" t="e">
        <v>#VALUE!</v>
      </c>
      <c r="T688" s="129">
        <v>0.19721276955460679</v>
      </c>
      <c r="U688" s="130" t="e">
        <f t="shared" si="43"/>
        <v>#VALUE!</v>
      </c>
      <c r="V688" s="129">
        <v>0.19721255334931523</v>
      </c>
      <c r="W688" s="130" t="e">
        <f t="shared" si="40"/>
        <v>#VALUE!</v>
      </c>
      <c r="X688" s="129">
        <v>0.19721255334931523</v>
      </c>
      <c r="Y688" s="130" t="e">
        <f t="shared" si="41"/>
        <v>#VALUE!</v>
      </c>
      <c r="Z688" s="129">
        <v>0.19721255334931523</v>
      </c>
      <c r="AA688" s="130" t="e">
        <f t="shared" si="42"/>
        <v>#VALUE!</v>
      </c>
    </row>
    <row r="689" spans="1:27" x14ac:dyDescent="0.3">
      <c r="A689">
        <v>690400</v>
      </c>
      <c r="B689">
        <v>17031690400</v>
      </c>
      <c r="C689">
        <v>17031</v>
      </c>
      <c r="D689">
        <v>2010</v>
      </c>
      <c r="E689">
        <v>69</v>
      </c>
      <c r="F689">
        <v>6969895.7552753696</v>
      </c>
      <c r="G689" s="43">
        <v>0.25001060876073838</v>
      </c>
      <c r="H689" s="58" t="str">
        <f>_xlfn.IFNA(
INDEX(CA!B$2:B$78,MATCH($E689,CA!$A$2:$A$78,0)),
"")</f>
        <v>GREATER GRAND CROSSING</v>
      </c>
      <c r="I689" s="60" t="str">
        <f>_xlfn.IFNA(
INDEX(CA!C$2:C$78,MATCH($E689,CA!$A$2:$A$78,0)),
"")</f>
        <v>6-B</v>
      </c>
      <c r="J689" s="60">
        <f>_xlfn.IFNA(
INDEX(CA!D$2:D$78,MATCH($E689,CA!$A$2:$A$78,0)),
"")</f>
        <v>6</v>
      </c>
      <c r="K689" s="58" t="str">
        <f>_xlfn.IFNA(
INDEX(CA!E$2:E$78,MATCH($E689,CA!$A$2:$A$78,0)),
"")</f>
        <v>SOUTH</v>
      </c>
      <c r="L689" s="15" t="e">
        <v>#VALUE!</v>
      </c>
      <c r="M689" s="15" t="e">
        <v>#VALUE!</v>
      </c>
      <c r="N689" s="15" t="e">
        <v>#VALUE!</v>
      </c>
      <c r="O689" s="15" t="e">
        <v>#VALUE!</v>
      </c>
      <c r="P689" s="15" t="e">
        <v>#VALUE!</v>
      </c>
      <c r="Q689" s="15" t="e">
        <v>#VALUE!</v>
      </c>
      <c r="R689" s="15" t="e">
        <v>#VALUE!</v>
      </c>
      <c r="S689" s="15" t="e">
        <v>#VALUE!</v>
      </c>
      <c r="T689" s="129">
        <v>0.25001060758055377</v>
      </c>
      <c r="U689" s="130" t="e">
        <f t="shared" si="43"/>
        <v>#VALUE!</v>
      </c>
      <c r="V689" s="129">
        <v>0.25001060758055377</v>
      </c>
      <c r="W689" s="130" t="e">
        <f t="shared" si="40"/>
        <v>#VALUE!</v>
      </c>
      <c r="X689" s="129">
        <v>0.25001060758055377</v>
      </c>
      <c r="Y689" s="130" t="e">
        <f t="shared" si="41"/>
        <v>#VALUE!</v>
      </c>
      <c r="Z689" s="129">
        <v>0.25001060758055377</v>
      </c>
      <c r="AA689" s="130" t="e">
        <f t="shared" si="42"/>
        <v>#VALUE!</v>
      </c>
    </row>
    <row r="690" spans="1:27" x14ac:dyDescent="0.3">
      <c r="A690">
        <v>690900</v>
      </c>
      <c r="B690">
        <v>17031690900</v>
      </c>
      <c r="C690">
        <v>17031</v>
      </c>
      <c r="D690">
        <v>2010</v>
      </c>
      <c r="E690">
        <v>69</v>
      </c>
      <c r="F690">
        <v>7054437.40660311</v>
      </c>
      <c r="G690" s="43">
        <v>0.25304312322813038</v>
      </c>
      <c r="H690" s="58" t="str">
        <f>_xlfn.IFNA(
INDEX(CA!B$2:B$78,MATCH($E690,CA!$A$2:$A$78,0)),
"")</f>
        <v>GREATER GRAND CROSSING</v>
      </c>
      <c r="I690" s="60" t="str">
        <f>_xlfn.IFNA(
INDEX(CA!C$2:C$78,MATCH($E690,CA!$A$2:$A$78,0)),
"")</f>
        <v>6-B</v>
      </c>
      <c r="J690" s="60">
        <f>_xlfn.IFNA(
INDEX(CA!D$2:D$78,MATCH($E690,CA!$A$2:$A$78,0)),
"")</f>
        <v>6</v>
      </c>
      <c r="K690" s="58" t="str">
        <f>_xlfn.IFNA(
INDEX(CA!E$2:E$78,MATCH($E690,CA!$A$2:$A$78,0)),
"")</f>
        <v>SOUTH</v>
      </c>
      <c r="L690" s="15" t="e">
        <v>#VALUE!</v>
      </c>
      <c r="M690" s="15" t="e">
        <v>#VALUE!</v>
      </c>
      <c r="N690" s="15" t="e">
        <v>#VALUE!</v>
      </c>
      <c r="O690" s="15" t="e">
        <v>#VALUE!</v>
      </c>
      <c r="P690" s="15" t="e">
        <v>#VALUE!</v>
      </c>
      <c r="Q690" s="15" t="e">
        <v>#VALUE!</v>
      </c>
      <c r="R690" s="15" t="e">
        <v>#VALUE!</v>
      </c>
      <c r="S690" s="15" t="e">
        <v>#VALUE!</v>
      </c>
      <c r="T690" s="129">
        <v>0.2530374755307091</v>
      </c>
      <c r="U690" s="130" t="e">
        <f t="shared" si="43"/>
        <v>#VALUE!</v>
      </c>
      <c r="V690" s="129">
        <v>0.25303723626511349</v>
      </c>
      <c r="W690" s="130" t="e">
        <f t="shared" si="40"/>
        <v>#VALUE!</v>
      </c>
      <c r="X690" s="129">
        <v>0.25303723626511349</v>
      </c>
      <c r="Y690" s="130" t="e">
        <f t="shared" si="41"/>
        <v>#VALUE!</v>
      </c>
      <c r="Z690" s="129">
        <v>0.25303723626511349</v>
      </c>
      <c r="AA690" s="130" t="e">
        <f t="shared" si="42"/>
        <v>#VALUE!</v>
      </c>
    </row>
    <row r="691" spans="1:27" x14ac:dyDescent="0.3">
      <c r="A691">
        <v>691500</v>
      </c>
      <c r="B691">
        <v>17031691500</v>
      </c>
      <c r="C691">
        <v>17031</v>
      </c>
      <c r="D691">
        <v>2010</v>
      </c>
      <c r="E691">
        <v>69</v>
      </c>
      <c r="F691">
        <v>7218717.8417865504</v>
      </c>
      <c r="G691" s="43">
        <v>0.258935872997968</v>
      </c>
      <c r="H691" s="58" t="str">
        <f>_xlfn.IFNA(
INDEX(CA!B$2:B$78,MATCH($E691,CA!$A$2:$A$78,0)),
"")</f>
        <v>GREATER GRAND CROSSING</v>
      </c>
      <c r="I691" s="60" t="str">
        <f>_xlfn.IFNA(
INDEX(CA!C$2:C$78,MATCH($E691,CA!$A$2:$A$78,0)),
"")</f>
        <v>6-B</v>
      </c>
      <c r="J691" s="60">
        <f>_xlfn.IFNA(
INDEX(CA!D$2:D$78,MATCH($E691,CA!$A$2:$A$78,0)),
"")</f>
        <v>6</v>
      </c>
      <c r="K691" s="58" t="str">
        <f>_xlfn.IFNA(
INDEX(CA!E$2:E$78,MATCH($E691,CA!$A$2:$A$78,0)),
"")</f>
        <v>SOUTH</v>
      </c>
      <c r="L691" s="15" t="e">
        <v>#VALUE!</v>
      </c>
      <c r="M691" s="15" t="e">
        <v>#VALUE!</v>
      </c>
      <c r="N691" s="15" t="e">
        <v>#VALUE!</v>
      </c>
      <c r="O691" s="15" t="e">
        <v>#VALUE!</v>
      </c>
      <c r="P691" s="15" t="e">
        <v>#VALUE!</v>
      </c>
      <c r="Q691" s="15" t="e">
        <v>#VALUE!</v>
      </c>
      <c r="R691" s="15" t="e">
        <v>#VALUE!</v>
      </c>
      <c r="S691" s="15" t="e">
        <v>#VALUE!</v>
      </c>
      <c r="T691" s="129">
        <v>0.25784985200362681</v>
      </c>
      <c r="U691" s="130" t="e">
        <f t="shared" si="43"/>
        <v>#VALUE!</v>
      </c>
      <c r="V691" s="129">
        <v>0.25784985200362681</v>
      </c>
      <c r="W691" s="130" t="e">
        <f t="shared" si="40"/>
        <v>#VALUE!</v>
      </c>
      <c r="X691" s="129">
        <v>0.25784985200362681</v>
      </c>
      <c r="Y691" s="130" t="e">
        <f t="shared" si="41"/>
        <v>#VALUE!</v>
      </c>
      <c r="Z691" s="129">
        <v>0.25784985200362681</v>
      </c>
      <c r="AA691" s="130" t="e">
        <f t="shared" si="42"/>
        <v>#VALUE!</v>
      </c>
    </row>
    <row r="692" spans="1:27" x14ac:dyDescent="0.3">
      <c r="A692">
        <v>690500</v>
      </c>
      <c r="B692">
        <v>17031690500</v>
      </c>
      <c r="C692">
        <v>17031</v>
      </c>
      <c r="D692">
        <v>2010</v>
      </c>
      <c r="E692">
        <v>69</v>
      </c>
      <c r="F692">
        <v>3480715.4955104901</v>
      </c>
      <c r="G692" s="43">
        <v>0.12485348856141279</v>
      </c>
      <c r="H692" s="58" t="str">
        <f>_xlfn.IFNA(
INDEX(CA!B$2:B$78,MATCH($E692,CA!$A$2:$A$78,0)),
"")</f>
        <v>GREATER GRAND CROSSING</v>
      </c>
      <c r="I692" s="60" t="str">
        <f>_xlfn.IFNA(
INDEX(CA!C$2:C$78,MATCH($E692,CA!$A$2:$A$78,0)),
"")</f>
        <v>6-B</v>
      </c>
      <c r="J692" s="60">
        <f>_xlfn.IFNA(
INDEX(CA!D$2:D$78,MATCH($E692,CA!$A$2:$A$78,0)),
"")</f>
        <v>6</v>
      </c>
      <c r="K692" s="58" t="str">
        <f>_xlfn.IFNA(
INDEX(CA!E$2:E$78,MATCH($E692,CA!$A$2:$A$78,0)),
"")</f>
        <v>SOUTH</v>
      </c>
      <c r="L692" s="15" t="e">
        <v>#VALUE!</v>
      </c>
      <c r="M692" s="15" t="e">
        <v>#VALUE!</v>
      </c>
      <c r="N692" s="15" t="e">
        <v>#VALUE!</v>
      </c>
      <c r="O692" s="15" t="e">
        <v>#VALUE!</v>
      </c>
      <c r="P692" s="15" t="e">
        <v>#VALUE!</v>
      </c>
      <c r="Q692" s="15" t="e">
        <v>#VALUE!</v>
      </c>
      <c r="R692" s="15" t="e">
        <v>#VALUE!</v>
      </c>
      <c r="S692" s="15" t="e">
        <v>#VALUE!</v>
      </c>
      <c r="T692" s="129">
        <v>0.12485348991884326</v>
      </c>
      <c r="U692" s="130" t="e">
        <f t="shared" si="43"/>
        <v>#VALUE!</v>
      </c>
      <c r="V692" s="129">
        <v>0.12485348991884326</v>
      </c>
      <c r="W692" s="130" t="e">
        <f t="shared" si="40"/>
        <v>#VALUE!</v>
      </c>
      <c r="X692" s="129">
        <v>0.12485348991884326</v>
      </c>
      <c r="Y692" s="130" t="e">
        <f t="shared" si="41"/>
        <v>#VALUE!</v>
      </c>
      <c r="Z692" s="129">
        <v>0.12485348991884326</v>
      </c>
      <c r="AA692" s="130" t="e">
        <f t="shared" si="42"/>
        <v>#VALUE!</v>
      </c>
    </row>
    <row r="693" spans="1:27" x14ac:dyDescent="0.3">
      <c r="A693">
        <v>842500</v>
      </c>
      <c r="B693">
        <v>17031842500</v>
      </c>
      <c r="C693">
        <v>17031</v>
      </c>
      <c r="D693">
        <v>2010</v>
      </c>
      <c r="E693">
        <v>69</v>
      </c>
      <c r="F693">
        <v>11594719.6321557</v>
      </c>
      <c r="G693" s="43">
        <v>0.41590333850420752</v>
      </c>
      <c r="H693" s="58" t="str">
        <f>_xlfn.IFNA(
INDEX(CA!B$2:B$78,MATCH($E693,CA!$A$2:$A$78,0)),
"")</f>
        <v>GREATER GRAND CROSSING</v>
      </c>
      <c r="I693" s="60" t="str">
        <f>_xlfn.IFNA(
INDEX(CA!C$2:C$78,MATCH($E693,CA!$A$2:$A$78,0)),
"")</f>
        <v>6-B</v>
      </c>
      <c r="J693" s="60">
        <f>_xlfn.IFNA(
INDEX(CA!D$2:D$78,MATCH($E693,CA!$A$2:$A$78,0)),
"")</f>
        <v>6</v>
      </c>
      <c r="K693" s="58" t="str">
        <f>_xlfn.IFNA(
INDEX(CA!E$2:E$78,MATCH($E693,CA!$A$2:$A$78,0)),
"")</f>
        <v>SOUTH</v>
      </c>
      <c r="L693" s="15" t="e">
        <v>#VALUE!</v>
      </c>
      <c r="M693" s="15" t="e">
        <v>#VALUE!</v>
      </c>
      <c r="N693" s="15" t="e">
        <v>#VALUE!</v>
      </c>
      <c r="O693" s="15" t="e">
        <v>#VALUE!</v>
      </c>
      <c r="P693" s="15" t="e">
        <v>#VALUE!</v>
      </c>
      <c r="Q693" s="15" t="e">
        <v>#VALUE!</v>
      </c>
      <c r="R693" s="15" t="e">
        <v>#VALUE!</v>
      </c>
      <c r="S693" s="15" t="e">
        <v>#VALUE!</v>
      </c>
      <c r="T693" s="129">
        <v>0.37514590038589735</v>
      </c>
      <c r="U693" s="130" t="e">
        <f t="shared" si="43"/>
        <v>#VALUE!</v>
      </c>
      <c r="V693" s="129">
        <v>0.3751457362207623</v>
      </c>
      <c r="W693" s="130" t="e">
        <f t="shared" si="40"/>
        <v>#VALUE!</v>
      </c>
      <c r="X693" s="129">
        <v>0.3751457362207623</v>
      </c>
      <c r="Y693" s="130" t="e">
        <f t="shared" si="41"/>
        <v>#VALUE!</v>
      </c>
      <c r="Z693" s="129">
        <v>0.3751457362207623</v>
      </c>
      <c r="AA693" s="130" t="e">
        <f t="shared" si="42"/>
        <v>#VALUE!</v>
      </c>
    </row>
    <row r="694" spans="1:27" x14ac:dyDescent="0.3">
      <c r="A694">
        <v>690300</v>
      </c>
      <c r="B694">
        <v>17031690300</v>
      </c>
      <c r="C694">
        <v>17031</v>
      </c>
      <c r="D694">
        <v>2010</v>
      </c>
      <c r="E694">
        <v>69</v>
      </c>
      <c r="F694">
        <v>5551873.8139895396</v>
      </c>
      <c r="G694" s="43">
        <v>0.19914607057756326</v>
      </c>
      <c r="H694" s="58" t="str">
        <f>_xlfn.IFNA(
INDEX(CA!B$2:B$78,MATCH($E694,CA!$A$2:$A$78,0)),
"")</f>
        <v>GREATER GRAND CROSSING</v>
      </c>
      <c r="I694" s="60" t="str">
        <f>_xlfn.IFNA(
INDEX(CA!C$2:C$78,MATCH($E694,CA!$A$2:$A$78,0)),
"")</f>
        <v>6-B</v>
      </c>
      <c r="J694" s="60">
        <f>_xlfn.IFNA(
INDEX(CA!D$2:D$78,MATCH($E694,CA!$A$2:$A$78,0)),
"")</f>
        <v>6</v>
      </c>
      <c r="K694" s="58" t="str">
        <f>_xlfn.IFNA(
INDEX(CA!E$2:E$78,MATCH($E694,CA!$A$2:$A$78,0)),
"")</f>
        <v>SOUTH</v>
      </c>
      <c r="L694" s="15" t="e">
        <v>#VALUE!</v>
      </c>
      <c r="M694" s="15" t="e">
        <v>#VALUE!</v>
      </c>
      <c r="N694" s="15" t="e">
        <v>#VALUE!</v>
      </c>
      <c r="O694" s="15" t="e">
        <v>#VALUE!</v>
      </c>
      <c r="P694" s="15" t="e">
        <v>#VALUE!</v>
      </c>
      <c r="Q694" s="15" t="e">
        <v>#VALUE!</v>
      </c>
      <c r="R694" s="15" t="e">
        <v>#VALUE!</v>
      </c>
      <c r="S694" s="15" t="e">
        <v>#VALUE!</v>
      </c>
      <c r="T694" s="129">
        <v>0.19914606383053654</v>
      </c>
      <c r="U694" s="130" t="e">
        <f t="shared" si="43"/>
        <v>#VALUE!</v>
      </c>
      <c r="V694" s="129">
        <v>0.19914606383053654</v>
      </c>
      <c r="W694" s="130" t="e">
        <f t="shared" si="40"/>
        <v>#VALUE!</v>
      </c>
      <c r="X694" s="129">
        <v>0.19914606383053654</v>
      </c>
      <c r="Y694" s="130" t="e">
        <f t="shared" si="41"/>
        <v>#VALUE!</v>
      </c>
      <c r="Z694" s="129">
        <v>0.19914606383053654</v>
      </c>
      <c r="AA694" s="130" t="e">
        <f t="shared" si="42"/>
        <v>#VALUE!</v>
      </c>
    </row>
    <row r="695" spans="1:27" x14ac:dyDescent="0.3">
      <c r="A695">
        <v>691000</v>
      </c>
      <c r="B695">
        <v>17031691000</v>
      </c>
      <c r="C695">
        <v>17031</v>
      </c>
      <c r="D695">
        <v>2010</v>
      </c>
      <c r="E695">
        <v>69</v>
      </c>
      <c r="F695">
        <v>6981701.5667099701</v>
      </c>
      <c r="G695" s="43">
        <v>0.25043408397576511</v>
      </c>
      <c r="H695" s="58" t="str">
        <f>_xlfn.IFNA(
INDEX(CA!B$2:B$78,MATCH($E695,CA!$A$2:$A$78,0)),
"")</f>
        <v>GREATER GRAND CROSSING</v>
      </c>
      <c r="I695" s="60" t="str">
        <f>_xlfn.IFNA(
INDEX(CA!C$2:C$78,MATCH($E695,CA!$A$2:$A$78,0)),
"")</f>
        <v>6-B</v>
      </c>
      <c r="J695" s="60">
        <f>_xlfn.IFNA(
INDEX(CA!D$2:D$78,MATCH($E695,CA!$A$2:$A$78,0)),
"")</f>
        <v>6</v>
      </c>
      <c r="K695" s="58" t="str">
        <f>_xlfn.IFNA(
INDEX(CA!E$2:E$78,MATCH($E695,CA!$A$2:$A$78,0)),
"")</f>
        <v>SOUTH</v>
      </c>
      <c r="L695" s="15" t="e">
        <v>#VALUE!</v>
      </c>
      <c r="M695" s="15" t="e">
        <v>#VALUE!</v>
      </c>
      <c r="N695" s="15" t="e">
        <v>#VALUE!</v>
      </c>
      <c r="O695" s="15" t="e">
        <v>#VALUE!</v>
      </c>
      <c r="P695" s="15" t="e">
        <v>#VALUE!</v>
      </c>
      <c r="Q695" s="15" t="e">
        <v>#VALUE!</v>
      </c>
      <c r="R695" s="15" t="e">
        <v>#VALUE!</v>
      </c>
      <c r="S695" s="15" t="e">
        <v>#VALUE!</v>
      </c>
      <c r="T695" s="129">
        <v>0.2504340862222168</v>
      </c>
      <c r="U695" s="130" t="e">
        <f t="shared" si="43"/>
        <v>#VALUE!</v>
      </c>
      <c r="V695" s="129">
        <v>0.2504340862222168</v>
      </c>
      <c r="W695" s="130" t="e">
        <f t="shared" si="40"/>
        <v>#VALUE!</v>
      </c>
      <c r="X695" s="129">
        <v>0.2504340862222168</v>
      </c>
      <c r="Y695" s="130" t="e">
        <f t="shared" si="41"/>
        <v>#VALUE!</v>
      </c>
      <c r="Z695" s="129">
        <v>0.2504340862222168</v>
      </c>
      <c r="AA695" s="130" t="e">
        <f t="shared" si="42"/>
        <v>#VALUE!</v>
      </c>
    </row>
    <row r="696" spans="1:27" x14ac:dyDescent="0.3">
      <c r="A696">
        <v>691200</v>
      </c>
      <c r="B696">
        <v>17031691200</v>
      </c>
      <c r="C696">
        <v>17031</v>
      </c>
      <c r="D696">
        <v>2010</v>
      </c>
      <c r="E696">
        <v>69</v>
      </c>
      <c r="F696">
        <v>10892803.204710601</v>
      </c>
      <c r="G696" s="43">
        <v>0.39072555113315688</v>
      </c>
      <c r="H696" s="58" t="str">
        <f>_xlfn.IFNA(
INDEX(CA!B$2:B$78,MATCH($E696,CA!$A$2:$A$78,0)),
"")</f>
        <v>GREATER GRAND CROSSING</v>
      </c>
      <c r="I696" s="60" t="str">
        <f>_xlfn.IFNA(
INDEX(CA!C$2:C$78,MATCH($E696,CA!$A$2:$A$78,0)),
"")</f>
        <v>6-B</v>
      </c>
      <c r="J696" s="60">
        <f>_xlfn.IFNA(
INDEX(CA!D$2:D$78,MATCH($E696,CA!$A$2:$A$78,0)),
"")</f>
        <v>6</v>
      </c>
      <c r="K696" s="58" t="str">
        <f>_xlfn.IFNA(
INDEX(CA!E$2:E$78,MATCH($E696,CA!$A$2:$A$78,0)),
"")</f>
        <v>SOUTH</v>
      </c>
      <c r="L696" s="15" t="e">
        <v>#VALUE!</v>
      </c>
      <c r="M696" s="15" t="e">
        <v>#VALUE!</v>
      </c>
      <c r="N696" s="15" t="e">
        <v>#VALUE!</v>
      </c>
      <c r="O696" s="15" t="e">
        <v>#VALUE!</v>
      </c>
      <c r="P696" s="15" t="e">
        <v>#VALUE!</v>
      </c>
      <c r="Q696" s="15" t="e">
        <v>#VALUE!</v>
      </c>
      <c r="R696" s="15" t="e">
        <v>#VALUE!</v>
      </c>
      <c r="S696" s="15" t="e">
        <v>#VALUE!</v>
      </c>
      <c r="T696" s="129">
        <v>0.3907255405975486</v>
      </c>
      <c r="U696" s="130" t="e">
        <f t="shared" si="43"/>
        <v>#VALUE!</v>
      </c>
      <c r="V696" s="129">
        <v>0.3907255405975486</v>
      </c>
      <c r="W696" s="130" t="e">
        <f t="shared" si="40"/>
        <v>#VALUE!</v>
      </c>
      <c r="X696" s="129">
        <v>0.3907255405975486</v>
      </c>
      <c r="Y696" s="130" t="e">
        <f t="shared" si="41"/>
        <v>#VALUE!</v>
      </c>
      <c r="Z696" s="129">
        <v>0.3907255405975486</v>
      </c>
      <c r="AA696" s="130" t="e">
        <f t="shared" si="42"/>
        <v>#VALUE!</v>
      </c>
    </row>
    <row r="697" spans="1:27" x14ac:dyDescent="0.3">
      <c r="A697">
        <v>71400</v>
      </c>
      <c r="B697">
        <v>17031071400</v>
      </c>
      <c r="C697">
        <v>17031</v>
      </c>
      <c r="D697">
        <v>2010</v>
      </c>
      <c r="E697">
        <v>7</v>
      </c>
      <c r="F697">
        <v>7241185.5706868703</v>
      </c>
      <c r="G697" s="43">
        <v>0.25974179187782909</v>
      </c>
      <c r="H697" s="58" t="str">
        <f>_xlfn.IFNA(
INDEX(CA!B$2:B$78,MATCH($E697,CA!$A$2:$A$78,0)),
"")</f>
        <v>LINCOLN PARK</v>
      </c>
      <c r="I697" s="60" t="str">
        <f>_xlfn.IFNA(
INDEX(CA!C$2:C$78,MATCH($E697,CA!$A$2:$A$78,0)),
"")</f>
        <v>1-B</v>
      </c>
      <c r="J697" s="60">
        <f>_xlfn.IFNA(
INDEX(CA!D$2:D$78,MATCH($E697,CA!$A$2:$A$78,0)),
"")</f>
        <v>1</v>
      </c>
      <c r="K697" s="58" t="str">
        <f>_xlfn.IFNA(
INDEX(CA!E$2:E$78,MATCH($E697,CA!$A$2:$A$78,0)),
"")</f>
        <v>NORTH</v>
      </c>
      <c r="L697" s="15" t="e">
        <v>#VALUE!</v>
      </c>
      <c r="M697" s="15" t="e">
        <v>#VALUE!</v>
      </c>
      <c r="N697" s="15" t="e">
        <v>#VALUE!</v>
      </c>
      <c r="O697" s="15" t="e">
        <v>#VALUE!</v>
      </c>
      <c r="P697" s="15" t="e">
        <v>#VALUE!</v>
      </c>
      <c r="Q697" s="15" t="e">
        <v>#VALUE!</v>
      </c>
      <c r="R697" s="15" t="e">
        <v>#VALUE!</v>
      </c>
      <c r="S697" s="15" t="e">
        <v>#VALUE!</v>
      </c>
      <c r="T697" s="129">
        <v>0.25974178938548625</v>
      </c>
      <c r="U697" s="130" t="e">
        <f t="shared" si="43"/>
        <v>#VALUE!</v>
      </c>
      <c r="V697" s="129">
        <v>0.25974178938548625</v>
      </c>
      <c r="W697" s="130" t="e">
        <f t="shared" si="40"/>
        <v>#VALUE!</v>
      </c>
      <c r="X697" s="129">
        <v>0.25974178938548625</v>
      </c>
      <c r="Y697" s="130" t="e">
        <f t="shared" si="41"/>
        <v>#VALUE!</v>
      </c>
      <c r="Z697" s="129">
        <v>0.25974178938548625</v>
      </c>
      <c r="AA697" s="130" t="e">
        <f t="shared" si="42"/>
        <v>#VALUE!</v>
      </c>
    </row>
    <row r="698" spans="1:27" x14ac:dyDescent="0.3">
      <c r="A698">
        <v>71500</v>
      </c>
      <c r="B698">
        <v>17031071500</v>
      </c>
      <c r="C698">
        <v>17031</v>
      </c>
      <c r="D698">
        <v>2010</v>
      </c>
      <c r="E698">
        <v>7</v>
      </c>
      <c r="F698">
        <v>9880960.2293686308</v>
      </c>
      <c r="G698" s="43">
        <v>0.35443067856722876</v>
      </c>
      <c r="H698" s="58" t="str">
        <f>_xlfn.IFNA(
INDEX(CA!B$2:B$78,MATCH($E698,CA!$A$2:$A$78,0)),
"")</f>
        <v>LINCOLN PARK</v>
      </c>
      <c r="I698" s="60" t="str">
        <f>_xlfn.IFNA(
INDEX(CA!C$2:C$78,MATCH($E698,CA!$A$2:$A$78,0)),
"")</f>
        <v>1-B</v>
      </c>
      <c r="J698" s="60">
        <f>_xlfn.IFNA(
INDEX(CA!D$2:D$78,MATCH($E698,CA!$A$2:$A$78,0)),
"")</f>
        <v>1</v>
      </c>
      <c r="K698" s="58" t="str">
        <f>_xlfn.IFNA(
INDEX(CA!E$2:E$78,MATCH($E698,CA!$A$2:$A$78,0)),
"")</f>
        <v>NORTH</v>
      </c>
      <c r="L698" s="15" t="e">
        <v>#VALUE!</v>
      </c>
      <c r="M698" s="15" t="e">
        <v>#VALUE!</v>
      </c>
      <c r="N698" s="15" t="e">
        <v>#VALUE!</v>
      </c>
      <c r="O698" s="15" t="e">
        <v>#VALUE!</v>
      </c>
      <c r="P698" s="15" t="e">
        <v>#VALUE!</v>
      </c>
      <c r="Q698" s="15" t="e">
        <v>#VALUE!</v>
      </c>
      <c r="R698" s="15" t="e">
        <v>#VALUE!</v>
      </c>
      <c r="S698" s="15" t="e">
        <v>#VALUE!</v>
      </c>
      <c r="T698" s="129">
        <v>0.35443067958641461</v>
      </c>
      <c r="U698" s="130" t="e">
        <f t="shared" si="43"/>
        <v>#VALUE!</v>
      </c>
      <c r="V698" s="129">
        <v>0.35443067958641461</v>
      </c>
      <c r="W698" s="130" t="e">
        <f t="shared" si="40"/>
        <v>#VALUE!</v>
      </c>
      <c r="X698" s="129">
        <v>0.35443067958641461</v>
      </c>
      <c r="Y698" s="130" t="e">
        <f t="shared" si="41"/>
        <v>#VALUE!</v>
      </c>
      <c r="Z698" s="129">
        <v>0.35443067958641461</v>
      </c>
      <c r="AA698" s="130" t="e">
        <f t="shared" si="42"/>
        <v>#VALUE!</v>
      </c>
    </row>
    <row r="699" spans="1:27" x14ac:dyDescent="0.3">
      <c r="A699">
        <v>70500</v>
      </c>
      <c r="B699">
        <v>17031070500</v>
      </c>
      <c r="C699">
        <v>17031</v>
      </c>
      <c r="D699">
        <v>2010</v>
      </c>
      <c r="E699">
        <v>7</v>
      </c>
      <c r="F699">
        <v>3287720.4017465799</v>
      </c>
      <c r="G699" s="43">
        <v>0.11793074214253974</v>
      </c>
      <c r="H699" s="58" t="str">
        <f>_xlfn.IFNA(
INDEX(CA!B$2:B$78,MATCH($E699,CA!$A$2:$A$78,0)),
"")</f>
        <v>LINCOLN PARK</v>
      </c>
      <c r="I699" s="60" t="str">
        <f>_xlfn.IFNA(
INDEX(CA!C$2:C$78,MATCH($E699,CA!$A$2:$A$78,0)),
"")</f>
        <v>1-B</v>
      </c>
      <c r="J699" s="60">
        <f>_xlfn.IFNA(
INDEX(CA!D$2:D$78,MATCH($E699,CA!$A$2:$A$78,0)),
"")</f>
        <v>1</v>
      </c>
      <c r="K699" s="58" t="str">
        <f>_xlfn.IFNA(
INDEX(CA!E$2:E$78,MATCH($E699,CA!$A$2:$A$78,0)),
"")</f>
        <v>NORTH</v>
      </c>
      <c r="L699" s="15" t="e">
        <v>#VALUE!</v>
      </c>
      <c r="M699" s="15" t="e">
        <v>#VALUE!</v>
      </c>
      <c r="N699" s="15" t="e">
        <v>#VALUE!</v>
      </c>
      <c r="O699" s="15" t="e">
        <v>#VALUE!</v>
      </c>
      <c r="P699" s="15" t="e">
        <v>#VALUE!</v>
      </c>
      <c r="Q699" s="15" t="e">
        <v>#VALUE!</v>
      </c>
      <c r="R699" s="15" t="e">
        <v>#VALUE!</v>
      </c>
      <c r="S699" s="15" t="e">
        <v>#VALUE!</v>
      </c>
      <c r="T699" s="129">
        <v>0.11793074550313504</v>
      </c>
      <c r="U699" s="130" t="e">
        <f t="shared" si="43"/>
        <v>#VALUE!</v>
      </c>
      <c r="V699" s="129">
        <v>0.11793074550313504</v>
      </c>
      <c r="W699" s="130" t="e">
        <f t="shared" si="40"/>
        <v>#VALUE!</v>
      </c>
      <c r="X699" s="129">
        <v>0.11793074550313504</v>
      </c>
      <c r="Y699" s="130" t="e">
        <f t="shared" si="41"/>
        <v>#VALUE!</v>
      </c>
      <c r="Z699" s="129">
        <v>0.11793074550313504</v>
      </c>
      <c r="AA699" s="130" t="e">
        <f t="shared" si="42"/>
        <v>#VALUE!</v>
      </c>
    </row>
    <row r="700" spans="1:27" x14ac:dyDescent="0.3">
      <c r="A700">
        <v>71200</v>
      </c>
      <c r="B700">
        <v>17031071200</v>
      </c>
      <c r="C700">
        <v>17031</v>
      </c>
      <c r="D700">
        <v>2010</v>
      </c>
      <c r="E700">
        <v>7</v>
      </c>
      <c r="F700">
        <v>3501076.0335418</v>
      </c>
      <c r="G700" s="43">
        <v>0.12558382236935406</v>
      </c>
      <c r="H700" s="58" t="str">
        <f>_xlfn.IFNA(
INDEX(CA!B$2:B$78,MATCH($E700,CA!$A$2:$A$78,0)),
"")</f>
        <v>LINCOLN PARK</v>
      </c>
      <c r="I700" s="60" t="str">
        <f>_xlfn.IFNA(
INDEX(CA!C$2:C$78,MATCH($E700,CA!$A$2:$A$78,0)),
"")</f>
        <v>1-B</v>
      </c>
      <c r="J700" s="60">
        <f>_xlfn.IFNA(
INDEX(CA!D$2:D$78,MATCH($E700,CA!$A$2:$A$78,0)),
"")</f>
        <v>1</v>
      </c>
      <c r="K700" s="58" t="str">
        <f>_xlfn.IFNA(
INDEX(CA!E$2:E$78,MATCH($E700,CA!$A$2:$A$78,0)),
"")</f>
        <v>NORTH</v>
      </c>
      <c r="L700" s="15" t="e">
        <v>#VALUE!</v>
      </c>
      <c r="M700" s="15" t="e">
        <v>#VALUE!</v>
      </c>
      <c r="N700" s="15" t="e">
        <v>#VALUE!</v>
      </c>
      <c r="O700" s="15" t="e">
        <v>#VALUE!</v>
      </c>
      <c r="P700" s="15" t="e">
        <v>#VALUE!</v>
      </c>
      <c r="Q700" s="15" t="e">
        <v>#VALUE!</v>
      </c>
      <c r="R700" s="15" t="e">
        <v>#VALUE!</v>
      </c>
      <c r="S700" s="15" t="e">
        <v>#VALUE!</v>
      </c>
      <c r="T700" s="129">
        <v>0.1255838199411749</v>
      </c>
      <c r="U700" s="130" t="e">
        <f t="shared" si="43"/>
        <v>#VALUE!</v>
      </c>
      <c r="V700" s="129">
        <v>0.1255838199411749</v>
      </c>
      <c r="W700" s="130" t="e">
        <f t="shared" si="40"/>
        <v>#VALUE!</v>
      </c>
      <c r="X700" s="129">
        <v>0.1255838199411749</v>
      </c>
      <c r="Y700" s="130" t="e">
        <f t="shared" si="41"/>
        <v>#VALUE!</v>
      </c>
      <c r="Z700" s="129">
        <v>0.1255838199411749</v>
      </c>
      <c r="AA700" s="130" t="e">
        <f t="shared" si="42"/>
        <v>#VALUE!</v>
      </c>
    </row>
    <row r="701" spans="1:27" x14ac:dyDescent="0.3">
      <c r="A701">
        <v>71600</v>
      </c>
      <c r="B701">
        <v>17031071600</v>
      </c>
      <c r="C701">
        <v>17031</v>
      </c>
      <c r="D701">
        <v>2010</v>
      </c>
      <c r="E701">
        <v>7</v>
      </c>
      <c r="F701">
        <v>1744860.0552883099</v>
      </c>
      <c r="G701" s="43">
        <v>6.2588242341321959E-2</v>
      </c>
      <c r="H701" s="58" t="str">
        <f>_xlfn.IFNA(
INDEX(CA!B$2:B$78,MATCH($E701,CA!$A$2:$A$78,0)),
"")</f>
        <v>LINCOLN PARK</v>
      </c>
      <c r="I701" s="60" t="str">
        <f>_xlfn.IFNA(
INDEX(CA!C$2:C$78,MATCH($E701,CA!$A$2:$A$78,0)),
"")</f>
        <v>1-B</v>
      </c>
      <c r="J701" s="60">
        <f>_xlfn.IFNA(
INDEX(CA!D$2:D$78,MATCH($E701,CA!$A$2:$A$78,0)),
"")</f>
        <v>1</v>
      </c>
      <c r="K701" s="58" t="str">
        <f>_xlfn.IFNA(
INDEX(CA!E$2:E$78,MATCH($E701,CA!$A$2:$A$78,0)),
"")</f>
        <v>NORTH</v>
      </c>
      <c r="L701" s="15" t="e">
        <v>#VALUE!</v>
      </c>
      <c r="M701" s="15" t="e">
        <v>#VALUE!</v>
      </c>
      <c r="N701" s="15" t="e">
        <v>#VALUE!</v>
      </c>
      <c r="O701" s="15" t="e">
        <v>#VALUE!</v>
      </c>
      <c r="P701" s="15" t="e">
        <v>#VALUE!</v>
      </c>
      <c r="Q701" s="15" t="e">
        <v>#VALUE!</v>
      </c>
      <c r="R701" s="15" t="e">
        <v>#VALUE!</v>
      </c>
      <c r="S701" s="15" t="e">
        <v>#VALUE!</v>
      </c>
      <c r="T701" s="129">
        <v>6.2588246190225405E-2</v>
      </c>
      <c r="U701" s="130" t="e">
        <f t="shared" si="43"/>
        <v>#VALUE!</v>
      </c>
      <c r="V701" s="129">
        <v>6.2588246190225405E-2</v>
      </c>
      <c r="W701" s="130" t="e">
        <f t="shared" si="40"/>
        <v>#VALUE!</v>
      </c>
      <c r="X701" s="129">
        <v>6.2588246190225405E-2</v>
      </c>
      <c r="Y701" s="130" t="e">
        <f t="shared" si="41"/>
        <v>#VALUE!</v>
      </c>
      <c r="Z701" s="129">
        <v>6.2588246190225405E-2</v>
      </c>
      <c r="AA701" s="130" t="e">
        <f t="shared" si="42"/>
        <v>#VALUE!</v>
      </c>
    </row>
    <row r="702" spans="1:27" x14ac:dyDescent="0.3">
      <c r="A702">
        <v>71800</v>
      </c>
      <c r="B702">
        <v>17031071800</v>
      </c>
      <c r="C702">
        <v>17031</v>
      </c>
      <c r="D702">
        <v>2010</v>
      </c>
      <c r="E702">
        <v>7</v>
      </c>
      <c r="F702">
        <v>3480213.5529323798</v>
      </c>
      <c r="G702" s="43">
        <v>0.12483548384887153</v>
      </c>
      <c r="H702" s="58" t="str">
        <f>_xlfn.IFNA(
INDEX(CA!B$2:B$78,MATCH($E702,CA!$A$2:$A$78,0)),
"")</f>
        <v>LINCOLN PARK</v>
      </c>
      <c r="I702" s="60" t="str">
        <f>_xlfn.IFNA(
INDEX(CA!C$2:C$78,MATCH($E702,CA!$A$2:$A$78,0)),
"")</f>
        <v>1-B</v>
      </c>
      <c r="J702" s="60">
        <f>_xlfn.IFNA(
INDEX(CA!D$2:D$78,MATCH($E702,CA!$A$2:$A$78,0)),
"")</f>
        <v>1</v>
      </c>
      <c r="K702" s="58" t="str">
        <f>_xlfn.IFNA(
INDEX(CA!E$2:E$78,MATCH($E702,CA!$A$2:$A$78,0)),
"")</f>
        <v>NORTH</v>
      </c>
      <c r="L702" s="15" t="e">
        <v>#VALUE!</v>
      </c>
      <c r="M702" s="15" t="e">
        <v>#VALUE!</v>
      </c>
      <c r="N702" s="15" t="e">
        <v>#VALUE!</v>
      </c>
      <c r="O702" s="15" t="e">
        <v>#VALUE!</v>
      </c>
      <c r="P702" s="15" t="e">
        <v>#VALUE!</v>
      </c>
      <c r="Q702" s="15" t="e">
        <v>#VALUE!</v>
      </c>
      <c r="R702" s="15" t="e">
        <v>#VALUE!</v>
      </c>
      <c r="S702" s="15" t="e">
        <v>#VALUE!</v>
      </c>
      <c r="T702" s="129">
        <v>0.12483548275629808</v>
      </c>
      <c r="U702" s="130" t="e">
        <f t="shared" si="43"/>
        <v>#VALUE!</v>
      </c>
      <c r="V702" s="129">
        <v>0.12483548275629808</v>
      </c>
      <c r="W702" s="130" t="e">
        <f t="shared" si="40"/>
        <v>#VALUE!</v>
      </c>
      <c r="X702" s="129">
        <v>0.12483548275629808</v>
      </c>
      <c r="Y702" s="130" t="e">
        <f t="shared" si="41"/>
        <v>#VALUE!</v>
      </c>
      <c r="Z702" s="129">
        <v>0.12483548275629808</v>
      </c>
      <c r="AA702" s="130" t="e">
        <f t="shared" si="42"/>
        <v>#VALUE!</v>
      </c>
    </row>
    <row r="703" spans="1:27" x14ac:dyDescent="0.3">
      <c r="A703">
        <v>832500</v>
      </c>
      <c r="B703">
        <v>17031832500</v>
      </c>
      <c r="C703">
        <v>17031</v>
      </c>
      <c r="D703">
        <v>2010</v>
      </c>
      <c r="E703">
        <v>7</v>
      </c>
      <c r="F703">
        <v>8365877.1447064802</v>
      </c>
      <c r="G703" s="43">
        <v>0.30008455093213671</v>
      </c>
      <c r="H703" s="58" t="str">
        <f>_xlfn.IFNA(
INDEX(CA!B$2:B$78,MATCH($E703,CA!$A$2:$A$78,0)),
"")</f>
        <v>LINCOLN PARK</v>
      </c>
      <c r="I703" s="60" t="str">
        <f>_xlfn.IFNA(
INDEX(CA!C$2:C$78,MATCH($E703,CA!$A$2:$A$78,0)),
"")</f>
        <v>1-B</v>
      </c>
      <c r="J703" s="60">
        <f>_xlfn.IFNA(
INDEX(CA!D$2:D$78,MATCH($E703,CA!$A$2:$A$78,0)),
"")</f>
        <v>1</v>
      </c>
      <c r="K703" s="58" t="str">
        <f>_xlfn.IFNA(
INDEX(CA!E$2:E$78,MATCH($E703,CA!$A$2:$A$78,0)),
"")</f>
        <v>NORTH</v>
      </c>
      <c r="L703" s="15" t="e">
        <v>#VALUE!</v>
      </c>
      <c r="M703" s="15" t="e">
        <v>#VALUE!</v>
      </c>
      <c r="N703" s="15" t="e">
        <v>#VALUE!</v>
      </c>
      <c r="O703" s="15" t="e">
        <v>#VALUE!</v>
      </c>
      <c r="P703" s="15" t="e">
        <v>#VALUE!</v>
      </c>
      <c r="Q703" s="15" t="e">
        <v>#VALUE!</v>
      </c>
      <c r="R703" s="15" t="e">
        <v>#VALUE!</v>
      </c>
      <c r="S703" s="15" t="e">
        <v>#VALUE!</v>
      </c>
      <c r="T703" s="129">
        <v>0.30008454617240587</v>
      </c>
      <c r="U703" s="130" t="e">
        <f t="shared" si="43"/>
        <v>#VALUE!</v>
      </c>
      <c r="V703" s="129">
        <v>0.30008454617240587</v>
      </c>
      <c r="W703" s="130" t="e">
        <f t="shared" si="40"/>
        <v>#VALUE!</v>
      </c>
      <c r="X703" s="129">
        <v>0.30008454617240587</v>
      </c>
      <c r="Y703" s="130" t="e">
        <f t="shared" si="41"/>
        <v>#VALUE!</v>
      </c>
      <c r="Z703" s="129">
        <v>0.30008454617240587</v>
      </c>
      <c r="AA703" s="130" t="e">
        <f t="shared" si="42"/>
        <v>#VALUE!</v>
      </c>
    </row>
    <row r="704" spans="1:27" x14ac:dyDescent="0.3">
      <c r="A704">
        <v>70103</v>
      </c>
      <c r="B704">
        <v>17031070103</v>
      </c>
      <c r="C704">
        <v>17031</v>
      </c>
      <c r="D704">
        <v>2010</v>
      </c>
      <c r="E704">
        <v>7</v>
      </c>
      <c r="F704">
        <v>743761.22763238102</v>
      </c>
      <c r="G704" s="43">
        <v>2.6678763043516882E-2</v>
      </c>
      <c r="H704" s="58" t="str">
        <f>_xlfn.IFNA(
INDEX(CA!B$2:B$78,MATCH($E704,CA!$A$2:$A$78,0)),
"")</f>
        <v>LINCOLN PARK</v>
      </c>
      <c r="I704" s="60" t="str">
        <f>_xlfn.IFNA(
INDEX(CA!C$2:C$78,MATCH($E704,CA!$A$2:$A$78,0)),
"")</f>
        <v>1-B</v>
      </c>
      <c r="J704" s="60">
        <f>_xlfn.IFNA(
INDEX(CA!D$2:D$78,MATCH($E704,CA!$A$2:$A$78,0)),
"")</f>
        <v>1</v>
      </c>
      <c r="K704" s="58" t="str">
        <f>_xlfn.IFNA(
INDEX(CA!E$2:E$78,MATCH($E704,CA!$A$2:$A$78,0)),
"")</f>
        <v>NORTH</v>
      </c>
      <c r="L704" s="15" t="e">
        <v>#VALUE!</v>
      </c>
      <c r="M704" s="15" t="e">
        <v>#VALUE!</v>
      </c>
      <c r="N704" s="15" t="e">
        <v>#VALUE!</v>
      </c>
      <c r="O704" s="15" t="e">
        <v>#VALUE!</v>
      </c>
      <c r="P704" s="15" t="e">
        <v>#VALUE!</v>
      </c>
      <c r="Q704" s="15" t="e">
        <v>#VALUE!</v>
      </c>
      <c r="R704" s="15" t="e">
        <v>#VALUE!</v>
      </c>
      <c r="S704" s="15" t="e">
        <v>#VALUE!</v>
      </c>
      <c r="T704" s="129">
        <v>2.6678761245214323E-2</v>
      </c>
      <c r="U704" s="130" t="e">
        <f t="shared" si="43"/>
        <v>#VALUE!</v>
      </c>
      <c r="V704" s="129">
        <v>2.6678761245214323E-2</v>
      </c>
      <c r="W704" s="130" t="e">
        <f t="shared" si="40"/>
        <v>#VALUE!</v>
      </c>
      <c r="X704" s="129">
        <v>2.6678761245214323E-2</v>
      </c>
      <c r="Y704" s="130" t="e">
        <f t="shared" si="41"/>
        <v>#VALUE!</v>
      </c>
      <c r="Z704" s="129">
        <v>2.6678761245214323E-2</v>
      </c>
      <c r="AA704" s="130" t="e">
        <f t="shared" si="42"/>
        <v>#VALUE!</v>
      </c>
    </row>
    <row r="705" spans="1:27" x14ac:dyDescent="0.3">
      <c r="A705">
        <v>71700</v>
      </c>
      <c r="B705">
        <v>17031071700</v>
      </c>
      <c r="C705">
        <v>17031</v>
      </c>
      <c r="D705">
        <v>2010</v>
      </c>
      <c r="E705">
        <v>7</v>
      </c>
      <c r="F705">
        <v>1721825.24093172</v>
      </c>
      <c r="G705" s="43">
        <v>6.1761982069692668E-2</v>
      </c>
      <c r="H705" s="58" t="str">
        <f>_xlfn.IFNA(
INDEX(CA!B$2:B$78,MATCH($E705,CA!$A$2:$A$78,0)),
"")</f>
        <v>LINCOLN PARK</v>
      </c>
      <c r="I705" s="60" t="str">
        <f>_xlfn.IFNA(
INDEX(CA!C$2:C$78,MATCH($E705,CA!$A$2:$A$78,0)),
"")</f>
        <v>1-B</v>
      </c>
      <c r="J705" s="60">
        <f>_xlfn.IFNA(
INDEX(CA!D$2:D$78,MATCH($E705,CA!$A$2:$A$78,0)),
"")</f>
        <v>1</v>
      </c>
      <c r="K705" s="58" t="str">
        <f>_xlfn.IFNA(
INDEX(CA!E$2:E$78,MATCH($E705,CA!$A$2:$A$78,0)),
"")</f>
        <v>NORTH</v>
      </c>
      <c r="L705" s="15" t="e">
        <v>#VALUE!</v>
      </c>
      <c r="M705" s="15" t="e">
        <v>#VALUE!</v>
      </c>
      <c r="N705" s="15" t="e">
        <v>#VALUE!</v>
      </c>
      <c r="O705" s="15" t="e">
        <v>#VALUE!</v>
      </c>
      <c r="P705" s="15" t="e">
        <v>#VALUE!</v>
      </c>
      <c r="Q705" s="15" t="e">
        <v>#VALUE!</v>
      </c>
      <c r="R705" s="15" t="e">
        <v>#VALUE!</v>
      </c>
      <c r="S705" s="15" t="e">
        <v>#VALUE!</v>
      </c>
      <c r="T705" s="129">
        <v>6.1761979859701416E-2</v>
      </c>
      <c r="U705" s="130" t="e">
        <f t="shared" si="43"/>
        <v>#VALUE!</v>
      </c>
      <c r="V705" s="129">
        <v>6.1761979859701416E-2</v>
      </c>
      <c r="W705" s="130" t="e">
        <f t="shared" si="40"/>
        <v>#VALUE!</v>
      </c>
      <c r="X705" s="129">
        <v>6.1761979859701416E-2</v>
      </c>
      <c r="Y705" s="130" t="e">
        <f t="shared" si="41"/>
        <v>#VALUE!</v>
      </c>
      <c r="Z705" s="129">
        <v>6.1761979859701416E-2</v>
      </c>
      <c r="AA705" s="130" t="e">
        <f t="shared" si="42"/>
        <v>#VALUE!</v>
      </c>
    </row>
    <row r="706" spans="1:27" x14ac:dyDescent="0.3">
      <c r="A706">
        <v>71300</v>
      </c>
      <c r="B706">
        <v>17031071300</v>
      </c>
      <c r="C706">
        <v>17031</v>
      </c>
      <c r="D706">
        <v>2010</v>
      </c>
      <c r="E706">
        <v>7</v>
      </c>
      <c r="F706">
        <v>3330019.5987438899</v>
      </c>
      <c r="G706" s="43">
        <v>0.1194480170577899</v>
      </c>
      <c r="H706" s="58" t="str">
        <f>_xlfn.IFNA(
INDEX(CA!B$2:B$78,MATCH($E706,CA!$A$2:$A$78,0)),
"")</f>
        <v>LINCOLN PARK</v>
      </c>
      <c r="I706" s="60" t="str">
        <f>_xlfn.IFNA(
INDEX(CA!C$2:C$78,MATCH($E706,CA!$A$2:$A$78,0)),
"")</f>
        <v>1-B</v>
      </c>
      <c r="J706" s="60">
        <f>_xlfn.IFNA(
INDEX(CA!D$2:D$78,MATCH($E706,CA!$A$2:$A$78,0)),
"")</f>
        <v>1</v>
      </c>
      <c r="K706" s="58" t="str">
        <f>_xlfn.IFNA(
INDEX(CA!E$2:E$78,MATCH($E706,CA!$A$2:$A$78,0)),
"")</f>
        <v>NORTH</v>
      </c>
      <c r="L706" s="15" t="e">
        <v>#VALUE!</v>
      </c>
      <c r="M706" s="15" t="e">
        <v>#VALUE!</v>
      </c>
      <c r="N706" s="15" t="e">
        <v>#VALUE!</v>
      </c>
      <c r="O706" s="15" t="e">
        <v>#VALUE!</v>
      </c>
      <c r="P706" s="15" t="e">
        <v>#VALUE!</v>
      </c>
      <c r="Q706" s="15" t="e">
        <v>#VALUE!</v>
      </c>
      <c r="R706" s="15" t="e">
        <v>#VALUE!</v>
      </c>
      <c r="S706" s="15" t="e">
        <v>#VALUE!</v>
      </c>
      <c r="T706" s="129">
        <v>0.119448011626169</v>
      </c>
      <c r="U706" s="130" t="e">
        <f t="shared" si="43"/>
        <v>#VALUE!</v>
      </c>
      <c r="V706" s="129">
        <v>0.119448011626169</v>
      </c>
      <c r="W706" s="130" t="e">
        <f t="shared" si="40"/>
        <v>#VALUE!</v>
      </c>
      <c r="X706" s="129">
        <v>0.119448011626169</v>
      </c>
      <c r="Y706" s="130" t="e">
        <f t="shared" si="41"/>
        <v>#VALUE!</v>
      </c>
      <c r="Z706" s="129">
        <v>0.119448011626169</v>
      </c>
      <c r="AA706" s="130" t="e">
        <f t="shared" si="42"/>
        <v>#VALUE!</v>
      </c>
    </row>
    <row r="707" spans="1:27" x14ac:dyDescent="0.3">
      <c r="A707">
        <v>70200</v>
      </c>
      <c r="B707">
        <v>17031070200</v>
      </c>
      <c r="C707">
        <v>17031</v>
      </c>
      <c r="D707">
        <v>2010</v>
      </c>
      <c r="E707">
        <v>7</v>
      </c>
      <c r="F707">
        <v>3674641.11505841</v>
      </c>
      <c r="G707" s="43">
        <v>0.13180961299997165</v>
      </c>
      <c r="H707" s="58" t="str">
        <f>_xlfn.IFNA(
INDEX(CA!B$2:B$78,MATCH($E707,CA!$A$2:$A$78,0)),
"")</f>
        <v>LINCOLN PARK</v>
      </c>
      <c r="I707" s="60" t="str">
        <f>_xlfn.IFNA(
INDEX(CA!C$2:C$78,MATCH($E707,CA!$A$2:$A$78,0)),
"")</f>
        <v>1-B</v>
      </c>
      <c r="J707" s="60">
        <f>_xlfn.IFNA(
INDEX(CA!D$2:D$78,MATCH($E707,CA!$A$2:$A$78,0)),
"")</f>
        <v>1</v>
      </c>
      <c r="K707" s="58" t="str">
        <f>_xlfn.IFNA(
INDEX(CA!E$2:E$78,MATCH($E707,CA!$A$2:$A$78,0)),
"")</f>
        <v>NORTH</v>
      </c>
      <c r="L707" s="15" t="e">
        <v>#VALUE!</v>
      </c>
      <c r="M707" s="15" t="e">
        <v>#VALUE!</v>
      </c>
      <c r="N707" s="15" t="e">
        <v>#VALUE!</v>
      </c>
      <c r="O707" s="15" t="e">
        <v>#VALUE!</v>
      </c>
      <c r="P707" s="15" t="e">
        <v>#VALUE!</v>
      </c>
      <c r="Q707" s="15" t="e">
        <v>#VALUE!</v>
      </c>
      <c r="R707" s="15" t="e">
        <v>#VALUE!</v>
      </c>
      <c r="S707" s="15" t="e">
        <v>#VALUE!</v>
      </c>
      <c r="T707" s="129">
        <v>0.1318096072736373</v>
      </c>
      <c r="U707" s="130" t="e">
        <f t="shared" si="43"/>
        <v>#VALUE!</v>
      </c>
      <c r="V707" s="129">
        <v>0.1318096072736373</v>
      </c>
      <c r="W707" s="130" t="e">
        <f t="shared" si="40"/>
        <v>#VALUE!</v>
      </c>
      <c r="X707" s="129">
        <v>0.1318096072736373</v>
      </c>
      <c r="Y707" s="130" t="e">
        <f t="shared" si="41"/>
        <v>#VALUE!</v>
      </c>
      <c r="Z707" s="129">
        <v>0.1318096072736373</v>
      </c>
      <c r="AA707" s="130" t="e">
        <f t="shared" si="42"/>
        <v>#VALUE!</v>
      </c>
    </row>
    <row r="708" spans="1:27" x14ac:dyDescent="0.3">
      <c r="A708">
        <v>70101</v>
      </c>
      <c r="B708">
        <v>17031070101</v>
      </c>
      <c r="C708">
        <v>17031</v>
      </c>
      <c r="D708">
        <v>2010</v>
      </c>
      <c r="E708">
        <v>7</v>
      </c>
      <c r="F708">
        <v>7243914.85787067</v>
      </c>
      <c r="G708" s="43">
        <v>0.25983969158454823</v>
      </c>
      <c r="H708" s="58" t="str">
        <f>_xlfn.IFNA(
INDEX(CA!B$2:B$78,MATCH($E708,CA!$A$2:$A$78,0)),
"")</f>
        <v>LINCOLN PARK</v>
      </c>
      <c r="I708" s="60" t="str">
        <f>_xlfn.IFNA(
INDEX(CA!C$2:C$78,MATCH($E708,CA!$A$2:$A$78,0)),
"")</f>
        <v>1-B</v>
      </c>
      <c r="J708" s="60">
        <f>_xlfn.IFNA(
INDEX(CA!D$2:D$78,MATCH($E708,CA!$A$2:$A$78,0)),
"")</f>
        <v>1</v>
      </c>
      <c r="K708" s="58" t="str">
        <f>_xlfn.IFNA(
INDEX(CA!E$2:E$78,MATCH($E708,CA!$A$2:$A$78,0)),
"")</f>
        <v>NORTH</v>
      </c>
      <c r="L708" s="15" t="e">
        <v>#VALUE!</v>
      </c>
      <c r="M708" s="15" t="e">
        <v>#VALUE!</v>
      </c>
      <c r="N708" s="15" t="e">
        <v>#VALUE!</v>
      </c>
      <c r="O708" s="15" t="e">
        <v>#VALUE!</v>
      </c>
      <c r="P708" s="15" t="e">
        <v>#VALUE!</v>
      </c>
      <c r="Q708" s="15" t="e">
        <v>#VALUE!</v>
      </c>
      <c r="R708" s="15" t="e">
        <v>#VALUE!</v>
      </c>
      <c r="S708" s="15" t="e">
        <v>#VALUE!</v>
      </c>
      <c r="T708" s="129">
        <v>0.2598396924226089</v>
      </c>
      <c r="U708" s="130" t="e">
        <f t="shared" si="43"/>
        <v>#VALUE!</v>
      </c>
      <c r="V708" s="129">
        <v>0.2598396924226089</v>
      </c>
      <c r="W708" s="130" t="e">
        <f t="shared" si="40"/>
        <v>#VALUE!</v>
      </c>
      <c r="X708" s="129">
        <v>0.2598396924226089</v>
      </c>
      <c r="Y708" s="130" t="e">
        <f t="shared" si="41"/>
        <v>#VALUE!</v>
      </c>
      <c r="Z708" s="129">
        <v>0.2598396924226089</v>
      </c>
      <c r="AA708" s="130" t="e">
        <f t="shared" si="42"/>
        <v>#VALUE!</v>
      </c>
    </row>
    <row r="709" spans="1:27" x14ac:dyDescent="0.3">
      <c r="A709">
        <v>832600</v>
      </c>
      <c r="B709">
        <v>17031832600</v>
      </c>
      <c r="C709">
        <v>17031</v>
      </c>
      <c r="D709">
        <v>2010</v>
      </c>
      <c r="E709">
        <v>7</v>
      </c>
      <c r="F709">
        <v>7709694.6438394403</v>
      </c>
      <c r="G709" s="43">
        <v>0.27654724244717921</v>
      </c>
      <c r="H709" s="58" t="str">
        <f>_xlfn.IFNA(
INDEX(CA!B$2:B$78,MATCH($E709,CA!$A$2:$A$78,0)),
"")</f>
        <v>LINCOLN PARK</v>
      </c>
      <c r="I709" s="60" t="str">
        <f>_xlfn.IFNA(
INDEX(CA!C$2:C$78,MATCH($E709,CA!$A$2:$A$78,0)),
"")</f>
        <v>1-B</v>
      </c>
      <c r="J709" s="60">
        <f>_xlfn.IFNA(
INDEX(CA!D$2:D$78,MATCH($E709,CA!$A$2:$A$78,0)),
"")</f>
        <v>1</v>
      </c>
      <c r="K709" s="58" t="str">
        <f>_xlfn.IFNA(
INDEX(CA!E$2:E$78,MATCH($E709,CA!$A$2:$A$78,0)),
"")</f>
        <v>NORTH</v>
      </c>
      <c r="L709" s="15" t="e">
        <v>#VALUE!</v>
      </c>
      <c r="M709" s="15" t="e">
        <v>#VALUE!</v>
      </c>
      <c r="N709" s="15" t="e">
        <v>#VALUE!</v>
      </c>
      <c r="O709" s="15" t="e">
        <v>#VALUE!</v>
      </c>
      <c r="P709" s="15" t="e">
        <v>#VALUE!</v>
      </c>
      <c r="Q709" s="15" t="e">
        <v>#VALUE!</v>
      </c>
      <c r="R709" s="15" t="e">
        <v>#VALUE!</v>
      </c>
      <c r="S709" s="15" t="e">
        <v>#VALUE!</v>
      </c>
      <c r="T709" s="129">
        <v>0.27654724630004485</v>
      </c>
      <c r="U709" s="130" t="e">
        <f t="shared" si="43"/>
        <v>#VALUE!</v>
      </c>
      <c r="V709" s="129">
        <v>0.27654724630004485</v>
      </c>
      <c r="W709" s="130" t="e">
        <f t="shared" si="40"/>
        <v>#VALUE!</v>
      </c>
      <c r="X709" s="129">
        <v>0.27654724630004485</v>
      </c>
      <c r="Y709" s="130" t="e">
        <f t="shared" si="41"/>
        <v>#VALUE!</v>
      </c>
      <c r="Z709" s="129">
        <v>0.27654724630004485</v>
      </c>
      <c r="AA709" s="130" t="e">
        <f t="shared" si="42"/>
        <v>#VALUE!</v>
      </c>
    </row>
    <row r="710" spans="1:27" x14ac:dyDescent="0.3">
      <c r="A710">
        <v>71000</v>
      </c>
      <c r="B710">
        <v>17031071000</v>
      </c>
      <c r="C710">
        <v>17031</v>
      </c>
      <c r="D710">
        <v>2010</v>
      </c>
      <c r="E710">
        <v>7</v>
      </c>
      <c r="F710">
        <v>3494553.5451551699</v>
      </c>
      <c r="G710" s="43">
        <v>0.12534986029166559</v>
      </c>
      <c r="H710" s="58" t="str">
        <f>_xlfn.IFNA(
INDEX(CA!B$2:B$78,MATCH($E710,CA!$A$2:$A$78,0)),
"")</f>
        <v>LINCOLN PARK</v>
      </c>
      <c r="I710" s="60" t="str">
        <f>_xlfn.IFNA(
INDEX(CA!C$2:C$78,MATCH($E710,CA!$A$2:$A$78,0)),
"")</f>
        <v>1-B</v>
      </c>
      <c r="J710" s="60">
        <f>_xlfn.IFNA(
INDEX(CA!D$2:D$78,MATCH($E710,CA!$A$2:$A$78,0)),
"")</f>
        <v>1</v>
      </c>
      <c r="K710" s="58" t="str">
        <f>_xlfn.IFNA(
INDEX(CA!E$2:E$78,MATCH($E710,CA!$A$2:$A$78,0)),
"")</f>
        <v>NORTH</v>
      </c>
      <c r="L710" s="15" t="e">
        <v>#VALUE!</v>
      </c>
      <c r="M710" s="15" t="e">
        <v>#VALUE!</v>
      </c>
      <c r="N710" s="15" t="e">
        <v>#VALUE!</v>
      </c>
      <c r="O710" s="15" t="e">
        <v>#VALUE!</v>
      </c>
      <c r="P710" s="15" t="e">
        <v>#VALUE!</v>
      </c>
      <c r="Q710" s="15" t="e">
        <v>#VALUE!</v>
      </c>
      <c r="R710" s="15" t="e">
        <v>#VALUE!</v>
      </c>
      <c r="S710" s="15" t="e">
        <v>#VALUE!</v>
      </c>
      <c r="T710" s="129">
        <v>0.12534986075757901</v>
      </c>
      <c r="U710" s="130" t="e">
        <f t="shared" si="43"/>
        <v>#VALUE!</v>
      </c>
      <c r="V710" s="129">
        <v>0.12534986075757901</v>
      </c>
      <c r="W710" s="130" t="e">
        <f t="shared" ref="W710:W773" si="44">(V710/$G710)*$L710</f>
        <v>#VALUE!</v>
      </c>
      <c r="X710" s="129">
        <v>0.12534986075757901</v>
      </c>
      <c r="Y710" s="130" t="e">
        <f t="shared" ref="Y710:Y773" si="45">(X710/$G710)*$L710</f>
        <v>#VALUE!</v>
      </c>
      <c r="Z710" s="129">
        <v>0.12534986075757901</v>
      </c>
      <c r="AA710" s="130" t="e">
        <f t="shared" ref="AA710:AA773" si="46">(Z710/$G710)*$L710</f>
        <v>#VALUE!</v>
      </c>
    </row>
    <row r="711" spans="1:27" x14ac:dyDescent="0.3">
      <c r="A711">
        <v>70600</v>
      </c>
      <c r="B711">
        <v>17031070600</v>
      </c>
      <c r="C711">
        <v>17031</v>
      </c>
      <c r="D711">
        <v>2010</v>
      </c>
      <c r="E711">
        <v>7</v>
      </c>
      <c r="F711">
        <v>3693654.4347714698</v>
      </c>
      <c r="G711" s="43">
        <v>0.13249162200023926</v>
      </c>
      <c r="H711" s="58" t="str">
        <f>_xlfn.IFNA(
INDEX(CA!B$2:B$78,MATCH($E711,CA!$A$2:$A$78,0)),
"")</f>
        <v>LINCOLN PARK</v>
      </c>
      <c r="I711" s="60" t="str">
        <f>_xlfn.IFNA(
INDEX(CA!C$2:C$78,MATCH($E711,CA!$A$2:$A$78,0)),
"")</f>
        <v>1-B</v>
      </c>
      <c r="J711" s="60">
        <f>_xlfn.IFNA(
INDEX(CA!D$2:D$78,MATCH($E711,CA!$A$2:$A$78,0)),
"")</f>
        <v>1</v>
      </c>
      <c r="K711" s="58" t="str">
        <f>_xlfn.IFNA(
INDEX(CA!E$2:E$78,MATCH($E711,CA!$A$2:$A$78,0)),
"")</f>
        <v>NORTH</v>
      </c>
      <c r="L711" s="15" t="e">
        <v>#VALUE!</v>
      </c>
      <c r="M711" s="15" t="e">
        <v>#VALUE!</v>
      </c>
      <c r="N711" s="15" t="e">
        <v>#VALUE!</v>
      </c>
      <c r="O711" s="15" t="e">
        <v>#VALUE!</v>
      </c>
      <c r="P711" s="15" t="e">
        <v>#VALUE!</v>
      </c>
      <c r="Q711" s="15" t="e">
        <v>#VALUE!</v>
      </c>
      <c r="R711" s="15" t="e">
        <v>#VALUE!</v>
      </c>
      <c r="S711" s="15" t="e">
        <v>#VALUE!</v>
      </c>
      <c r="T711" s="129">
        <v>0.13249162548687407</v>
      </c>
      <c r="U711" s="130" t="e">
        <f t="shared" ref="U711:U774" si="47">(T711/$G711)*$L711</f>
        <v>#VALUE!</v>
      </c>
      <c r="V711" s="129">
        <v>0.13249162548687407</v>
      </c>
      <c r="W711" s="130" t="e">
        <f t="shared" si="44"/>
        <v>#VALUE!</v>
      </c>
      <c r="X711" s="129">
        <v>0.13249162548687407</v>
      </c>
      <c r="Y711" s="130" t="e">
        <f t="shared" si="45"/>
        <v>#VALUE!</v>
      </c>
      <c r="Z711" s="129">
        <v>0.13249162548687407</v>
      </c>
      <c r="AA711" s="130" t="e">
        <f t="shared" si="46"/>
        <v>#VALUE!</v>
      </c>
    </row>
    <row r="712" spans="1:27" x14ac:dyDescent="0.3">
      <c r="A712">
        <v>71100</v>
      </c>
      <c r="B712">
        <v>17031071100</v>
      </c>
      <c r="C712">
        <v>17031</v>
      </c>
      <c r="D712">
        <v>2010</v>
      </c>
      <c r="E712">
        <v>7</v>
      </c>
      <c r="F712">
        <v>3503041.8066452299</v>
      </c>
      <c r="G712" s="43">
        <v>0.12565433477693233</v>
      </c>
      <c r="H712" s="58" t="str">
        <f>_xlfn.IFNA(
INDEX(CA!B$2:B$78,MATCH($E712,CA!$A$2:$A$78,0)),
"")</f>
        <v>LINCOLN PARK</v>
      </c>
      <c r="I712" s="60" t="str">
        <f>_xlfn.IFNA(
INDEX(CA!C$2:C$78,MATCH($E712,CA!$A$2:$A$78,0)),
"")</f>
        <v>1-B</v>
      </c>
      <c r="J712" s="60">
        <f>_xlfn.IFNA(
INDEX(CA!D$2:D$78,MATCH($E712,CA!$A$2:$A$78,0)),
"")</f>
        <v>1</v>
      </c>
      <c r="K712" s="58" t="str">
        <f>_xlfn.IFNA(
INDEX(CA!E$2:E$78,MATCH($E712,CA!$A$2:$A$78,0)),
"")</f>
        <v>NORTH</v>
      </c>
      <c r="L712" s="15" t="e">
        <v>#VALUE!</v>
      </c>
      <c r="M712" s="15" t="e">
        <v>#VALUE!</v>
      </c>
      <c r="N712" s="15" t="e">
        <v>#VALUE!</v>
      </c>
      <c r="O712" s="15" t="e">
        <v>#VALUE!</v>
      </c>
      <c r="P712" s="15" t="e">
        <v>#VALUE!</v>
      </c>
      <c r="Q712" s="15" t="e">
        <v>#VALUE!</v>
      </c>
      <c r="R712" s="15" t="e">
        <v>#VALUE!</v>
      </c>
      <c r="S712" s="15" t="e">
        <v>#VALUE!</v>
      </c>
      <c r="T712" s="129">
        <v>0.12565433853590163</v>
      </c>
      <c r="U712" s="130" t="e">
        <f t="shared" si="47"/>
        <v>#VALUE!</v>
      </c>
      <c r="V712" s="129">
        <v>0.12565433853590163</v>
      </c>
      <c r="W712" s="130" t="e">
        <f t="shared" si="44"/>
        <v>#VALUE!</v>
      </c>
      <c r="X712" s="129">
        <v>0.12565433853590163</v>
      </c>
      <c r="Y712" s="130" t="e">
        <f t="shared" si="45"/>
        <v>#VALUE!</v>
      </c>
      <c r="Z712" s="129">
        <v>0.12565433853590163</v>
      </c>
      <c r="AA712" s="130" t="e">
        <f t="shared" si="46"/>
        <v>#VALUE!</v>
      </c>
    </row>
    <row r="713" spans="1:27" x14ac:dyDescent="0.3">
      <c r="A713">
        <v>70400</v>
      </c>
      <c r="B713">
        <v>17031070400</v>
      </c>
      <c r="C713">
        <v>17031</v>
      </c>
      <c r="D713">
        <v>2010</v>
      </c>
      <c r="E713">
        <v>7</v>
      </c>
      <c r="F713">
        <v>3491382.1636974001</v>
      </c>
      <c r="G713" s="43">
        <v>0.12523610263492166</v>
      </c>
      <c r="H713" s="58" t="str">
        <f>_xlfn.IFNA(
INDEX(CA!B$2:B$78,MATCH($E713,CA!$A$2:$A$78,0)),
"")</f>
        <v>LINCOLN PARK</v>
      </c>
      <c r="I713" s="60" t="str">
        <f>_xlfn.IFNA(
INDEX(CA!C$2:C$78,MATCH($E713,CA!$A$2:$A$78,0)),
"")</f>
        <v>1-B</v>
      </c>
      <c r="J713" s="60">
        <f>_xlfn.IFNA(
INDEX(CA!D$2:D$78,MATCH($E713,CA!$A$2:$A$78,0)),
"")</f>
        <v>1</v>
      </c>
      <c r="K713" s="58" t="str">
        <f>_xlfn.IFNA(
INDEX(CA!E$2:E$78,MATCH($E713,CA!$A$2:$A$78,0)),
"")</f>
        <v>NORTH</v>
      </c>
      <c r="L713" s="15" t="e">
        <v>#VALUE!</v>
      </c>
      <c r="M713" s="15" t="e">
        <v>#VALUE!</v>
      </c>
      <c r="N713" s="15" t="e">
        <v>#VALUE!</v>
      </c>
      <c r="O713" s="15" t="e">
        <v>#VALUE!</v>
      </c>
      <c r="P713" s="15" t="e">
        <v>#VALUE!</v>
      </c>
      <c r="Q713" s="15" t="e">
        <v>#VALUE!</v>
      </c>
      <c r="R713" s="15" t="e">
        <v>#VALUE!</v>
      </c>
      <c r="S713" s="15" t="e">
        <v>#VALUE!</v>
      </c>
      <c r="T713" s="129">
        <v>0.12523610661043855</v>
      </c>
      <c r="U713" s="130" t="e">
        <f t="shared" si="47"/>
        <v>#VALUE!</v>
      </c>
      <c r="V713" s="129">
        <v>0.12523610661043855</v>
      </c>
      <c r="W713" s="130" t="e">
        <f t="shared" si="44"/>
        <v>#VALUE!</v>
      </c>
      <c r="X713" s="129">
        <v>0.12523610661043855</v>
      </c>
      <c r="Y713" s="130" t="e">
        <f t="shared" si="45"/>
        <v>#VALUE!</v>
      </c>
      <c r="Z713" s="129">
        <v>0.12523610661043855</v>
      </c>
      <c r="AA713" s="130" t="e">
        <f t="shared" si="46"/>
        <v>#VALUE!</v>
      </c>
    </row>
    <row r="714" spans="1:27" x14ac:dyDescent="0.3">
      <c r="A714">
        <v>70102</v>
      </c>
      <c r="B714">
        <v>17031070102</v>
      </c>
      <c r="C714">
        <v>17031</v>
      </c>
      <c r="D714">
        <v>2010</v>
      </c>
      <c r="E714">
        <v>7</v>
      </c>
      <c r="F714">
        <v>1337025.8028651299</v>
      </c>
      <c r="G714" s="43">
        <v>4.7959201491661281E-2</v>
      </c>
      <c r="H714" s="58" t="str">
        <f>_xlfn.IFNA(
INDEX(CA!B$2:B$78,MATCH($E714,CA!$A$2:$A$78,0)),
"")</f>
        <v>LINCOLN PARK</v>
      </c>
      <c r="I714" s="60" t="str">
        <f>_xlfn.IFNA(
INDEX(CA!C$2:C$78,MATCH($E714,CA!$A$2:$A$78,0)),
"")</f>
        <v>1-B</v>
      </c>
      <c r="J714" s="60">
        <f>_xlfn.IFNA(
INDEX(CA!D$2:D$78,MATCH($E714,CA!$A$2:$A$78,0)),
"")</f>
        <v>1</v>
      </c>
      <c r="K714" s="58" t="str">
        <f>_xlfn.IFNA(
INDEX(CA!E$2:E$78,MATCH($E714,CA!$A$2:$A$78,0)),
"")</f>
        <v>NORTH</v>
      </c>
      <c r="L714" s="15" t="e">
        <v>#VALUE!</v>
      </c>
      <c r="M714" s="15" t="e">
        <v>#VALUE!</v>
      </c>
      <c r="N714" s="15" t="e">
        <v>#VALUE!</v>
      </c>
      <c r="O714" s="15" t="e">
        <v>#VALUE!</v>
      </c>
      <c r="P714" s="15" t="e">
        <v>#VALUE!</v>
      </c>
      <c r="Q714" s="15" t="e">
        <v>#VALUE!</v>
      </c>
      <c r="R714" s="15" t="e">
        <v>#VALUE!</v>
      </c>
      <c r="S714" s="15" t="e">
        <v>#VALUE!</v>
      </c>
      <c r="T714" s="129">
        <v>4.7959204212072788E-2</v>
      </c>
      <c r="U714" s="130" t="e">
        <f t="shared" si="47"/>
        <v>#VALUE!</v>
      </c>
      <c r="V714" s="129">
        <v>4.7959204212072788E-2</v>
      </c>
      <c r="W714" s="130" t="e">
        <f t="shared" si="44"/>
        <v>#VALUE!</v>
      </c>
      <c r="X714" s="129">
        <v>4.7959204212072788E-2</v>
      </c>
      <c r="Y714" s="130" t="e">
        <f t="shared" si="45"/>
        <v>#VALUE!</v>
      </c>
      <c r="Z714" s="129">
        <v>4.7959204212072788E-2</v>
      </c>
      <c r="AA714" s="130" t="e">
        <f t="shared" si="46"/>
        <v>#VALUE!</v>
      </c>
    </row>
    <row r="715" spans="1:27" x14ac:dyDescent="0.3">
      <c r="A715">
        <v>70700</v>
      </c>
      <c r="B715">
        <v>17031070700</v>
      </c>
      <c r="C715">
        <v>17031</v>
      </c>
      <c r="D715">
        <v>2010</v>
      </c>
      <c r="E715">
        <v>7</v>
      </c>
      <c r="F715">
        <v>7378997.6833981201</v>
      </c>
      <c r="G715" s="43">
        <v>0.26468512121922777</v>
      </c>
      <c r="H715" s="58" t="str">
        <f>_xlfn.IFNA(
INDEX(CA!B$2:B$78,MATCH($E715,CA!$A$2:$A$78,0)),
"")</f>
        <v>LINCOLN PARK</v>
      </c>
      <c r="I715" s="60" t="str">
        <f>_xlfn.IFNA(
INDEX(CA!C$2:C$78,MATCH($E715,CA!$A$2:$A$78,0)),
"")</f>
        <v>1-B</v>
      </c>
      <c r="J715" s="60">
        <f>_xlfn.IFNA(
INDEX(CA!D$2:D$78,MATCH($E715,CA!$A$2:$A$78,0)),
"")</f>
        <v>1</v>
      </c>
      <c r="K715" s="58" t="str">
        <f>_xlfn.IFNA(
INDEX(CA!E$2:E$78,MATCH($E715,CA!$A$2:$A$78,0)),
"")</f>
        <v>NORTH</v>
      </c>
      <c r="L715" s="15" t="e">
        <v>#VALUE!</v>
      </c>
      <c r="M715" s="15" t="e">
        <v>#VALUE!</v>
      </c>
      <c r="N715" s="15" t="e">
        <v>#VALUE!</v>
      </c>
      <c r="O715" s="15" t="e">
        <v>#VALUE!</v>
      </c>
      <c r="P715" s="15" t="e">
        <v>#VALUE!</v>
      </c>
      <c r="Q715" s="15" t="e">
        <v>#VALUE!</v>
      </c>
      <c r="R715" s="15" t="e">
        <v>#VALUE!</v>
      </c>
      <c r="S715" s="15" t="e">
        <v>#VALUE!</v>
      </c>
      <c r="T715" s="129">
        <v>0.26468511349454343</v>
      </c>
      <c r="U715" s="130" t="e">
        <f t="shared" si="47"/>
        <v>#VALUE!</v>
      </c>
      <c r="V715" s="129">
        <v>0.26468511349454343</v>
      </c>
      <c r="W715" s="130" t="e">
        <f t="shared" si="44"/>
        <v>#VALUE!</v>
      </c>
      <c r="X715" s="129">
        <v>0.26468511349454343</v>
      </c>
      <c r="Y715" s="130" t="e">
        <f t="shared" si="45"/>
        <v>#VALUE!</v>
      </c>
      <c r="Z715" s="129">
        <v>0.26468511349454343</v>
      </c>
      <c r="AA715" s="130" t="e">
        <f t="shared" si="46"/>
        <v>#VALUE!</v>
      </c>
    </row>
    <row r="716" spans="1:27" x14ac:dyDescent="0.3">
      <c r="A716">
        <v>70300</v>
      </c>
      <c r="B716">
        <v>17031070300</v>
      </c>
      <c r="C716">
        <v>17031</v>
      </c>
      <c r="D716">
        <v>2010</v>
      </c>
      <c r="E716">
        <v>7</v>
      </c>
      <c r="F716">
        <v>3491995.4959805398</v>
      </c>
      <c r="G716" s="43">
        <v>0.12525810290334236</v>
      </c>
      <c r="H716" s="58" t="str">
        <f>_xlfn.IFNA(
INDEX(CA!B$2:B$78,MATCH($E716,CA!$A$2:$A$78,0)),
"")</f>
        <v>LINCOLN PARK</v>
      </c>
      <c r="I716" s="60" t="str">
        <f>_xlfn.IFNA(
INDEX(CA!C$2:C$78,MATCH($E716,CA!$A$2:$A$78,0)),
"")</f>
        <v>1-B</v>
      </c>
      <c r="J716" s="60">
        <f>_xlfn.IFNA(
INDEX(CA!D$2:D$78,MATCH($E716,CA!$A$2:$A$78,0)),
"")</f>
        <v>1</v>
      </c>
      <c r="K716" s="58" t="str">
        <f>_xlfn.IFNA(
INDEX(CA!E$2:E$78,MATCH($E716,CA!$A$2:$A$78,0)),
"")</f>
        <v>NORTH</v>
      </c>
      <c r="L716" s="15" t="e">
        <v>#VALUE!</v>
      </c>
      <c r="M716" s="15" t="e">
        <v>#VALUE!</v>
      </c>
      <c r="N716" s="15" t="e">
        <v>#VALUE!</v>
      </c>
      <c r="O716" s="15" t="e">
        <v>#VALUE!</v>
      </c>
      <c r="P716" s="15" t="e">
        <v>#VALUE!</v>
      </c>
      <c r="Q716" s="15" t="e">
        <v>#VALUE!</v>
      </c>
      <c r="R716" s="15" t="e">
        <v>#VALUE!</v>
      </c>
      <c r="S716" s="15" t="e">
        <v>#VALUE!</v>
      </c>
      <c r="T716" s="129">
        <v>0.12525810059963341</v>
      </c>
      <c r="U716" s="130" t="e">
        <f t="shared" si="47"/>
        <v>#VALUE!</v>
      </c>
      <c r="V716" s="129">
        <v>0.12525810059963341</v>
      </c>
      <c r="W716" s="130" t="e">
        <f t="shared" si="44"/>
        <v>#VALUE!</v>
      </c>
      <c r="X716" s="129">
        <v>0.12525810059963341</v>
      </c>
      <c r="Y716" s="130" t="e">
        <f t="shared" si="45"/>
        <v>#VALUE!</v>
      </c>
      <c r="Z716" s="129">
        <v>0.12525810059963341</v>
      </c>
      <c r="AA716" s="130" t="e">
        <f t="shared" si="46"/>
        <v>#VALUE!</v>
      </c>
    </row>
    <row r="717" spans="1:27" x14ac:dyDescent="0.3">
      <c r="A717">
        <v>700402</v>
      </c>
      <c r="B717">
        <v>17031700402</v>
      </c>
      <c r="C717">
        <v>17031</v>
      </c>
      <c r="D717">
        <v>2010</v>
      </c>
      <c r="E717">
        <v>70</v>
      </c>
      <c r="F717">
        <v>12378328.157111701</v>
      </c>
      <c r="G717" s="43">
        <v>0.44401142666407328</v>
      </c>
      <c r="H717" s="58" t="str">
        <f>_xlfn.IFNA(
INDEX(CA!B$2:B$78,MATCH($E717,CA!$A$2:$A$78,0)),
"")</f>
        <v>ASHBURN</v>
      </c>
      <c r="I717" s="60" t="str">
        <f>_xlfn.IFNA(
INDEX(CA!C$2:C$78,MATCH($E717,CA!$A$2:$A$78,0)),
"")</f>
        <v>4-C</v>
      </c>
      <c r="J717" s="60">
        <f>_xlfn.IFNA(
INDEX(CA!D$2:D$78,MATCH($E717,CA!$A$2:$A$78,0)),
"")</f>
        <v>4</v>
      </c>
      <c r="K717" s="58" t="str">
        <f>_xlfn.IFNA(
INDEX(CA!E$2:E$78,MATCH($E717,CA!$A$2:$A$78,0)),
"")</f>
        <v>SOUTHWEST</v>
      </c>
      <c r="L717" s="15" t="e">
        <v>#VALUE!</v>
      </c>
      <c r="M717" s="15" t="e">
        <v>#VALUE!</v>
      </c>
      <c r="N717" s="15" t="e">
        <v>#VALUE!</v>
      </c>
      <c r="O717" s="15" t="e">
        <v>#VALUE!</v>
      </c>
      <c r="P717" s="15" t="e">
        <v>#VALUE!</v>
      </c>
      <c r="Q717" s="15" t="e">
        <v>#VALUE!</v>
      </c>
      <c r="R717" s="15" t="e">
        <v>#VALUE!</v>
      </c>
      <c r="S717" s="15" t="e">
        <v>#VALUE!</v>
      </c>
      <c r="T717" s="129">
        <v>0</v>
      </c>
      <c r="U717" s="130" t="e">
        <f t="shared" si="47"/>
        <v>#VALUE!</v>
      </c>
      <c r="V717" s="129">
        <v>0</v>
      </c>
      <c r="W717" s="130" t="e">
        <f t="shared" si="44"/>
        <v>#VALUE!</v>
      </c>
      <c r="X717" s="129">
        <v>0</v>
      </c>
      <c r="Y717" s="130" t="e">
        <f t="shared" si="45"/>
        <v>#VALUE!</v>
      </c>
      <c r="Z717" s="129">
        <v>0</v>
      </c>
      <c r="AA717" s="130" t="e">
        <f t="shared" si="46"/>
        <v>#VALUE!</v>
      </c>
    </row>
    <row r="718" spans="1:27" x14ac:dyDescent="0.3">
      <c r="A718">
        <v>700302</v>
      </c>
      <c r="B718">
        <v>17031700302</v>
      </c>
      <c r="C718">
        <v>17031</v>
      </c>
      <c r="D718">
        <v>2010</v>
      </c>
      <c r="E718">
        <v>70</v>
      </c>
      <c r="F718">
        <v>14244464.1286064</v>
      </c>
      <c r="G718" s="43">
        <v>0.51094984391523179</v>
      </c>
      <c r="H718" s="58" t="str">
        <f>_xlfn.IFNA(
INDEX(CA!B$2:B$78,MATCH($E718,CA!$A$2:$A$78,0)),
"")</f>
        <v>ASHBURN</v>
      </c>
      <c r="I718" s="60" t="str">
        <f>_xlfn.IFNA(
INDEX(CA!C$2:C$78,MATCH($E718,CA!$A$2:$A$78,0)),
"")</f>
        <v>4-C</v>
      </c>
      <c r="J718" s="60">
        <f>_xlfn.IFNA(
INDEX(CA!D$2:D$78,MATCH($E718,CA!$A$2:$A$78,0)),
"")</f>
        <v>4</v>
      </c>
      <c r="K718" s="58" t="str">
        <f>_xlfn.IFNA(
INDEX(CA!E$2:E$78,MATCH($E718,CA!$A$2:$A$78,0)),
"")</f>
        <v>SOUTHWEST</v>
      </c>
      <c r="L718" s="15" t="e">
        <v>#VALUE!</v>
      </c>
      <c r="M718" s="15" t="e">
        <v>#VALUE!</v>
      </c>
      <c r="N718" s="15" t="e">
        <v>#VALUE!</v>
      </c>
      <c r="O718" s="15" t="e">
        <v>#VALUE!</v>
      </c>
      <c r="P718" s="15" t="e">
        <v>#VALUE!</v>
      </c>
      <c r="Q718" s="15" t="e">
        <v>#VALUE!</v>
      </c>
      <c r="R718" s="15" t="e">
        <v>#VALUE!</v>
      </c>
      <c r="S718" s="15" t="e">
        <v>#VALUE!</v>
      </c>
      <c r="T718" s="129">
        <v>0</v>
      </c>
      <c r="U718" s="130" t="e">
        <f t="shared" si="47"/>
        <v>#VALUE!</v>
      </c>
      <c r="V718" s="129">
        <v>0</v>
      </c>
      <c r="W718" s="130" t="e">
        <f t="shared" si="44"/>
        <v>#VALUE!</v>
      </c>
      <c r="X718" s="129">
        <v>0</v>
      </c>
      <c r="Y718" s="130" t="e">
        <f t="shared" si="45"/>
        <v>#VALUE!</v>
      </c>
      <c r="Z718" s="129">
        <v>0</v>
      </c>
      <c r="AA718" s="130" t="e">
        <f t="shared" si="46"/>
        <v>#VALUE!</v>
      </c>
    </row>
    <row r="719" spans="1:27" x14ac:dyDescent="0.3">
      <c r="A719">
        <v>700401</v>
      </c>
      <c r="B719">
        <v>17031700401</v>
      </c>
      <c r="C719">
        <v>17031</v>
      </c>
      <c r="D719">
        <v>2010</v>
      </c>
      <c r="E719">
        <v>70</v>
      </c>
      <c r="F719">
        <v>15956912.471879199</v>
      </c>
      <c r="G719" s="43">
        <v>0.57237547606315997</v>
      </c>
      <c r="H719" s="58" t="str">
        <f>_xlfn.IFNA(
INDEX(CA!B$2:B$78,MATCH($E719,CA!$A$2:$A$78,0)),
"")</f>
        <v>ASHBURN</v>
      </c>
      <c r="I719" s="60" t="str">
        <f>_xlfn.IFNA(
INDEX(CA!C$2:C$78,MATCH($E719,CA!$A$2:$A$78,0)),
"")</f>
        <v>4-C</v>
      </c>
      <c r="J719" s="60">
        <f>_xlfn.IFNA(
INDEX(CA!D$2:D$78,MATCH($E719,CA!$A$2:$A$78,0)),
"")</f>
        <v>4</v>
      </c>
      <c r="K719" s="58" t="str">
        <f>_xlfn.IFNA(
INDEX(CA!E$2:E$78,MATCH($E719,CA!$A$2:$A$78,0)),
"")</f>
        <v>SOUTHWEST</v>
      </c>
      <c r="L719" s="15" t="e">
        <v>#VALUE!</v>
      </c>
      <c r="M719" s="15" t="e">
        <v>#VALUE!</v>
      </c>
      <c r="N719" s="15" t="e">
        <v>#VALUE!</v>
      </c>
      <c r="O719" s="15" t="e">
        <v>#VALUE!</v>
      </c>
      <c r="P719" s="15" t="e">
        <v>#VALUE!</v>
      </c>
      <c r="Q719" s="15" t="e">
        <v>#VALUE!</v>
      </c>
      <c r="R719" s="15" t="e">
        <v>#VALUE!</v>
      </c>
      <c r="S719" s="15" t="e">
        <v>#VALUE!</v>
      </c>
      <c r="T719" s="129">
        <v>0</v>
      </c>
      <c r="U719" s="130" t="e">
        <f t="shared" si="47"/>
        <v>#VALUE!</v>
      </c>
      <c r="V719" s="129">
        <v>0</v>
      </c>
      <c r="W719" s="130" t="e">
        <f t="shared" si="44"/>
        <v>#VALUE!</v>
      </c>
      <c r="X719" s="129">
        <v>0</v>
      </c>
      <c r="Y719" s="130" t="e">
        <f t="shared" si="45"/>
        <v>#VALUE!</v>
      </c>
      <c r="Z719" s="129">
        <v>0</v>
      </c>
      <c r="AA719" s="130" t="e">
        <f t="shared" si="46"/>
        <v>#VALUE!</v>
      </c>
    </row>
    <row r="720" spans="1:27" x14ac:dyDescent="0.3">
      <c r="A720">
        <v>700301</v>
      </c>
      <c r="B720">
        <v>17031700301</v>
      </c>
      <c r="C720">
        <v>17031</v>
      </c>
      <c r="D720">
        <v>2010</v>
      </c>
      <c r="E720">
        <v>70</v>
      </c>
      <c r="F720">
        <v>13730887.782593399</v>
      </c>
      <c r="G720" s="43">
        <v>0.49252782737149187</v>
      </c>
      <c r="H720" s="58" t="str">
        <f>_xlfn.IFNA(
INDEX(CA!B$2:B$78,MATCH($E720,CA!$A$2:$A$78,0)),
"")</f>
        <v>ASHBURN</v>
      </c>
      <c r="I720" s="60" t="str">
        <f>_xlfn.IFNA(
INDEX(CA!C$2:C$78,MATCH($E720,CA!$A$2:$A$78,0)),
"")</f>
        <v>4-C</v>
      </c>
      <c r="J720" s="60">
        <f>_xlfn.IFNA(
INDEX(CA!D$2:D$78,MATCH($E720,CA!$A$2:$A$78,0)),
"")</f>
        <v>4</v>
      </c>
      <c r="K720" s="58" t="str">
        <f>_xlfn.IFNA(
INDEX(CA!E$2:E$78,MATCH($E720,CA!$A$2:$A$78,0)),
"")</f>
        <v>SOUTHWEST</v>
      </c>
      <c r="L720" s="15" t="e">
        <v>#VALUE!</v>
      </c>
      <c r="M720" s="15" t="e">
        <v>#VALUE!</v>
      </c>
      <c r="N720" s="15" t="e">
        <v>#VALUE!</v>
      </c>
      <c r="O720" s="15" t="e">
        <v>#VALUE!</v>
      </c>
      <c r="P720" s="15" t="e">
        <v>#VALUE!</v>
      </c>
      <c r="Q720" s="15" t="e">
        <v>#VALUE!</v>
      </c>
      <c r="R720" s="15" t="e">
        <v>#VALUE!</v>
      </c>
      <c r="S720" s="15" t="e">
        <v>#VALUE!</v>
      </c>
      <c r="T720" s="129">
        <v>0</v>
      </c>
      <c r="U720" s="130" t="e">
        <f t="shared" si="47"/>
        <v>#VALUE!</v>
      </c>
      <c r="V720" s="129">
        <v>0</v>
      </c>
      <c r="W720" s="130" t="e">
        <f t="shared" si="44"/>
        <v>#VALUE!</v>
      </c>
      <c r="X720" s="129">
        <v>0</v>
      </c>
      <c r="Y720" s="130" t="e">
        <f t="shared" si="45"/>
        <v>#VALUE!</v>
      </c>
      <c r="Z720" s="129">
        <v>0</v>
      </c>
      <c r="AA720" s="130" t="e">
        <f t="shared" si="46"/>
        <v>#VALUE!</v>
      </c>
    </row>
    <row r="721" spans="1:27" x14ac:dyDescent="0.3">
      <c r="A721">
        <v>700501</v>
      </c>
      <c r="B721">
        <v>17031700501</v>
      </c>
      <c r="C721">
        <v>17031</v>
      </c>
      <c r="D721">
        <v>2010</v>
      </c>
      <c r="E721">
        <v>70</v>
      </c>
      <c r="F721">
        <v>17986205.2937373</v>
      </c>
      <c r="G721" s="43">
        <v>0.64516634002443829</v>
      </c>
      <c r="H721" s="58" t="str">
        <f>_xlfn.IFNA(
INDEX(CA!B$2:B$78,MATCH($E721,CA!$A$2:$A$78,0)),
"")</f>
        <v>ASHBURN</v>
      </c>
      <c r="I721" s="60" t="str">
        <f>_xlfn.IFNA(
INDEX(CA!C$2:C$78,MATCH($E721,CA!$A$2:$A$78,0)),
"")</f>
        <v>4-C</v>
      </c>
      <c r="J721" s="60">
        <f>_xlfn.IFNA(
INDEX(CA!D$2:D$78,MATCH($E721,CA!$A$2:$A$78,0)),
"")</f>
        <v>4</v>
      </c>
      <c r="K721" s="58" t="str">
        <f>_xlfn.IFNA(
INDEX(CA!E$2:E$78,MATCH($E721,CA!$A$2:$A$78,0)),
"")</f>
        <v>SOUTHWEST</v>
      </c>
      <c r="L721" s="15" t="e">
        <v>#VALUE!</v>
      </c>
      <c r="M721" s="15" t="e">
        <v>#VALUE!</v>
      </c>
      <c r="N721" s="15" t="e">
        <v>#VALUE!</v>
      </c>
      <c r="O721" s="15" t="e">
        <v>#VALUE!</v>
      </c>
      <c r="P721" s="15" t="e">
        <v>#VALUE!</v>
      </c>
      <c r="Q721" s="15" t="e">
        <v>#VALUE!</v>
      </c>
      <c r="R721" s="15" t="e">
        <v>#VALUE!</v>
      </c>
      <c r="S721" s="15" t="e">
        <v>#VALUE!</v>
      </c>
      <c r="T721" s="129">
        <v>0.27650339624869613</v>
      </c>
      <c r="U721" s="130" t="e">
        <f t="shared" si="47"/>
        <v>#VALUE!</v>
      </c>
      <c r="V721" s="129">
        <v>0.27650339624869613</v>
      </c>
      <c r="W721" s="130" t="e">
        <f t="shared" si="44"/>
        <v>#VALUE!</v>
      </c>
      <c r="X721" s="129">
        <v>0.27650339624869613</v>
      </c>
      <c r="Y721" s="130" t="e">
        <f t="shared" si="45"/>
        <v>#VALUE!</v>
      </c>
      <c r="Z721" s="129">
        <v>0.27650339624869613</v>
      </c>
      <c r="AA721" s="130" t="e">
        <f t="shared" si="46"/>
        <v>#VALUE!</v>
      </c>
    </row>
    <row r="722" spans="1:27" x14ac:dyDescent="0.3">
      <c r="A722">
        <v>700502</v>
      </c>
      <c r="B722">
        <v>17031700502</v>
      </c>
      <c r="C722">
        <v>17031</v>
      </c>
      <c r="D722">
        <v>2010</v>
      </c>
      <c r="E722">
        <v>70</v>
      </c>
      <c r="F722">
        <v>18573995.880683001</v>
      </c>
      <c r="G722" s="43">
        <v>0.66625042616086294</v>
      </c>
      <c r="H722" s="58" t="str">
        <f>_xlfn.IFNA(
INDEX(CA!B$2:B$78,MATCH($E722,CA!$A$2:$A$78,0)),
"")</f>
        <v>ASHBURN</v>
      </c>
      <c r="I722" s="60" t="str">
        <f>_xlfn.IFNA(
INDEX(CA!C$2:C$78,MATCH($E722,CA!$A$2:$A$78,0)),
"")</f>
        <v>4-C</v>
      </c>
      <c r="J722" s="60">
        <f>_xlfn.IFNA(
INDEX(CA!D$2:D$78,MATCH($E722,CA!$A$2:$A$78,0)),
"")</f>
        <v>4</v>
      </c>
      <c r="K722" s="58" t="str">
        <f>_xlfn.IFNA(
INDEX(CA!E$2:E$78,MATCH($E722,CA!$A$2:$A$78,0)),
"")</f>
        <v>SOUTHWEST</v>
      </c>
      <c r="L722" s="15" t="e">
        <v>#VALUE!</v>
      </c>
      <c r="M722" s="15" t="e">
        <v>#VALUE!</v>
      </c>
      <c r="N722" s="15" t="e">
        <v>#VALUE!</v>
      </c>
      <c r="O722" s="15" t="e">
        <v>#VALUE!</v>
      </c>
      <c r="P722" s="15" t="e">
        <v>#VALUE!</v>
      </c>
      <c r="Q722" s="15" t="e">
        <v>#VALUE!</v>
      </c>
      <c r="R722" s="15" t="e">
        <v>#VALUE!</v>
      </c>
      <c r="S722" s="15" t="e">
        <v>#VALUE!</v>
      </c>
      <c r="T722" s="129">
        <v>0.3152839350818526</v>
      </c>
      <c r="U722" s="130" t="e">
        <f t="shared" si="47"/>
        <v>#VALUE!</v>
      </c>
      <c r="V722" s="129">
        <v>0.3152839350818526</v>
      </c>
      <c r="W722" s="130" t="e">
        <f t="shared" si="44"/>
        <v>#VALUE!</v>
      </c>
      <c r="X722" s="129">
        <v>0.3152839350818526</v>
      </c>
      <c r="Y722" s="130" t="e">
        <f t="shared" si="45"/>
        <v>#VALUE!</v>
      </c>
      <c r="Z722" s="129">
        <v>0.3152839350818526</v>
      </c>
      <c r="AA722" s="130" t="e">
        <f t="shared" si="46"/>
        <v>#VALUE!</v>
      </c>
    </row>
    <row r="723" spans="1:27" x14ac:dyDescent="0.3">
      <c r="A723">
        <v>700100</v>
      </c>
      <c r="B723">
        <v>17031700100</v>
      </c>
      <c r="C723">
        <v>17031</v>
      </c>
      <c r="D723">
        <v>2010</v>
      </c>
      <c r="E723">
        <v>70</v>
      </c>
      <c r="F723">
        <v>25326918.220106099</v>
      </c>
      <c r="G723" s="43">
        <v>0.90847818454811247</v>
      </c>
      <c r="H723" s="58" t="str">
        <f>_xlfn.IFNA(
INDEX(CA!B$2:B$78,MATCH($E723,CA!$A$2:$A$78,0)),
"")</f>
        <v>ASHBURN</v>
      </c>
      <c r="I723" s="60" t="str">
        <f>_xlfn.IFNA(
INDEX(CA!C$2:C$78,MATCH($E723,CA!$A$2:$A$78,0)),
"")</f>
        <v>4-C</v>
      </c>
      <c r="J723" s="60">
        <f>_xlfn.IFNA(
INDEX(CA!D$2:D$78,MATCH($E723,CA!$A$2:$A$78,0)),
"")</f>
        <v>4</v>
      </c>
      <c r="K723" s="58" t="str">
        <f>_xlfn.IFNA(
INDEX(CA!E$2:E$78,MATCH($E723,CA!$A$2:$A$78,0)),
"")</f>
        <v>SOUTHWEST</v>
      </c>
      <c r="L723" s="15" t="e">
        <v>#VALUE!</v>
      </c>
      <c r="M723" s="15" t="e">
        <v>#VALUE!</v>
      </c>
      <c r="N723" s="15" t="e">
        <v>#VALUE!</v>
      </c>
      <c r="O723" s="15" t="e">
        <v>#VALUE!</v>
      </c>
      <c r="P723" s="15" t="e">
        <v>#VALUE!</v>
      </c>
      <c r="Q723" s="15" t="e">
        <v>#VALUE!</v>
      </c>
      <c r="R723" s="15" t="e">
        <v>#VALUE!</v>
      </c>
      <c r="S723" s="15" t="e">
        <v>#VALUE!</v>
      </c>
      <c r="T723" s="129">
        <v>0.13508257199610701</v>
      </c>
      <c r="U723" s="130" t="e">
        <f t="shared" si="47"/>
        <v>#VALUE!</v>
      </c>
      <c r="V723" s="129">
        <v>0.13508257199610701</v>
      </c>
      <c r="W723" s="130" t="e">
        <f t="shared" si="44"/>
        <v>#VALUE!</v>
      </c>
      <c r="X723" s="129">
        <v>0.13508257199610701</v>
      </c>
      <c r="Y723" s="130" t="e">
        <f t="shared" si="45"/>
        <v>#VALUE!</v>
      </c>
      <c r="Z723" s="129">
        <v>0.13508257199610701</v>
      </c>
      <c r="AA723" s="130" t="e">
        <f t="shared" si="46"/>
        <v>#VALUE!</v>
      </c>
    </row>
    <row r="724" spans="1:27" x14ac:dyDescent="0.3">
      <c r="A724">
        <v>700200</v>
      </c>
      <c r="B724">
        <v>17031700200</v>
      </c>
      <c r="C724">
        <v>17031</v>
      </c>
      <c r="D724">
        <v>2010</v>
      </c>
      <c r="E724">
        <v>70</v>
      </c>
      <c r="F724">
        <v>17262625.411592301</v>
      </c>
      <c r="G724" s="43">
        <v>0.61921148314079366</v>
      </c>
      <c r="H724" s="58" t="str">
        <f>_xlfn.IFNA(
INDEX(CA!B$2:B$78,MATCH($E724,CA!$A$2:$A$78,0)),
"")</f>
        <v>ASHBURN</v>
      </c>
      <c r="I724" s="60" t="str">
        <f>_xlfn.IFNA(
INDEX(CA!C$2:C$78,MATCH($E724,CA!$A$2:$A$78,0)),
"")</f>
        <v>4-C</v>
      </c>
      <c r="J724" s="60">
        <f>_xlfn.IFNA(
INDEX(CA!D$2:D$78,MATCH($E724,CA!$A$2:$A$78,0)),
"")</f>
        <v>4</v>
      </c>
      <c r="K724" s="58" t="str">
        <f>_xlfn.IFNA(
INDEX(CA!E$2:E$78,MATCH($E724,CA!$A$2:$A$78,0)),
"")</f>
        <v>SOUTHWEST</v>
      </c>
      <c r="L724" s="15" t="e">
        <v>#VALUE!</v>
      </c>
      <c r="M724" s="15" t="e">
        <v>#VALUE!</v>
      </c>
      <c r="N724" s="15" t="e">
        <v>#VALUE!</v>
      </c>
      <c r="O724" s="15" t="e">
        <v>#VALUE!</v>
      </c>
      <c r="P724" s="15" t="e">
        <v>#VALUE!</v>
      </c>
      <c r="Q724" s="15" t="e">
        <v>#VALUE!</v>
      </c>
      <c r="R724" s="15" t="e">
        <v>#VALUE!</v>
      </c>
      <c r="S724" s="15" t="e">
        <v>#VALUE!</v>
      </c>
      <c r="T724" s="129">
        <v>0</v>
      </c>
      <c r="U724" s="130" t="e">
        <f t="shared" si="47"/>
        <v>#VALUE!</v>
      </c>
      <c r="V724" s="129">
        <v>0</v>
      </c>
      <c r="W724" s="130" t="e">
        <f t="shared" si="44"/>
        <v>#VALUE!</v>
      </c>
      <c r="X724" s="129">
        <v>0</v>
      </c>
      <c r="Y724" s="130" t="e">
        <f t="shared" si="45"/>
        <v>#VALUE!</v>
      </c>
      <c r="Z724" s="129">
        <v>0</v>
      </c>
      <c r="AA724" s="130" t="e">
        <f t="shared" si="46"/>
        <v>#VALUE!</v>
      </c>
    </row>
    <row r="725" spans="1:27" x14ac:dyDescent="0.3">
      <c r="A725">
        <v>710500</v>
      </c>
      <c r="B725">
        <v>17031710500</v>
      </c>
      <c r="C725">
        <v>17031</v>
      </c>
      <c r="D725">
        <v>2010</v>
      </c>
      <c r="E725">
        <v>71</v>
      </c>
      <c r="F725">
        <v>8038189.8539549503</v>
      </c>
      <c r="G725" s="43">
        <v>0.28833038674941713</v>
      </c>
      <c r="H725" s="58" t="str">
        <f>_xlfn.IFNA(
INDEX(CA!B$2:B$78,MATCH($E725,CA!$A$2:$A$78,0)),
"")</f>
        <v>AUBURN GRESHAM</v>
      </c>
      <c r="I725" s="60" t="str">
        <f>_xlfn.IFNA(
INDEX(CA!C$2:C$78,MATCH($E725,CA!$A$2:$A$78,0)),
"")</f>
        <v>5-A</v>
      </c>
      <c r="J725" s="60">
        <f>_xlfn.IFNA(
INDEX(CA!D$2:D$78,MATCH($E725,CA!$A$2:$A$78,0)),
"")</f>
        <v>5</v>
      </c>
      <c r="K725" s="58" t="str">
        <f>_xlfn.IFNA(
INDEX(CA!E$2:E$78,MATCH($E725,CA!$A$2:$A$78,0)),
"")</f>
        <v>FAR SOUTH</v>
      </c>
      <c r="L725" s="15" t="e">
        <v>#VALUE!</v>
      </c>
      <c r="M725" s="15" t="e">
        <v>#VALUE!</v>
      </c>
      <c r="N725" s="15" t="e">
        <v>#VALUE!</v>
      </c>
      <c r="O725" s="15" t="e">
        <v>#VALUE!</v>
      </c>
      <c r="P725" s="15" t="e">
        <v>#VALUE!</v>
      </c>
      <c r="Q725" s="15" t="e">
        <v>#VALUE!</v>
      </c>
      <c r="R725" s="15" t="e">
        <v>#VALUE!</v>
      </c>
      <c r="S725" s="15" t="e">
        <v>#VALUE!</v>
      </c>
      <c r="T725" s="129">
        <v>0.2878579547819215</v>
      </c>
      <c r="U725" s="130" t="e">
        <f t="shared" si="47"/>
        <v>#VALUE!</v>
      </c>
      <c r="V725" s="129">
        <v>0.2878579547819215</v>
      </c>
      <c r="W725" s="130" t="e">
        <f t="shared" si="44"/>
        <v>#VALUE!</v>
      </c>
      <c r="X725" s="129">
        <v>0.2878579547819215</v>
      </c>
      <c r="Y725" s="130" t="e">
        <f t="shared" si="45"/>
        <v>#VALUE!</v>
      </c>
      <c r="Z725" s="129">
        <v>0.2878579547819215</v>
      </c>
      <c r="AA725" s="130" t="e">
        <f t="shared" si="46"/>
        <v>#VALUE!</v>
      </c>
    </row>
    <row r="726" spans="1:27" x14ac:dyDescent="0.3">
      <c r="A726">
        <v>711200</v>
      </c>
      <c r="B726">
        <v>17031711200</v>
      </c>
      <c r="C726">
        <v>17031</v>
      </c>
      <c r="D726">
        <v>2010</v>
      </c>
      <c r="E726">
        <v>71</v>
      </c>
      <c r="F726">
        <v>11845174.438624199</v>
      </c>
      <c r="G726" s="43">
        <v>0.42488716851125602</v>
      </c>
      <c r="H726" s="58" t="str">
        <f>_xlfn.IFNA(
INDEX(CA!B$2:B$78,MATCH($E726,CA!$A$2:$A$78,0)),
"")</f>
        <v>AUBURN GRESHAM</v>
      </c>
      <c r="I726" s="60" t="str">
        <f>_xlfn.IFNA(
INDEX(CA!C$2:C$78,MATCH($E726,CA!$A$2:$A$78,0)),
"")</f>
        <v>5-A</v>
      </c>
      <c r="J726" s="60">
        <f>_xlfn.IFNA(
INDEX(CA!D$2:D$78,MATCH($E726,CA!$A$2:$A$78,0)),
"")</f>
        <v>5</v>
      </c>
      <c r="K726" s="58" t="str">
        <f>_xlfn.IFNA(
INDEX(CA!E$2:E$78,MATCH($E726,CA!$A$2:$A$78,0)),
"")</f>
        <v>FAR SOUTH</v>
      </c>
      <c r="L726" s="15" t="e">
        <v>#VALUE!</v>
      </c>
      <c r="M726" s="15" t="e">
        <v>#VALUE!</v>
      </c>
      <c r="N726" s="15" t="e">
        <v>#VALUE!</v>
      </c>
      <c r="O726" s="15" t="e">
        <v>#VALUE!</v>
      </c>
      <c r="P726" s="15" t="e">
        <v>#VALUE!</v>
      </c>
      <c r="Q726" s="15" t="e">
        <v>#VALUE!</v>
      </c>
      <c r="R726" s="15" t="e">
        <v>#VALUE!</v>
      </c>
      <c r="S726" s="15" t="e">
        <v>#VALUE!</v>
      </c>
      <c r="T726" s="129">
        <v>0.42380981741574841</v>
      </c>
      <c r="U726" s="130" t="e">
        <f t="shared" si="47"/>
        <v>#VALUE!</v>
      </c>
      <c r="V726" s="129">
        <v>0.42380981741574841</v>
      </c>
      <c r="W726" s="130" t="e">
        <f t="shared" si="44"/>
        <v>#VALUE!</v>
      </c>
      <c r="X726" s="129">
        <v>0.42380981741574841</v>
      </c>
      <c r="Y726" s="130" t="e">
        <f t="shared" si="45"/>
        <v>#VALUE!</v>
      </c>
      <c r="Z726" s="129">
        <v>0.42380981741574841</v>
      </c>
      <c r="AA726" s="130" t="e">
        <f t="shared" si="46"/>
        <v>#VALUE!</v>
      </c>
    </row>
    <row r="727" spans="1:27" x14ac:dyDescent="0.3">
      <c r="A727">
        <v>711300</v>
      </c>
      <c r="B727">
        <v>17031711300</v>
      </c>
      <c r="C727">
        <v>17031</v>
      </c>
      <c r="D727">
        <v>2010</v>
      </c>
      <c r="E727">
        <v>71</v>
      </c>
      <c r="F727">
        <v>3757463.3702258901</v>
      </c>
      <c r="G727" s="43">
        <v>0.13478045261657376</v>
      </c>
      <c r="H727" s="58" t="str">
        <f>_xlfn.IFNA(
INDEX(CA!B$2:B$78,MATCH($E727,CA!$A$2:$A$78,0)),
"")</f>
        <v>AUBURN GRESHAM</v>
      </c>
      <c r="I727" s="60" t="str">
        <f>_xlfn.IFNA(
INDEX(CA!C$2:C$78,MATCH($E727,CA!$A$2:$A$78,0)),
"")</f>
        <v>5-A</v>
      </c>
      <c r="J727" s="60">
        <f>_xlfn.IFNA(
INDEX(CA!D$2:D$78,MATCH($E727,CA!$A$2:$A$78,0)),
"")</f>
        <v>5</v>
      </c>
      <c r="K727" s="58" t="str">
        <f>_xlfn.IFNA(
INDEX(CA!E$2:E$78,MATCH($E727,CA!$A$2:$A$78,0)),
"")</f>
        <v>FAR SOUTH</v>
      </c>
      <c r="L727" s="15" t="e">
        <v>#VALUE!</v>
      </c>
      <c r="M727" s="15" t="e">
        <v>#VALUE!</v>
      </c>
      <c r="N727" s="15" t="e">
        <v>#VALUE!</v>
      </c>
      <c r="O727" s="15" t="e">
        <v>#VALUE!</v>
      </c>
      <c r="P727" s="15" t="e">
        <v>#VALUE!</v>
      </c>
      <c r="Q727" s="15" t="e">
        <v>#VALUE!</v>
      </c>
      <c r="R727" s="15" t="e">
        <v>#VALUE!</v>
      </c>
      <c r="S727" s="15" t="e">
        <v>#VALUE!</v>
      </c>
      <c r="T727" s="129">
        <v>0.1347804611586533</v>
      </c>
      <c r="U727" s="130" t="e">
        <f t="shared" si="47"/>
        <v>#VALUE!</v>
      </c>
      <c r="V727" s="129">
        <v>0.1347804611586533</v>
      </c>
      <c r="W727" s="130" t="e">
        <f t="shared" si="44"/>
        <v>#VALUE!</v>
      </c>
      <c r="X727" s="129">
        <v>0.1347804611586533</v>
      </c>
      <c r="Y727" s="130" t="e">
        <f t="shared" si="45"/>
        <v>#VALUE!</v>
      </c>
      <c r="Z727" s="129">
        <v>0.1347804611586533</v>
      </c>
      <c r="AA727" s="130" t="e">
        <f t="shared" si="46"/>
        <v>#VALUE!</v>
      </c>
    </row>
    <row r="728" spans="1:27" x14ac:dyDescent="0.3">
      <c r="A728">
        <v>710200</v>
      </c>
      <c r="B728">
        <v>17031710200</v>
      </c>
      <c r="C728">
        <v>17031</v>
      </c>
      <c r="D728">
        <v>2010</v>
      </c>
      <c r="E728">
        <v>71</v>
      </c>
      <c r="F728">
        <v>8159580.4105924303</v>
      </c>
      <c r="G728" s="43">
        <v>0.29268467381888597</v>
      </c>
      <c r="H728" s="58" t="str">
        <f>_xlfn.IFNA(
INDEX(CA!B$2:B$78,MATCH($E728,CA!$A$2:$A$78,0)),
"")</f>
        <v>AUBURN GRESHAM</v>
      </c>
      <c r="I728" s="60" t="str">
        <f>_xlfn.IFNA(
INDEX(CA!C$2:C$78,MATCH($E728,CA!$A$2:$A$78,0)),
"")</f>
        <v>5-A</v>
      </c>
      <c r="J728" s="60">
        <f>_xlfn.IFNA(
INDEX(CA!D$2:D$78,MATCH($E728,CA!$A$2:$A$78,0)),
"")</f>
        <v>5</v>
      </c>
      <c r="K728" s="58" t="str">
        <f>_xlfn.IFNA(
INDEX(CA!E$2:E$78,MATCH($E728,CA!$A$2:$A$78,0)),
"")</f>
        <v>FAR SOUTH</v>
      </c>
      <c r="L728" s="15" t="e">
        <v>#VALUE!</v>
      </c>
      <c r="M728" s="15" t="e">
        <v>#VALUE!</v>
      </c>
      <c r="N728" s="15" t="e">
        <v>#VALUE!</v>
      </c>
      <c r="O728" s="15" t="e">
        <v>#VALUE!</v>
      </c>
      <c r="P728" s="15" t="e">
        <v>#VALUE!</v>
      </c>
      <c r="Q728" s="15" t="e">
        <v>#VALUE!</v>
      </c>
      <c r="R728" s="15" t="e">
        <v>#VALUE!</v>
      </c>
      <c r="S728" s="15" t="e">
        <v>#VALUE!</v>
      </c>
      <c r="T728" s="129">
        <v>0.19581431730984775</v>
      </c>
      <c r="U728" s="130" t="e">
        <f t="shared" si="47"/>
        <v>#VALUE!</v>
      </c>
      <c r="V728" s="129">
        <v>0.19581431730984775</v>
      </c>
      <c r="W728" s="130" t="e">
        <f t="shared" si="44"/>
        <v>#VALUE!</v>
      </c>
      <c r="X728" s="129">
        <v>0.19581431730984775</v>
      </c>
      <c r="Y728" s="130" t="e">
        <f t="shared" si="45"/>
        <v>#VALUE!</v>
      </c>
      <c r="Z728" s="129">
        <v>0.19581431730984775</v>
      </c>
      <c r="AA728" s="130" t="e">
        <f t="shared" si="46"/>
        <v>#VALUE!</v>
      </c>
    </row>
    <row r="729" spans="1:27" x14ac:dyDescent="0.3">
      <c r="A729">
        <v>710600</v>
      </c>
      <c r="B729">
        <v>17031710600</v>
      </c>
      <c r="C729">
        <v>17031</v>
      </c>
      <c r="D729">
        <v>2010</v>
      </c>
      <c r="E729">
        <v>71</v>
      </c>
      <c r="F729">
        <v>2636201.6773109501</v>
      </c>
      <c r="G729" s="43">
        <v>9.4560723617960502E-2</v>
      </c>
      <c r="H729" s="58" t="str">
        <f>_xlfn.IFNA(
INDEX(CA!B$2:B$78,MATCH($E729,CA!$A$2:$A$78,0)),
"")</f>
        <v>AUBURN GRESHAM</v>
      </c>
      <c r="I729" s="60" t="str">
        <f>_xlfn.IFNA(
INDEX(CA!C$2:C$78,MATCH($E729,CA!$A$2:$A$78,0)),
"")</f>
        <v>5-A</v>
      </c>
      <c r="J729" s="60">
        <f>_xlfn.IFNA(
INDEX(CA!D$2:D$78,MATCH($E729,CA!$A$2:$A$78,0)),
"")</f>
        <v>5</v>
      </c>
      <c r="K729" s="58" t="str">
        <f>_xlfn.IFNA(
INDEX(CA!E$2:E$78,MATCH($E729,CA!$A$2:$A$78,0)),
"")</f>
        <v>FAR SOUTH</v>
      </c>
      <c r="L729" s="15" t="e">
        <v>#VALUE!</v>
      </c>
      <c r="M729" s="15" t="e">
        <v>#VALUE!</v>
      </c>
      <c r="N729" s="15" t="e">
        <v>#VALUE!</v>
      </c>
      <c r="O729" s="15" t="e">
        <v>#VALUE!</v>
      </c>
      <c r="P729" s="15" t="e">
        <v>#VALUE!</v>
      </c>
      <c r="Q729" s="15" t="e">
        <v>#VALUE!</v>
      </c>
      <c r="R729" s="15" t="e">
        <v>#VALUE!</v>
      </c>
      <c r="S729" s="15" t="e">
        <v>#VALUE!</v>
      </c>
      <c r="T729" s="129">
        <v>0</v>
      </c>
      <c r="U729" s="130" t="e">
        <f t="shared" si="47"/>
        <v>#VALUE!</v>
      </c>
      <c r="V729" s="129">
        <v>0</v>
      </c>
      <c r="W729" s="130" t="e">
        <f t="shared" si="44"/>
        <v>#VALUE!</v>
      </c>
      <c r="X729" s="129">
        <v>0</v>
      </c>
      <c r="Y729" s="130" t="e">
        <f t="shared" si="45"/>
        <v>#VALUE!</v>
      </c>
      <c r="Z729" s="129">
        <v>0</v>
      </c>
      <c r="AA729" s="130" t="e">
        <f t="shared" si="46"/>
        <v>#VALUE!</v>
      </c>
    </row>
    <row r="730" spans="1:27" x14ac:dyDescent="0.3">
      <c r="A730">
        <v>710900</v>
      </c>
      <c r="B730">
        <v>17031710900</v>
      </c>
      <c r="C730">
        <v>17031</v>
      </c>
      <c r="D730">
        <v>2010</v>
      </c>
      <c r="E730">
        <v>71</v>
      </c>
      <c r="F730">
        <v>10651911.4226833</v>
      </c>
      <c r="G730" s="43">
        <v>0.38208474742751736</v>
      </c>
      <c r="H730" s="58" t="str">
        <f>_xlfn.IFNA(
INDEX(CA!B$2:B$78,MATCH($E730,CA!$A$2:$A$78,0)),
"")</f>
        <v>AUBURN GRESHAM</v>
      </c>
      <c r="I730" s="60" t="str">
        <f>_xlfn.IFNA(
INDEX(CA!C$2:C$78,MATCH($E730,CA!$A$2:$A$78,0)),
"")</f>
        <v>5-A</v>
      </c>
      <c r="J730" s="60">
        <f>_xlfn.IFNA(
INDEX(CA!D$2:D$78,MATCH($E730,CA!$A$2:$A$78,0)),
"")</f>
        <v>5</v>
      </c>
      <c r="K730" s="58" t="str">
        <f>_xlfn.IFNA(
INDEX(CA!E$2:E$78,MATCH($E730,CA!$A$2:$A$78,0)),
"")</f>
        <v>FAR SOUTH</v>
      </c>
      <c r="L730" s="15" t="e">
        <v>#VALUE!</v>
      </c>
      <c r="M730" s="15" t="e">
        <v>#VALUE!</v>
      </c>
      <c r="N730" s="15" t="e">
        <v>#VALUE!</v>
      </c>
      <c r="O730" s="15" t="e">
        <v>#VALUE!</v>
      </c>
      <c r="P730" s="15" t="e">
        <v>#VALUE!</v>
      </c>
      <c r="Q730" s="15" t="e">
        <v>#VALUE!</v>
      </c>
      <c r="R730" s="15" t="e">
        <v>#VALUE!</v>
      </c>
      <c r="S730" s="15" t="e">
        <v>#VALUE!</v>
      </c>
      <c r="T730" s="129">
        <v>0.38208475367709405</v>
      </c>
      <c r="U730" s="130" t="e">
        <f t="shared" si="47"/>
        <v>#VALUE!</v>
      </c>
      <c r="V730" s="129">
        <v>0.38208475367709405</v>
      </c>
      <c r="W730" s="130" t="e">
        <f t="shared" si="44"/>
        <v>#VALUE!</v>
      </c>
      <c r="X730" s="129">
        <v>0.38208475367709405</v>
      </c>
      <c r="Y730" s="130" t="e">
        <f t="shared" si="45"/>
        <v>#VALUE!</v>
      </c>
      <c r="Z730" s="129">
        <v>0.38208475367709405</v>
      </c>
      <c r="AA730" s="130" t="e">
        <f t="shared" si="46"/>
        <v>#VALUE!</v>
      </c>
    </row>
    <row r="731" spans="1:27" x14ac:dyDescent="0.3">
      <c r="A731">
        <v>711100</v>
      </c>
      <c r="B731">
        <v>17031711100</v>
      </c>
      <c r="C731">
        <v>17031</v>
      </c>
      <c r="D731">
        <v>2010</v>
      </c>
      <c r="E731">
        <v>71</v>
      </c>
      <c r="F731">
        <v>7038832.05522421</v>
      </c>
      <c r="G731" s="43">
        <v>0.25248335827107043</v>
      </c>
      <c r="H731" s="58" t="str">
        <f>_xlfn.IFNA(
INDEX(CA!B$2:B$78,MATCH($E731,CA!$A$2:$A$78,0)),
"")</f>
        <v>AUBURN GRESHAM</v>
      </c>
      <c r="I731" s="60" t="str">
        <f>_xlfn.IFNA(
INDEX(CA!C$2:C$78,MATCH($E731,CA!$A$2:$A$78,0)),
"")</f>
        <v>5-A</v>
      </c>
      <c r="J731" s="60">
        <f>_xlfn.IFNA(
INDEX(CA!D$2:D$78,MATCH($E731,CA!$A$2:$A$78,0)),
"")</f>
        <v>5</v>
      </c>
      <c r="K731" s="58" t="str">
        <f>_xlfn.IFNA(
INDEX(CA!E$2:E$78,MATCH($E731,CA!$A$2:$A$78,0)),
"")</f>
        <v>FAR SOUTH</v>
      </c>
      <c r="L731" s="15" t="e">
        <v>#VALUE!</v>
      </c>
      <c r="M731" s="15" t="e">
        <v>#VALUE!</v>
      </c>
      <c r="N731" s="15" t="e">
        <v>#VALUE!</v>
      </c>
      <c r="O731" s="15" t="e">
        <v>#VALUE!</v>
      </c>
      <c r="P731" s="15" t="e">
        <v>#VALUE!</v>
      </c>
      <c r="Q731" s="15" t="e">
        <v>#VALUE!</v>
      </c>
      <c r="R731" s="15" t="e">
        <v>#VALUE!</v>
      </c>
      <c r="S731" s="15" t="e">
        <v>#VALUE!</v>
      </c>
      <c r="T731" s="129">
        <v>2.1002717926701463E-2</v>
      </c>
      <c r="U731" s="130" t="e">
        <f t="shared" si="47"/>
        <v>#VALUE!</v>
      </c>
      <c r="V731" s="129">
        <v>2.1002717926701463E-2</v>
      </c>
      <c r="W731" s="130" t="e">
        <f t="shared" si="44"/>
        <v>#VALUE!</v>
      </c>
      <c r="X731" s="129">
        <v>2.1002717926701463E-2</v>
      </c>
      <c r="Y731" s="130" t="e">
        <f t="shared" si="45"/>
        <v>#VALUE!</v>
      </c>
      <c r="Z731" s="129">
        <v>2.1002717926701463E-2</v>
      </c>
      <c r="AA731" s="130" t="e">
        <f t="shared" si="46"/>
        <v>#VALUE!</v>
      </c>
    </row>
    <row r="732" spans="1:27" x14ac:dyDescent="0.3">
      <c r="A732">
        <v>711000</v>
      </c>
      <c r="B732">
        <v>17031711000</v>
      </c>
      <c r="C732">
        <v>17031</v>
      </c>
      <c r="D732">
        <v>2010</v>
      </c>
      <c r="E732">
        <v>71</v>
      </c>
      <c r="F732">
        <v>7041965.113287</v>
      </c>
      <c r="G732" s="43">
        <v>0.25259574126517303</v>
      </c>
      <c r="H732" s="58" t="str">
        <f>_xlfn.IFNA(
INDEX(CA!B$2:B$78,MATCH($E732,CA!$A$2:$A$78,0)),
"")</f>
        <v>AUBURN GRESHAM</v>
      </c>
      <c r="I732" s="60" t="str">
        <f>_xlfn.IFNA(
INDEX(CA!C$2:C$78,MATCH($E732,CA!$A$2:$A$78,0)),
"")</f>
        <v>5-A</v>
      </c>
      <c r="J732" s="60">
        <f>_xlfn.IFNA(
INDEX(CA!D$2:D$78,MATCH($E732,CA!$A$2:$A$78,0)),
"")</f>
        <v>5</v>
      </c>
      <c r="K732" s="58" t="str">
        <f>_xlfn.IFNA(
INDEX(CA!E$2:E$78,MATCH($E732,CA!$A$2:$A$78,0)),
"")</f>
        <v>FAR SOUTH</v>
      </c>
      <c r="L732" s="15" t="e">
        <v>#VALUE!</v>
      </c>
      <c r="M732" s="15" t="e">
        <v>#VALUE!</v>
      </c>
      <c r="N732" s="15" t="e">
        <v>#VALUE!</v>
      </c>
      <c r="O732" s="15" t="e">
        <v>#VALUE!</v>
      </c>
      <c r="P732" s="15" t="e">
        <v>#VALUE!</v>
      </c>
      <c r="Q732" s="15" t="e">
        <v>#VALUE!</v>
      </c>
      <c r="R732" s="15" t="e">
        <v>#VALUE!</v>
      </c>
      <c r="S732" s="15" t="e">
        <v>#VALUE!</v>
      </c>
      <c r="T732" s="129">
        <v>0.25222277685936351</v>
      </c>
      <c r="U732" s="130" t="e">
        <f t="shared" si="47"/>
        <v>#VALUE!</v>
      </c>
      <c r="V732" s="129">
        <v>0.25222277685936351</v>
      </c>
      <c r="W732" s="130" t="e">
        <f t="shared" si="44"/>
        <v>#VALUE!</v>
      </c>
      <c r="X732" s="129">
        <v>0.25222277685936351</v>
      </c>
      <c r="Y732" s="130" t="e">
        <f t="shared" si="45"/>
        <v>#VALUE!</v>
      </c>
      <c r="Z732" s="129">
        <v>0.25222277685936351</v>
      </c>
      <c r="AA732" s="130" t="e">
        <f t="shared" si="46"/>
        <v>#VALUE!</v>
      </c>
    </row>
    <row r="733" spans="1:27" x14ac:dyDescent="0.3">
      <c r="A733">
        <v>710800</v>
      </c>
      <c r="B733">
        <v>17031710800</v>
      </c>
      <c r="C733">
        <v>17031</v>
      </c>
      <c r="D733">
        <v>2010</v>
      </c>
      <c r="E733">
        <v>71</v>
      </c>
      <c r="F733">
        <v>8786158.6335223597</v>
      </c>
      <c r="G733" s="43">
        <v>0.31516007495130133</v>
      </c>
      <c r="H733" s="58" t="str">
        <f>_xlfn.IFNA(
INDEX(CA!B$2:B$78,MATCH($E733,CA!$A$2:$A$78,0)),
"")</f>
        <v>AUBURN GRESHAM</v>
      </c>
      <c r="I733" s="60" t="str">
        <f>_xlfn.IFNA(
INDEX(CA!C$2:C$78,MATCH($E733,CA!$A$2:$A$78,0)),
"")</f>
        <v>5-A</v>
      </c>
      <c r="J733" s="60">
        <f>_xlfn.IFNA(
INDEX(CA!D$2:D$78,MATCH($E733,CA!$A$2:$A$78,0)),
"")</f>
        <v>5</v>
      </c>
      <c r="K733" s="58" t="str">
        <f>_xlfn.IFNA(
INDEX(CA!E$2:E$78,MATCH($E733,CA!$A$2:$A$78,0)),
"")</f>
        <v>FAR SOUTH</v>
      </c>
      <c r="L733" s="15" t="e">
        <v>#VALUE!</v>
      </c>
      <c r="M733" s="15" t="e">
        <v>#VALUE!</v>
      </c>
      <c r="N733" s="15" t="e">
        <v>#VALUE!</v>
      </c>
      <c r="O733" s="15" t="e">
        <v>#VALUE!</v>
      </c>
      <c r="P733" s="15" t="e">
        <v>#VALUE!</v>
      </c>
      <c r="Q733" s="15" t="e">
        <v>#VALUE!</v>
      </c>
      <c r="R733" s="15" t="e">
        <v>#VALUE!</v>
      </c>
      <c r="S733" s="15" t="e">
        <v>#VALUE!</v>
      </c>
      <c r="T733" s="129">
        <v>0.31418625482324058</v>
      </c>
      <c r="U733" s="130" t="e">
        <f t="shared" si="47"/>
        <v>#VALUE!</v>
      </c>
      <c r="V733" s="129">
        <v>0.31418625482324058</v>
      </c>
      <c r="W733" s="130" t="e">
        <f t="shared" si="44"/>
        <v>#VALUE!</v>
      </c>
      <c r="X733" s="129">
        <v>0.31418625482324058</v>
      </c>
      <c r="Y733" s="130" t="e">
        <f t="shared" si="45"/>
        <v>#VALUE!</v>
      </c>
      <c r="Z733" s="129">
        <v>0.31418625482324058</v>
      </c>
      <c r="AA733" s="130" t="e">
        <f t="shared" si="46"/>
        <v>#VALUE!</v>
      </c>
    </row>
    <row r="734" spans="1:27" x14ac:dyDescent="0.3">
      <c r="A734">
        <v>711500</v>
      </c>
      <c r="B734">
        <v>17031711500</v>
      </c>
      <c r="C734">
        <v>17031</v>
      </c>
      <c r="D734">
        <v>2010</v>
      </c>
      <c r="E734">
        <v>71</v>
      </c>
      <c r="F734">
        <v>6916092.4208800001</v>
      </c>
      <c r="G734" s="43">
        <v>0.24808067969754363</v>
      </c>
      <c r="H734" s="58" t="str">
        <f>_xlfn.IFNA(
INDEX(CA!B$2:B$78,MATCH($E734,CA!$A$2:$A$78,0)),
"")</f>
        <v>AUBURN GRESHAM</v>
      </c>
      <c r="I734" s="60" t="str">
        <f>_xlfn.IFNA(
INDEX(CA!C$2:C$78,MATCH($E734,CA!$A$2:$A$78,0)),
"")</f>
        <v>5-A</v>
      </c>
      <c r="J734" s="60">
        <f>_xlfn.IFNA(
INDEX(CA!D$2:D$78,MATCH($E734,CA!$A$2:$A$78,0)),
"")</f>
        <v>5</v>
      </c>
      <c r="K734" s="58" t="str">
        <f>_xlfn.IFNA(
INDEX(CA!E$2:E$78,MATCH($E734,CA!$A$2:$A$78,0)),
"")</f>
        <v>FAR SOUTH</v>
      </c>
      <c r="L734" s="15" t="e">
        <v>#VALUE!</v>
      </c>
      <c r="M734" s="15" t="e">
        <v>#VALUE!</v>
      </c>
      <c r="N734" s="15" t="e">
        <v>#VALUE!</v>
      </c>
      <c r="O734" s="15" t="e">
        <v>#VALUE!</v>
      </c>
      <c r="P734" s="15" t="e">
        <v>#VALUE!</v>
      </c>
      <c r="Q734" s="15" t="e">
        <v>#VALUE!</v>
      </c>
      <c r="R734" s="15" t="e">
        <v>#VALUE!</v>
      </c>
      <c r="S734" s="15" t="e">
        <v>#VALUE!</v>
      </c>
      <c r="T734" s="129">
        <v>0.20063744423329385</v>
      </c>
      <c r="U734" s="130" t="e">
        <f t="shared" si="47"/>
        <v>#VALUE!</v>
      </c>
      <c r="V734" s="129">
        <v>0.20063744423329385</v>
      </c>
      <c r="W734" s="130" t="e">
        <f t="shared" si="44"/>
        <v>#VALUE!</v>
      </c>
      <c r="X734" s="129">
        <v>0.20063744423329385</v>
      </c>
      <c r="Y734" s="130" t="e">
        <f t="shared" si="45"/>
        <v>#VALUE!</v>
      </c>
      <c r="Z734" s="129">
        <v>0.20063744423329385</v>
      </c>
      <c r="AA734" s="130" t="e">
        <f t="shared" si="46"/>
        <v>#VALUE!</v>
      </c>
    </row>
    <row r="735" spans="1:27" x14ac:dyDescent="0.3">
      <c r="A735">
        <v>710700</v>
      </c>
      <c r="B735">
        <v>17031710700</v>
      </c>
      <c r="C735">
        <v>17031</v>
      </c>
      <c r="D735">
        <v>2010</v>
      </c>
      <c r="E735">
        <v>71</v>
      </c>
      <c r="F735">
        <v>5275122.1764110699</v>
      </c>
      <c r="G735" s="43">
        <v>0.18921897154826209</v>
      </c>
      <c r="H735" s="58" t="str">
        <f>_xlfn.IFNA(
INDEX(CA!B$2:B$78,MATCH($E735,CA!$A$2:$A$78,0)),
"")</f>
        <v>AUBURN GRESHAM</v>
      </c>
      <c r="I735" s="60" t="str">
        <f>_xlfn.IFNA(
INDEX(CA!C$2:C$78,MATCH($E735,CA!$A$2:$A$78,0)),
"")</f>
        <v>5-A</v>
      </c>
      <c r="J735" s="60">
        <f>_xlfn.IFNA(
INDEX(CA!D$2:D$78,MATCH($E735,CA!$A$2:$A$78,0)),
"")</f>
        <v>5</v>
      </c>
      <c r="K735" s="58" t="str">
        <f>_xlfn.IFNA(
INDEX(CA!E$2:E$78,MATCH($E735,CA!$A$2:$A$78,0)),
"")</f>
        <v>FAR SOUTH</v>
      </c>
      <c r="L735" s="15" t="e">
        <v>#VALUE!</v>
      </c>
      <c r="M735" s="15" t="e">
        <v>#VALUE!</v>
      </c>
      <c r="N735" s="15" t="e">
        <v>#VALUE!</v>
      </c>
      <c r="O735" s="15" t="e">
        <v>#VALUE!</v>
      </c>
      <c r="P735" s="15" t="e">
        <v>#VALUE!</v>
      </c>
      <c r="Q735" s="15" t="e">
        <v>#VALUE!</v>
      </c>
      <c r="R735" s="15" t="e">
        <v>#VALUE!</v>
      </c>
      <c r="S735" s="15" t="e">
        <v>#VALUE!</v>
      </c>
      <c r="T735" s="129">
        <v>0</v>
      </c>
      <c r="U735" s="130" t="e">
        <f t="shared" si="47"/>
        <v>#VALUE!</v>
      </c>
      <c r="V735" s="129">
        <v>0</v>
      </c>
      <c r="W735" s="130" t="e">
        <f t="shared" si="44"/>
        <v>#VALUE!</v>
      </c>
      <c r="X735" s="129">
        <v>0</v>
      </c>
      <c r="Y735" s="130" t="e">
        <f t="shared" si="45"/>
        <v>#VALUE!</v>
      </c>
      <c r="Z735" s="129">
        <v>0</v>
      </c>
      <c r="AA735" s="130" t="e">
        <f t="shared" si="46"/>
        <v>#VALUE!</v>
      </c>
    </row>
    <row r="736" spans="1:27" x14ac:dyDescent="0.3">
      <c r="A736">
        <v>711400</v>
      </c>
      <c r="B736">
        <v>17031711400</v>
      </c>
      <c r="C736">
        <v>17031</v>
      </c>
      <c r="D736">
        <v>2010</v>
      </c>
      <c r="E736">
        <v>71</v>
      </c>
      <c r="F736">
        <v>8045498.1090917503</v>
      </c>
      <c r="G736" s="43">
        <v>0.28859253433094262</v>
      </c>
      <c r="H736" s="58" t="str">
        <f>_xlfn.IFNA(
INDEX(CA!B$2:B$78,MATCH($E736,CA!$A$2:$A$78,0)),
"")</f>
        <v>AUBURN GRESHAM</v>
      </c>
      <c r="I736" s="60" t="str">
        <f>_xlfn.IFNA(
INDEX(CA!C$2:C$78,MATCH($E736,CA!$A$2:$A$78,0)),
"")</f>
        <v>5-A</v>
      </c>
      <c r="J736" s="60">
        <f>_xlfn.IFNA(
INDEX(CA!D$2:D$78,MATCH($E736,CA!$A$2:$A$78,0)),
"")</f>
        <v>5</v>
      </c>
      <c r="K736" s="58" t="str">
        <f>_xlfn.IFNA(
INDEX(CA!E$2:E$78,MATCH($E736,CA!$A$2:$A$78,0)),
"")</f>
        <v>FAR SOUTH</v>
      </c>
      <c r="L736" s="15" t="e">
        <v>#VALUE!</v>
      </c>
      <c r="M736" s="15" t="e">
        <v>#VALUE!</v>
      </c>
      <c r="N736" s="15" t="e">
        <v>#VALUE!</v>
      </c>
      <c r="O736" s="15" t="e">
        <v>#VALUE!</v>
      </c>
      <c r="P736" s="15" t="e">
        <v>#VALUE!</v>
      </c>
      <c r="Q736" s="15" t="e">
        <v>#VALUE!</v>
      </c>
      <c r="R736" s="15" t="e">
        <v>#VALUE!</v>
      </c>
      <c r="S736" s="15" t="e">
        <v>#VALUE!</v>
      </c>
      <c r="T736" s="129">
        <v>0.23659108552562449</v>
      </c>
      <c r="U736" s="130" t="e">
        <f t="shared" si="47"/>
        <v>#VALUE!</v>
      </c>
      <c r="V736" s="129">
        <v>0.23659108552562449</v>
      </c>
      <c r="W736" s="130" t="e">
        <f t="shared" si="44"/>
        <v>#VALUE!</v>
      </c>
      <c r="X736" s="129">
        <v>0.23659108552562449</v>
      </c>
      <c r="Y736" s="130" t="e">
        <f t="shared" si="45"/>
        <v>#VALUE!</v>
      </c>
      <c r="Z736" s="129">
        <v>0.23659108552562449</v>
      </c>
      <c r="AA736" s="130" t="e">
        <f t="shared" si="46"/>
        <v>#VALUE!</v>
      </c>
    </row>
    <row r="737" spans="1:27" x14ac:dyDescent="0.3">
      <c r="A737">
        <v>710300</v>
      </c>
      <c r="B737">
        <v>17031710300</v>
      </c>
      <c r="C737">
        <v>17031</v>
      </c>
      <c r="D737">
        <v>2010</v>
      </c>
      <c r="E737">
        <v>71</v>
      </c>
      <c r="F737">
        <v>3562901.8538892101</v>
      </c>
      <c r="G737" s="43">
        <v>0.12780151851932717</v>
      </c>
      <c r="H737" s="58" t="str">
        <f>_xlfn.IFNA(
INDEX(CA!B$2:B$78,MATCH($E737,CA!$A$2:$A$78,0)),
"")</f>
        <v>AUBURN GRESHAM</v>
      </c>
      <c r="I737" s="60" t="str">
        <f>_xlfn.IFNA(
INDEX(CA!C$2:C$78,MATCH($E737,CA!$A$2:$A$78,0)),
"")</f>
        <v>5-A</v>
      </c>
      <c r="J737" s="60">
        <f>_xlfn.IFNA(
INDEX(CA!D$2:D$78,MATCH($E737,CA!$A$2:$A$78,0)),
"")</f>
        <v>5</v>
      </c>
      <c r="K737" s="58" t="str">
        <f>_xlfn.IFNA(
INDEX(CA!E$2:E$78,MATCH($E737,CA!$A$2:$A$78,0)),
"")</f>
        <v>FAR SOUTH</v>
      </c>
      <c r="L737" s="15" t="e">
        <v>#VALUE!</v>
      </c>
      <c r="M737" s="15" t="e">
        <v>#VALUE!</v>
      </c>
      <c r="N737" s="15" t="e">
        <v>#VALUE!</v>
      </c>
      <c r="O737" s="15" t="e">
        <v>#VALUE!</v>
      </c>
      <c r="P737" s="15" t="e">
        <v>#VALUE!</v>
      </c>
      <c r="Q737" s="15" t="e">
        <v>#VALUE!</v>
      </c>
      <c r="R737" s="15" t="e">
        <v>#VALUE!</v>
      </c>
      <c r="S737" s="15" t="e">
        <v>#VALUE!</v>
      </c>
      <c r="T737" s="129">
        <v>0</v>
      </c>
      <c r="U737" s="130" t="e">
        <f t="shared" si="47"/>
        <v>#VALUE!</v>
      </c>
      <c r="V737" s="129">
        <v>0</v>
      </c>
      <c r="W737" s="130" t="e">
        <f t="shared" si="44"/>
        <v>#VALUE!</v>
      </c>
      <c r="X737" s="129">
        <v>0</v>
      </c>
      <c r="Y737" s="130" t="e">
        <f t="shared" si="45"/>
        <v>#VALUE!</v>
      </c>
      <c r="Z737" s="129">
        <v>0</v>
      </c>
      <c r="AA737" s="130" t="e">
        <f t="shared" si="46"/>
        <v>#VALUE!</v>
      </c>
    </row>
    <row r="738" spans="1:27" x14ac:dyDescent="0.3">
      <c r="A738">
        <v>710400</v>
      </c>
      <c r="B738">
        <v>17031710400</v>
      </c>
      <c r="C738">
        <v>17031</v>
      </c>
      <c r="D738">
        <v>2010</v>
      </c>
      <c r="E738">
        <v>71</v>
      </c>
      <c r="F738">
        <v>10995097.6236632</v>
      </c>
      <c r="G738" s="43">
        <v>0.39439485851638545</v>
      </c>
      <c r="H738" s="58" t="str">
        <f>_xlfn.IFNA(
INDEX(CA!B$2:B$78,MATCH($E738,CA!$A$2:$A$78,0)),
"")</f>
        <v>AUBURN GRESHAM</v>
      </c>
      <c r="I738" s="60" t="str">
        <f>_xlfn.IFNA(
INDEX(CA!C$2:C$78,MATCH($E738,CA!$A$2:$A$78,0)),
"")</f>
        <v>5-A</v>
      </c>
      <c r="J738" s="60">
        <f>_xlfn.IFNA(
INDEX(CA!D$2:D$78,MATCH($E738,CA!$A$2:$A$78,0)),
"")</f>
        <v>5</v>
      </c>
      <c r="K738" s="58" t="str">
        <f>_xlfn.IFNA(
INDEX(CA!E$2:E$78,MATCH($E738,CA!$A$2:$A$78,0)),
"")</f>
        <v>FAR SOUTH</v>
      </c>
      <c r="L738" s="15" t="e">
        <v>#VALUE!</v>
      </c>
      <c r="M738" s="15" t="e">
        <v>#VALUE!</v>
      </c>
      <c r="N738" s="15" t="e">
        <v>#VALUE!</v>
      </c>
      <c r="O738" s="15" t="e">
        <v>#VALUE!</v>
      </c>
      <c r="P738" s="15" t="e">
        <v>#VALUE!</v>
      </c>
      <c r="Q738" s="15" t="e">
        <v>#VALUE!</v>
      </c>
      <c r="R738" s="15" t="e">
        <v>#VALUE!</v>
      </c>
      <c r="S738" s="15" t="e">
        <v>#VALUE!</v>
      </c>
      <c r="T738" s="129">
        <v>0.39338898170324338</v>
      </c>
      <c r="U738" s="130" t="e">
        <f t="shared" si="47"/>
        <v>#VALUE!</v>
      </c>
      <c r="V738" s="129">
        <v>0.39338898170324338</v>
      </c>
      <c r="W738" s="130" t="e">
        <f t="shared" si="44"/>
        <v>#VALUE!</v>
      </c>
      <c r="X738" s="129">
        <v>0.39338898170324338</v>
      </c>
      <c r="Y738" s="130" t="e">
        <f t="shared" si="45"/>
        <v>#VALUE!</v>
      </c>
      <c r="Z738" s="129">
        <v>0.39338898170324338</v>
      </c>
      <c r="AA738" s="130" t="e">
        <f t="shared" si="46"/>
        <v>#VALUE!</v>
      </c>
    </row>
    <row r="739" spans="1:27" x14ac:dyDescent="0.3">
      <c r="A739">
        <v>710100</v>
      </c>
      <c r="B739">
        <v>17031710100</v>
      </c>
      <c r="C739">
        <v>17031</v>
      </c>
      <c r="D739">
        <v>2010</v>
      </c>
      <c r="E739">
        <v>71</v>
      </c>
      <c r="F739">
        <v>2315164.4420800102</v>
      </c>
      <c r="G739" s="43">
        <v>8.3045097354224426E-2</v>
      </c>
      <c r="H739" s="58" t="str">
        <f>_xlfn.IFNA(
INDEX(CA!B$2:B$78,MATCH($E739,CA!$A$2:$A$78,0)),
"")</f>
        <v>AUBURN GRESHAM</v>
      </c>
      <c r="I739" s="60" t="str">
        <f>_xlfn.IFNA(
INDEX(CA!C$2:C$78,MATCH($E739,CA!$A$2:$A$78,0)),
"")</f>
        <v>5-A</v>
      </c>
      <c r="J739" s="60">
        <f>_xlfn.IFNA(
INDEX(CA!D$2:D$78,MATCH($E739,CA!$A$2:$A$78,0)),
"")</f>
        <v>5</v>
      </c>
      <c r="K739" s="58" t="str">
        <f>_xlfn.IFNA(
INDEX(CA!E$2:E$78,MATCH($E739,CA!$A$2:$A$78,0)),
"")</f>
        <v>FAR SOUTH</v>
      </c>
      <c r="L739" s="15" t="e">
        <v>#VALUE!</v>
      </c>
      <c r="M739" s="15" t="e">
        <v>#VALUE!</v>
      </c>
      <c r="N739" s="15" t="e">
        <v>#VALUE!</v>
      </c>
      <c r="O739" s="15" t="e">
        <v>#VALUE!</v>
      </c>
      <c r="P739" s="15" t="e">
        <v>#VALUE!</v>
      </c>
      <c r="Q739" s="15" t="e">
        <v>#VALUE!</v>
      </c>
      <c r="R739" s="15" t="e">
        <v>#VALUE!</v>
      </c>
      <c r="S739" s="15" t="e">
        <v>#VALUE!</v>
      </c>
      <c r="T739" s="129">
        <v>8.304509993809292E-2</v>
      </c>
      <c r="U739" s="130" t="e">
        <f t="shared" si="47"/>
        <v>#VALUE!</v>
      </c>
      <c r="V739" s="129">
        <v>8.304509993809292E-2</v>
      </c>
      <c r="W739" s="130" t="e">
        <f t="shared" si="44"/>
        <v>#VALUE!</v>
      </c>
      <c r="X739" s="129">
        <v>8.304509993809292E-2</v>
      </c>
      <c r="Y739" s="130" t="e">
        <f t="shared" si="45"/>
        <v>#VALUE!</v>
      </c>
      <c r="Z739" s="129">
        <v>8.304509993809292E-2</v>
      </c>
      <c r="AA739" s="130" t="e">
        <f t="shared" si="46"/>
        <v>#VALUE!</v>
      </c>
    </row>
    <row r="740" spans="1:27" x14ac:dyDescent="0.3">
      <c r="A740">
        <v>720500</v>
      </c>
      <c r="B740">
        <v>17031720500</v>
      </c>
      <c r="C740">
        <v>17031</v>
      </c>
      <c r="D740">
        <v>2010</v>
      </c>
      <c r="E740">
        <v>72</v>
      </c>
      <c r="F740">
        <v>11228197.5722403</v>
      </c>
      <c r="G740" s="43">
        <v>0.40275616865531383</v>
      </c>
      <c r="H740" s="58" t="str">
        <f>_xlfn.IFNA(
INDEX(CA!B$2:B$78,MATCH($E740,CA!$A$2:$A$78,0)),
"")</f>
        <v>BEVERLY</v>
      </c>
      <c r="I740" s="60" t="str">
        <f>_xlfn.IFNA(
INDEX(CA!C$2:C$78,MATCH($E740,CA!$A$2:$A$78,0)),
"")</f>
        <v>5-A</v>
      </c>
      <c r="J740" s="60">
        <f>_xlfn.IFNA(
INDEX(CA!D$2:D$78,MATCH($E740,CA!$A$2:$A$78,0)),
"")</f>
        <v>5</v>
      </c>
      <c r="K740" s="58" t="str">
        <f>_xlfn.IFNA(
INDEX(CA!E$2:E$78,MATCH($E740,CA!$A$2:$A$78,0)),
"")</f>
        <v>FAR SOUTH</v>
      </c>
      <c r="L740" s="15" t="e">
        <v>#VALUE!</v>
      </c>
      <c r="M740" s="15" t="e">
        <v>#VALUE!</v>
      </c>
      <c r="N740" s="15" t="e">
        <v>#VALUE!</v>
      </c>
      <c r="O740" s="15" t="e">
        <v>#VALUE!</v>
      </c>
      <c r="P740" s="15" t="e">
        <v>#VALUE!</v>
      </c>
      <c r="Q740" s="15" t="e">
        <v>#VALUE!</v>
      </c>
      <c r="R740" s="15" t="e">
        <v>#VALUE!</v>
      </c>
      <c r="S740" s="15" t="e">
        <v>#VALUE!</v>
      </c>
      <c r="T740" s="129">
        <v>0</v>
      </c>
      <c r="U740" s="130" t="e">
        <f t="shared" si="47"/>
        <v>#VALUE!</v>
      </c>
      <c r="V740" s="129">
        <v>0</v>
      </c>
      <c r="W740" s="130" t="e">
        <f t="shared" si="44"/>
        <v>#VALUE!</v>
      </c>
      <c r="X740" s="129">
        <v>0</v>
      </c>
      <c r="Y740" s="130" t="e">
        <f t="shared" si="45"/>
        <v>#VALUE!</v>
      </c>
      <c r="Z740" s="129">
        <v>0</v>
      </c>
      <c r="AA740" s="130" t="e">
        <f t="shared" si="46"/>
        <v>#VALUE!</v>
      </c>
    </row>
    <row r="741" spans="1:27" x14ac:dyDescent="0.3">
      <c r="A741">
        <v>720200</v>
      </c>
      <c r="B741">
        <v>17031720200</v>
      </c>
      <c r="C741">
        <v>17031</v>
      </c>
      <c r="D741">
        <v>2010</v>
      </c>
      <c r="E741">
        <v>72</v>
      </c>
      <c r="F741">
        <v>17996571.053252801</v>
      </c>
      <c r="G741" s="43">
        <v>0.64553816048456159</v>
      </c>
      <c r="H741" s="58" t="str">
        <f>_xlfn.IFNA(
INDEX(CA!B$2:B$78,MATCH($E741,CA!$A$2:$A$78,0)),
"")</f>
        <v>BEVERLY</v>
      </c>
      <c r="I741" s="60" t="str">
        <f>_xlfn.IFNA(
INDEX(CA!C$2:C$78,MATCH($E741,CA!$A$2:$A$78,0)),
"")</f>
        <v>5-A</v>
      </c>
      <c r="J741" s="60">
        <f>_xlfn.IFNA(
INDEX(CA!D$2:D$78,MATCH($E741,CA!$A$2:$A$78,0)),
"")</f>
        <v>5</v>
      </c>
      <c r="K741" s="58" t="str">
        <f>_xlfn.IFNA(
INDEX(CA!E$2:E$78,MATCH($E741,CA!$A$2:$A$78,0)),
"")</f>
        <v>FAR SOUTH</v>
      </c>
      <c r="L741" s="15" t="e">
        <v>#VALUE!</v>
      </c>
      <c r="M741" s="15" t="e">
        <v>#VALUE!</v>
      </c>
      <c r="N741" s="15" t="e">
        <v>#VALUE!</v>
      </c>
      <c r="O741" s="15" t="e">
        <v>#VALUE!</v>
      </c>
      <c r="P741" s="15" t="e">
        <v>#VALUE!</v>
      </c>
      <c r="Q741" s="15" t="e">
        <v>#VALUE!</v>
      </c>
      <c r="R741" s="15" t="e">
        <v>#VALUE!</v>
      </c>
      <c r="S741" s="15" t="e">
        <v>#VALUE!</v>
      </c>
      <c r="T741" s="129">
        <v>0.40193008526847307</v>
      </c>
      <c r="U741" s="130" t="e">
        <f t="shared" si="47"/>
        <v>#VALUE!</v>
      </c>
      <c r="V741" s="129">
        <v>0.40193008526847307</v>
      </c>
      <c r="W741" s="130" t="e">
        <f t="shared" si="44"/>
        <v>#VALUE!</v>
      </c>
      <c r="X741" s="129">
        <v>0.40193008526847307</v>
      </c>
      <c r="Y741" s="130" t="e">
        <f t="shared" si="45"/>
        <v>#VALUE!</v>
      </c>
      <c r="Z741" s="129">
        <v>0.40193008526847307</v>
      </c>
      <c r="AA741" s="130" t="e">
        <f t="shared" si="46"/>
        <v>#VALUE!</v>
      </c>
    </row>
    <row r="742" spans="1:27" x14ac:dyDescent="0.3">
      <c r="A742">
        <v>720400</v>
      </c>
      <c r="B742">
        <v>17031720400</v>
      </c>
      <c r="C742">
        <v>17031</v>
      </c>
      <c r="D742">
        <v>2010</v>
      </c>
      <c r="E742">
        <v>72</v>
      </c>
      <c r="F742">
        <v>7140366.8627359504</v>
      </c>
      <c r="G742" s="43">
        <v>0.25612541834308822</v>
      </c>
      <c r="H742" s="58" t="str">
        <f>_xlfn.IFNA(
INDEX(CA!B$2:B$78,MATCH($E742,CA!$A$2:$A$78,0)),
"")</f>
        <v>BEVERLY</v>
      </c>
      <c r="I742" s="60" t="str">
        <f>_xlfn.IFNA(
INDEX(CA!C$2:C$78,MATCH($E742,CA!$A$2:$A$78,0)),
"")</f>
        <v>5-A</v>
      </c>
      <c r="J742" s="60">
        <f>_xlfn.IFNA(
INDEX(CA!D$2:D$78,MATCH($E742,CA!$A$2:$A$78,0)),
"")</f>
        <v>5</v>
      </c>
      <c r="K742" s="58" t="str">
        <f>_xlfn.IFNA(
INDEX(CA!E$2:E$78,MATCH($E742,CA!$A$2:$A$78,0)),
"")</f>
        <v>FAR SOUTH</v>
      </c>
      <c r="L742" s="15" t="e">
        <v>#VALUE!</v>
      </c>
      <c r="M742" s="15" t="e">
        <v>#VALUE!</v>
      </c>
      <c r="N742" s="15" t="e">
        <v>#VALUE!</v>
      </c>
      <c r="O742" s="15" t="e">
        <v>#VALUE!</v>
      </c>
      <c r="P742" s="15" t="e">
        <v>#VALUE!</v>
      </c>
      <c r="Q742" s="15" t="e">
        <v>#VALUE!</v>
      </c>
      <c r="R742" s="15" t="e">
        <v>#VALUE!</v>
      </c>
      <c r="S742" s="15" t="e">
        <v>#VALUE!</v>
      </c>
      <c r="T742" s="129">
        <v>0</v>
      </c>
      <c r="U742" s="130" t="e">
        <f t="shared" si="47"/>
        <v>#VALUE!</v>
      </c>
      <c r="V742" s="129">
        <v>0</v>
      </c>
      <c r="W742" s="130" t="e">
        <f t="shared" si="44"/>
        <v>#VALUE!</v>
      </c>
      <c r="X742" s="129">
        <v>0</v>
      </c>
      <c r="Y742" s="130" t="e">
        <f t="shared" si="45"/>
        <v>#VALUE!</v>
      </c>
      <c r="Z742" s="129">
        <v>0</v>
      </c>
      <c r="AA742" s="130" t="e">
        <f t="shared" si="46"/>
        <v>#VALUE!</v>
      </c>
    </row>
    <row r="743" spans="1:27" x14ac:dyDescent="0.3">
      <c r="A743">
        <v>720700</v>
      </c>
      <c r="B743">
        <v>17031720700</v>
      </c>
      <c r="C743">
        <v>17031</v>
      </c>
      <c r="D743">
        <v>2010</v>
      </c>
      <c r="E743">
        <v>72</v>
      </c>
      <c r="F743">
        <v>11300513.523674401</v>
      </c>
      <c r="G743" s="43">
        <v>0.40535014648166323</v>
      </c>
      <c r="H743" s="58" t="str">
        <f>_xlfn.IFNA(
INDEX(CA!B$2:B$78,MATCH($E743,CA!$A$2:$A$78,0)),
"")</f>
        <v>BEVERLY</v>
      </c>
      <c r="I743" s="60" t="str">
        <f>_xlfn.IFNA(
INDEX(CA!C$2:C$78,MATCH($E743,CA!$A$2:$A$78,0)),
"")</f>
        <v>5-A</v>
      </c>
      <c r="J743" s="60">
        <f>_xlfn.IFNA(
INDEX(CA!D$2:D$78,MATCH($E743,CA!$A$2:$A$78,0)),
"")</f>
        <v>5</v>
      </c>
      <c r="K743" s="58" t="str">
        <f>_xlfn.IFNA(
INDEX(CA!E$2:E$78,MATCH($E743,CA!$A$2:$A$78,0)),
"")</f>
        <v>FAR SOUTH</v>
      </c>
      <c r="L743" s="15" t="e">
        <v>#VALUE!</v>
      </c>
      <c r="M743" s="15" t="e">
        <v>#VALUE!</v>
      </c>
      <c r="N743" s="15" t="e">
        <v>#VALUE!</v>
      </c>
      <c r="O743" s="15" t="e">
        <v>#VALUE!</v>
      </c>
      <c r="P743" s="15" t="e">
        <v>#VALUE!</v>
      </c>
      <c r="Q743" s="15" t="e">
        <v>#VALUE!</v>
      </c>
      <c r="R743" s="15" t="e">
        <v>#VALUE!</v>
      </c>
      <c r="S743" s="15" t="e">
        <v>#VALUE!</v>
      </c>
      <c r="T743" s="129">
        <v>0.24121964466487927</v>
      </c>
      <c r="U743" s="130" t="e">
        <f t="shared" si="47"/>
        <v>#VALUE!</v>
      </c>
      <c r="V743" s="129">
        <v>0.24122139801802686</v>
      </c>
      <c r="W743" s="130" t="e">
        <f t="shared" si="44"/>
        <v>#VALUE!</v>
      </c>
      <c r="X743" s="129">
        <v>0.24122139801802686</v>
      </c>
      <c r="Y743" s="130" t="e">
        <f t="shared" si="45"/>
        <v>#VALUE!</v>
      </c>
      <c r="Z743" s="129">
        <v>0.24122139801802686</v>
      </c>
      <c r="AA743" s="130" t="e">
        <f t="shared" si="46"/>
        <v>#VALUE!</v>
      </c>
    </row>
    <row r="744" spans="1:27" x14ac:dyDescent="0.3">
      <c r="A744">
        <v>720100</v>
      </c>
      <c r="B744">
        <v>17031720100</v>
      </c>
      <c r="C744">
        <v>17031</v>
      </c>
      <c r="D744">
        <v>2010</v>
      </c>
      <c r="E744">
        <v>72</v>
      </c>
      <c r="F744">
        <v>21265072.579106402</v>
      </c>
      <c r="G744" s="43">
        <v>0.76277952031344698</v>
      </c>
      <c r="H744" s="58" t="str">
        <f>_xlfn.IFNA(
INDEX(CA!B$2:B$78,MATCH($E744,CA!$A$2:$A$78,0)),
"")</f>
        <v>BEVERLY</v>
      </c>
      <c r="I744" s="60" t="str">
        <f>_xlfn.IFNA(
INDEX(CA!C$2:C$78,MATCH($E744,CA!$A$2:$A$78,0)),
"")</f>
        <v>5-A</v>
      </c>
      <c r="J744" s="60">
        <f>_xlfn.IFNA(
INDEX(CA!D$2:D$78,MATCH($E744,CA!$A$2:$A$78,0)),
"")</f>
        <v>5</v>
      </c>
      <c r="K744" s="58" t="str">
        <f>_xlfn.IFNA(
INDEX(CA!E$2:E$78,MATCH($E744,CA!$A$2:$A$78,0)),
"")</f>
        <v>FAR SOUTH</v>
      </c>
      <c r="L744" s="15" t="e">
        <v>#VALUE!</v>
      </c>
      <c r="M744" s="15" t="e">
        <v>#VALUE!</v>
      </c>
      <c r="N744" s="15" t="e">
        <v>#VALUE!</v>
      </c>
      <c r="O744" s="15" t="e">
        <v>#VALUE!</v>
      </c>
      <c r="P744" s="15" t="e">
        <v>#VALUE!</v>
      </c>
      <c r="Q744" s="15" t="e">
        <v>#VALUE!</v>
      </c>
      <c r="R744" s="15" t="e">
        <v>#VALUE!</v>
      </c>
      <c r="S744" s="15" t="e">
        <v>#VALUE!</v>
      </c>
      <c r="T744" s="129">
        <v>0.56055647095836203</v>
      </c>
      <c r="U744" s="130" t="e">
        <f t="shared" si="47"/>
        <v>#VALUE!</v>
      </c>
      <c r="V744" s="129">
        <v>0.56055647095836203</v>
      </c>
      <c r="W744" s="130" t="e">
        <f t="shared" si="44"/>
        <v>#VALUE!</v>
      </c>
      <c r="X744" s="129">
        <v>0.56055647095836203</v>
      </c>
      <c r="Y744" s="130" t="e">
        <f t="shared" si="45"/>
        <v>#VALUE!</v>
      </c>
      <c r="Z744" s="129">
        <v>0.56055647095836203</v>
      </c>
      <c r="AA744" s="130" t="e">
        <f t="shared" si="46"/>
        <v>#VALUE!</v>
      </c>
    </row>
    <row r="745" spans="1:27" x14ac:dyDescent="0.3">
      <c r="A745">
        <v>720600</v>
      </c>
      <c r="B745">
        <v>17031720600</v>
      </c>
      <c r="C745">
        <v>17031</v>
      </c>
      <c r="D745">
        <v>2010</v>
      </c>
      <c r="E745">
        <v>72</v>
      </c>
      <c r="F745">
        <v>6269300.1490293602</v>
      </c>
      <c r="G745" s="43">
        <v>0.22488019933100034</v>
      </c>
      <c r="H745" s="58" t="str">
        <f>_xlfn.IFNA(
INDEX(CA!B$2:B$78,MATCH($E745,CA!$A$2:$A$78,0)),
"")</f>
        <v>BEVERLY</v>
      </c>
      <c r="I745" s="60" t="str">
        <f>_xlfn.IFNA(
INDEX(CA!C$2:C$78,MATCH($E745,CA!$A$2:$A$78,0)),
"")</f>
        <v>5-A</v>
      </c>
      <c r="J745" s="60">
        <f>_xlfn.IFNA(
INDEX(CA!D$2:D$78,MATCH($E745,CA!$A$2:$A$78,0)),
"")</f>
        <v>5</v>
      </c>
      <c r="K745" s="58" t="str">
        <f>_xlfn.IFNA(
INDEX(CA!E$2:E$78,MATCH($E745,CA!$A$2:$A$78,0)),
"")</f>
        <v>FAR SOUTH</v>
      </c>
      <c r="L745" s="15" t="e">
        <v>#VALUE!</v>
      </c>
      <c r="M745" s="15" t="e">
        <v>#VALUE!</v>
      </c>
      <c r="N745" s="15" t="e">
        <v>#VALUE!</v>
      </c>
      <c r="O745" s="15" t="e">
        <v>#VALUE!</v>
      </c>
      <c r="P745" s="15" t="e">
        <v>#VALUE!</v>
      </c>
      <c r="Q745" s="15" t="e">
        <v>#VALUE!</v>
      </c>
      <c r="R745" s="15" t="e">
        <v>#VALUE!</v>
      </c>
      <c r="S745" s="15" t="e">
        <v>#VALUE!</v>
      </c>
      <c r="T745" s="129">
        <v>0</v>
      </c>
      <c r="U745" s="130" t="e">
        <f t="shared" si="47"/>
        <v>#VALUE!</v>
      </c>
      <c r="V745" s="129">
        <v>0</v>
      </c>
      <c r="W745" s="130" t="e">
        <f t="shared" si="44"/>
        <v>#VALUE!</v>
      </c>
      <c r="X745" s="129">
        <v>0</v>
      </c>
      <c r="Y745" s="130" t="e">
        <f t="shared" si="45"/>
        <v>#VALUE!</v>
      </c>
      <c r="Z745" s="129">
        <v>0</v>
      </c>
      <c r="AA745" s="130" t="e">
        <f t="shared" si="46"/>
        <v>#VALUE!</v>
      </c>
    </row>
    <row r="746" spans="1:27" x14ac:dyDescent="0.3">
      <c r="A746">
        <v>720300</v>
      </c>
      <c r="B746">
        <v>17031720300</v>
      </c>
      <c r="C746">
        <v>17031</v>
      </c>
      <c r="D746">
        <v>2010</v>
      </c>
      <c r="E746">
        <v>72</v>
      </c>
      <c r="F746">
        <v>13579342.0360581</v>
      </c>
      <c r="G746" s="43">
        <v>0.48709187170203816</v>
      </c>
      <c r="H746" s="58" t="str">
        <f>_xlfn.IFNA(
INDEX(CA!B$2:B$78,MATCH($E746,CA!$A$2:$A$78,0)),
"")</f>
        <v>BEVERLY</v>
      </c>
      <c r="I746" s="60" t="str">
        <f>_xlfn.IFNA(
INDEX(CA!C$2:C$78,MATCH($E746,CA!$A$2:$A$78,0)),
"")</f>
        <v>5-A</v>
      </c>
      <c r="J746" s="60">
        <f>_xlfn.IFNA(
INDEX(CA!D$2:D$78,MATCH($E746,CA!$A$2:$A$78,0)),
"")</f>
        <v>5</v>
      </c>
      <c r="K746" s="58" t="str">
        <f>_xlfn.IFNA(
INDEX(CA!E$2:E$78,MATCH($E746,CA!$A$2:$A$78,0)),
"")</f>
        <v>FAR SOUTH</v>
      </c>
      <c r="L746" s="15" t="e">
        <v>#VALUE!</v>
      </c>
      <c r="M746" s="15" t="e">
        <v>#VALUE!</v>
      </c>
      <c r="N746" s="15" t="e">
        <v>#VALUE!</v>
      </c>
      <c r="O746" s="15" t="e">
        <v>#VALUE!</v>
      </c>
      <c r="P746" s="15" t="e">
        <v>#VALUE!</v>
      </c>
      <c r="Q746" s="15" t="e">
        <v>#VALUE!</v>
      </c>
      <c r="R746" s="15" t="e">
        <v>#VALUE!</v>
      </c>
      <c r="S746" s="15" t="e">
        <v>#VALUE!</v>
      </c>
      <c r="T746" s="129">
        <v>1.0299167205010833E-2</v>
      </c>
      <c r="U746" s="130" t="e">
        <f t="shared" si="47"/>
        <v>#VALUE!</v>
      </c>
      <c r="V746" s="129">
        <v>1.0299167205010833E-2</v>
      </c>
      <c r="W746" s="130" t="e">
        <f t="shared" si="44"/>
        <v>#VALUE!</v>
      </c>
      <c r="X746" s="129">
        <v>1.0299167205010833E-2</v>
      </c>
      <c r="Y746" s="130" t="e">
        <f t="shared" si="45"/>
        <v>#VALUE!</v>
      </c>
      <c r="Z746" s="129">
        <v>1.0299167205010833E-2</v>
      </c>
      <c r="AA746" s="130" t="e">
        <f t="shared" si="46"/>
        <v>#VALUE!</v>
      </c>
    </row>
    <row r="747" spans="1:27" x14ac:dyDescent="0.3">
      <c r="A747">
        <v>730201</v>
      </c>
      <c r="B747">
        <v>17031730201</v>
      </c>
      <c r="C747">
        <v>17031</v>
      </c>
      <c r="D747">
        <v>2010</v>
      </c>
      <c r="E747">
        <v>73</v>
      </c>
      <c r="F747">
        <v>10779995.1396595</v>
      </c>
      <c r="G747" s="43">
        <v>0.38667911858856674</v>
      </c>
      <c r="H747" s="58" t="str">
        <f>_xlfn.IFNA(
INDEX(CA!B$2:B$78,MATCH($E747,CA!$A$2:$A$78,0)),
"")</f>
        <v>WASHINGTON HEIGHTS</v>
      </c>
      <c r="I747" s="60" t="str">
        <f>_xlfn.IFNA(
INDEX(CA!C$2:C$78,MATCH($E747,CA!$A$2:$A$78,0)),
"")</f>
        <v>5-A</v>
      </c>
      <c r="J747" s="60">
        <f>_xlfn.IFNA(
INDEX(CA!D$2:D$78,MATCH($E747,CA!$A$2:$A$78,0)),
"")</f>
        <v>5</v>
      </c>
      <c r="K747" s="58" t="str">
        <f>_xlfn.IFNA(
INDEX(CA!E$2:E$78,MATCH($E747,CA!$A$2:$A$78,0)),
"")</f>
        <v>FAR SOUTH</v>
      </c>
      <c r="L747" s="15" t="e">
        <v>#VALUE!</v>
      </c>
      <c r="M747" s="15" t="e">
        <v>#VALUE!</v>
      </c>
      <c r="N747" s="15" t="e">
        <v>#VALUE!</v>
      </c>
      <c r="O747" s="15" t="e">
        <v>#VALUE!</v>
      </c>
      <c r="P747" s="15" t="e">
        <v>#VALUE!</v>
      </c>
      <c r="Q747" s="15" t="e">
        <v>#VALUE!</v>
      </c>
      <c r="R747" s="15" t="e">
        <v>#VALUE!</v>
      </c>
      <c r="S747" s="15" t="e">
        <v>#VALUE!</v>
      </c>
      <c r="T747" s="129">
        <v>0.37793892622351355</v>
      </c>
      <c r="U747" s="130" t="e">
        <f t="shared" si="47"/>
        <v>#VALUE!</v>
      </c>
      <c r="V747" s="129">
        <v>0.37793892622351355</v>
      </c>
      <c r="W747" s="130" t="e">
        <f t="shared" si="44"/>
        <v>#VALUE!</v>
      </c>
      <c r="X747" s="129">
        <v>0.37793892622351355</v>
      </c>
      <c r="Y747" s="130" t="e">
        <f t="shared" si="45"/>
        <v>#VALUE!</v>
      </c>
      <c r="Z747" s="129">
        <v>0.37793892622351355</v>
      </c>
      <c r="AA747" s="130" t="e">
        <f t="shared" si="46"/>
        <v>#VALUE!</v>
      </c>
    </row>
    <row r="748" spans="1:27" x14ac:dyDescent="0.3">
      <c r="A748">
        <v>730300</v>
      </c>
      <c r="B748">
        <v>17031730300</v>
      </c>
      <c r="C748">
        <v>17031</v>
      </c>
      <c r="D748">
        <v>2010</v>
      </c>
      <c r="E748">
        <v>73</v>
      </c>
      <c r="F748">
        <v>3170252.6120434101</v>
      </c>
      <c r="G748" s="43">
        <v>0.11371716497515676</v>
      </c>
      <c r="H748" s="58" t="str">
        <f>_xlfn.IFNA(
INDEX(CA!B$2:B$78,MATCH($E748,CA!$A$2:$A$78,0)),
"")</f>
        <v>WASHINGTON HEIGHTS</v>
      </c>
      <c r="I748" s="60" t="str">
        <f>_xlfn.IFNA(
INDEX(CA!C$2:C$78,MATCH($E748,CA!$A$2:$A$78,0)),
"")</f>
        <v>5-A</v>
      </c>
      <c r="J748" s="60">
        <f>_xlfn.IFNA(
INDEX(CA!D$2:D$78,MATCH($E748,CA!$A$2:$A$78,0)),
"")</f>
        <v>5</v>
      </c>
      <c r="K748" s="58" t="str">
        <f>_xlfn.IFNA(
INDEX(CA!E$2:E$78,MATCH($E748,CA!$A$2:$A$78,0)),
"")</f>
        <v>FAR SOUTH</v>
      </c>
      <c r="L748" s="15" t="e">
        <v>#VALUE!</v>
      </c>
      <c r="M748" s="15" t="e">
        <v>#VALUE!</v>
      </c>
      <c r="N748" s="15" t="e">
        <v>#VALUE!</v>
      </c>
      <c r="O748" s="15" t="e">
        <v>#VALUE!</v>
      </c>
      <c r="P748" s="15" t="e">
        <v>#VALUE!</v>
      </c>
      <c r="Q748" s="15" t="e">
        <v>#VALUE!</v>
      </c>
      <c r="R748" s="15" t="e">
        <v>#VALUE!</v>
      </c>
      <c r="S748" s="15" t="e">
        <v>#VALUE!</v>
      </c>
      <c r="T748" s="129">
        <v>0.11371715260443641</v>
      </c>
      <c r="U748" s="130" t="e">
        <f t="shared" si="47"/>
        <v>#VALUE!</v>
      </c>
      <c r="V748" s="129">
        <v>0.11371715260443641</v>
      </c>
      <c r="W748" s="130" t="e">
        <f t="shared" si="44"/>
        <v>#VALUE!</v>
      </c>
      <c r="X748" s="129">
        <v>0.11371715260443641</v>
      </c>
      <c r="Y748" s="130" t="e">
        <f t="shared" si="45"/>
        <v>#VALUE!</v>
      </c>
      <c r="Z748" s="129">
        <v>0.11371715260443641</v>
      </c>
      <c r="AA748" s="130" t="e">
        <f t="shared" si="46"/>
        <v>#VALUE!</v>
      </c>
    </row>
    <row r="749" spans="1:27" x14ac:dyDescent="0.3">
      <c r="A749">
        <v>730600</v>
      </c>
      <c r="B749">
        <v>17031730600</v>
      </c>
      <c r="C749">
        <v>17031</v>
      </c>
      <c r="D749">
        <v>2010</v>
      </c>
      <c r="E749">
        <v>73</v>
      </c>
      <c r="F749">
        <v>11035600.2369915</v>
      </c>
      <c r="G749" s="43">
        <v>0.39584768985994534</v>
      </c>
      <c r="H749" s="58" t="str">
        <f>_xlfn.IFNA(
INDEX(CA!B$2:B$78,MATCH($E749,CA!$A$2:$A$78,0)),
"")</f>
        <v>WASHINGTON HEIGHTS</v>
      </c>
      <c r="I749" s="60" t="str">
        <f>_xlfn.IFNA(
INDEX(CA!C$2:C$78,MATCH($E749,CA!$A$2:$A$78,0)),
"")</f>
        <v>5-A</v>
      </c>
      <c r="J749" s="60">
        <f>_xlfn.IFNA(
INDEX(CA!D$2:D$78,MATCH($E749,CA!$A$2:$A$78,0)),
"")</f>
        <v>5</v>
      </c>
      <c r="K749" s="58" t="str">
        <f>_xlfn.IFNA(
INDEX(CA!E$2:E$78,MATCH($E749,CA!$A$2:$A$78,0)),
"")</f>
        <v>FAR SOUTH</v>
      </c>
      <c r="L749" s="15" t="e">
        <v>#VALUE!</v>
      </c>
      <c r="M749" s="15" t="e">
        <v>#VALUE!</v>
      </c>
      <c r="N749" s="15" t="e">
        <v>#VALUE!</v>
      </c>
      <c r="O749" s="15" t="e">
        <v>#VALUE!</v>
      </c>
      <c r="P749" s="15" t="e">
        <v>#VALUE!</v>
      </c>
      <c r="Q749" s="15" t="e">
        <v>#VALUE!</v>
      </c>
      <c r="R749" s="15" t="e">
        <v>#VALUE!</v>
      </c>
      <c r="S749" s="15" t="e">
        <v>#VALUE!</v>
      </c>
      <c r="T749" s="129">
        <v>0.39580190684748051</v>
      </c>
      <c r="U749" s="130" t="e">
        <f t="shared" si="47"/>
        <v>#VALUE!</v>
      </c>
      <c r="V749" s="129">
        <v>0.39580190684748051</v>
      </c>
      <c r="W749" s="130" t="e">
        <f t="shared" si="44"/>
        <v>#VALUE!</v>
      </c>
      <c r="X749" s="129">
        <v>0.39580190684748051</v>
      </c>
      <c r="Y749" s="130" t="e">
        <f t="shared" si="45"/>
        <v>#VALUE!</v>
      </c>
      <c r="Z749" s="129">
        <v>0.39580190684748051</v>
      </c>
      <c r="AA749" s="130" t="e">
        <f t="shared" si="46"/>
        <v>#VALUE!</v>
      </c>
    </row>
    <row r="750" spans="1:27" x14ac:dyDescent="0.3">
      <c r="A750">
        <v>730500</v>
      </c>
      <c r="B750">
        <v>17031730500</v>
      </c>
      <c r="C750">
        <v>17031</v>
      </c>
      <c r="D750">
        <v>2010</v>
      </c>
      <c r="E750">
        <v>73</v>
      </c>
      <c r="F750">
        <v>14023253.629407</v>
      </c>
      <c r="G750" s="43">
        <v>0.50301500908972541</v>
      </c>
      <c r="H750" s="58" t="str">
        <f>_xlfn.IFNA(
INDEX(CA!B$2:B$78,MATCH($E750,CA!$A$2:$A$78,0)),
"")</f>
        <v>WASHINGTON HEIGHTS</v>
      </c>
      <c r="I750" s="60" t="str">
        <f>_xlfn.IFNA(
INDEX(CA!C$2:C$78,MATCH($E750,CA!$A$2:$A$78,0)),
"")</f>
        <v>5-A</v>
      </c>
      <c r="J750" s="60">
        <f>_xlfn.IFNA(
INDEX(CA!D$2:D$78,MATCH($E750,CA!$A$2:$A$78,0)),
"")</f>
        <v>5</v>
      </c>
      <c r="K750" s="58" t="str">
        <f>_xlfn.IFNA(
INDEX(CA!E$2:E$78,MATCH($E750,CA!$A$2:$A$78,0)),
"")</f>
        <v>FAR SOUTH</v>
      </c>
      <c r="L750" s="15" t="e">
        <v>#VALUE!</v>
      </c>
      <c r="M750" s="15" t="e">
        <v>#VALUE!</v>
      </c>
      <c r="N750" s="15" t="e">
        <v>#VALUE!</v>
      </c>
      <c r="O750" s="15" t="e">
        <v>#VALUE!</v>
      </c>
      <c r="P750" s="15" t="e">
        <v>#VALUE!</v>
      </c>
      <c r="Q750" s="15" t="e">
        <v>#VALUE!</v>
      </c>
      <c r="R750" s="15" t="e">
        <v>#VALUE!</v>
      </c>
      <c r="S750" s="15" t="e">
        <v>#VALUE!</v>
      </c>
      <c r="T750" s="129">
        <v>0.28218294577128061</v>
      </c>
      <c r="U750" s="130" t="e">
        <f t="shared" si="47"/>
        <v>#VALUE!</v>
      </c>
      <c r="V750" s="129">
        <v>0.28218280783374478</v>
      </c>
      <c r="W750" s="130" t="e">
        <f t="shared" si="44"/>
        <v>#VALUE!</v>
      </c>
      <c r="X750" s="129">
        <v>0.28218280783374478</v>
      </c>
      <c r="Y750" s="130" t="e">
        <f t="shared" si="45"/>
        <v>#VALUE!</v>
      </c>
      <c r="Z750" s="129">
        <v>0.28218280783374478</v>
      </c>
      <c r="AA750" s="130" t="e">
        <f t="shared" si="46"/>
        <v>#VALUE!</v>
      </c>
    </row>
    <row r="751" spans="1:27" x14ac:dyDescent="0.3">
      <c r="A751">
        <v>730202</v>
      </c>
      <c r="B751">
        <v>17031730202</v>
      </c>
      <c r="C751">
        <v>17031</v>
      </c>
      <c r="D751">
        <v>2010</v>
      </c>
      <c r="E751">
        <v>73</v>
      </c>
      <c r="F751">
        <v>9419340.4168523904</v>
      </c>
      <c r="G751" s="43">
        <v>0.33787234621973966</v>
      </c>
      <c r="H751" s="58" t="str">
        <f>_xlfn.IFNA(
INDEX(CA!B$2:B$78,MATCH($E751,CA!$A$2:$A$78,0)),
"")</f>
        <v>WASHINGTON HEIGHTS</v>
      </c>
      <c r="I751" s="60" t="str">
        <f>_xlfn.IFNA(
INDEX(CA!C$2:C$78,MATCH($E751,CA!$A$2:$A$78,0)),
"")</f>
        <v>5-A</v>
      </c>
      <c r="J751" s="60">
        <f>_xlfn.IFNA(
INDEX(CA!D$2:D$78,MATCH($E751,CA!$A$2:$A$78,0)),
"")</f>
        <v>5</v>
      </c>
      <c r="K751" s="58" t="str">
        <f>_xlfn.IFNA(
INDEX(CA!E$2:E$78,MATCH($E751,CA!$A$2:$A$78,0)),
"")</f>
        <v>FAR SOUTH</v>
      </c>
      <c r="L751" s="15" t="e">
        <v>#VALUE!</v>
      </c>
      <c r="M751" s="15" t="e">
        <v>#VALUE!</v>
      </c>
      <c r="N751" s="15" t="e">
        <v>#VALUE!</v>
      </c>
      <c r="O751" s="15" t="e">
        <v>#VALUE!</v>
      </c>
      <c r="P751" s="15" t="e">
        <v>#VALUE!</v>
      </c>
      <c r="Q751" s="15" t="e">
        <v>#VALUE!</v>
      </c>
      <c r="R751" s="15" t="e">
        <v>#VALUE!</v>
      </c>
      <c r="S751" s="15" t="e">
        <v>#VALUE!</v>
      </c>
      <c r="T751" s="129">
        <v>0.33787235034805763</v>
      </c>
      <c r="U751" s="130" t="e">
        <f t="shared" si="47"/>
        <v>#VALUE!</v>
      </c>
      <c r="V751" s="129">
        <v>0.33787235034805763</v>
      </c>
      <c r="W751" s="130" t="e">
        <f t="shared" si="44"/>
        <v>#VALUE!</v>
      </c>
      <c r="X751" s="129">
        <v>0.33787235034805763</v>
      </c>
      <c r="Y751" s="130" t="e">
        <f t="shared" si="45"/>
        <v>#VALUE!</v>
      </c>
      <c r="Z751" s="129">
        <v>0.33787235034805763</v>
      </c>
      <c r="AA751" s="130" t="e">
        <f t="shared" si="46"/>
        <v>#VALUE!</v>
      </c>
    </row>
    <row r="752" spans="1:27" x14ac:dyDescent="0.3">
      <c r="A752">
        <v>730100</v>
      </c>
      <c r="B752">
        <v>17031730100</v>
      </c>
      <c r="C752">
        <v>17031</v>
      </c>
      <c r="D752">
        <v>2010</v>
      </c>
      <c r="E752">
        <v>73</v>
      </c>
      <c r="F752">
        <v>7031248.7133798301</v>
      </c>
      <c r="G752" s="43">
        <v>0.25221134331166173</v>
      </c>
      <c r="H752" s="58" t="str">
        <f>_xlfn.IFNA(
INDEX(CA!B$2:B$78,MATCH($E752,CA!$A$2:$A$78,0)),
"")</f>
        <v>WASHINGTON HEIGHTS</v>
      </c>
      <c r="I752" s="60" t="str">
        <f>_xlfn.IFNA(
INDEX(CA!C$2:C$78,MATCH($E752,CA!$A$2:$A$78,0)),
"")</f>
        <v>5-A</v>
      </c>
      <c r="J752" s="60">
        <f>_xlfn.IFNA(
INDEX(CA!D$2:D$78,MATCH($E752,CA!$A$2:$A$78,0)),
"")</f>
        <v>5</v>
      </c>
      <c r="K752" s="58" t="str">
        <f>_xlfn.IFNA(
INDEX(CA!E$2:E$78,MATCH($E752,CA!$A$2:$A$78,0)),
"")</f>
        <v>FAR SOUTH</v>
      </c>
      <c r="L752" s="15" t="e">
        <v>#VALUE!</v>
      </c>
      <c r="M752" s="15" t="e">
        <v>#VALUE!</v>
      </c>
      <c r="N752" s="15" t="e">
        <v>#VALUE!</v>
      </c>
      <c r="O752" s="15" t="e">
        <v>#VALUE!</v>
      </c>
      <c r="P752" s="15" t="e">
        <v>#VALUE!</v>
      </c>
      <c r="Q752" s="15" t="e">
        <v>#VALUE!</v>
      </c>
      <c r="R752" s="15" t="e">
        <v>#VALUE!</v>
      </c>
      <c r="S752" s="15" t="e">
        <v>#VALUE!</v>
      </c>
      <c r="T752" s="129">
        <v>0.10665236143722416</v>
      </c>
      <c r="U752" s="130" t="e">
        <f t="shared" si="47"/>
        <v>#VALUE!</v>
      </c>
      <c r="V752" s="129">
        <v>0.10665236143722416</v>
      </c>
      <c r="W752" s="130" t="e">
        <f t="shared" si="44"/>
        <v>#VALUE!</v>
      </c>
      <c r="X752" s="129">
        <v>0.10665236143722416</v>
      </c>
      <c r="Y752" s="130" t="e">
        <f t="shared" si="45"/>
        <v>#VALUE!</v>
      </c>
      <c r="Z752" s="129">
        <v>0.10665236143722416</v>
      </c>
      <c r="AA752" s="130" t="e">
        <f t="shared" si="46"/>
        <v>#VALUE!</v>
      </c>
    </row>
    <row r="753" spans="1:27" x14ac:dyDescent="0.3">
      <c r="A753">
        <v>730700</v>
      </c>
      <c r="B753">
        <v>17031730700</v>
      </c>
      <c r="C753">
        <v>17031</v>
      </c>
      <c r="D753">
        <v>2010</v>
      </c>
      <c r="E753">
        <v>73</v>
      </c>
      <c r="F753">
        <v>10636425.300101601</v>
      </c>
      <c r="G753" s="43">
        <v>0.38152925921507691</v>
      </c>
      <c r="H753" s="58" t="str">
        <f>_xlfn.IFNA(
INDEX(CA!B$2:B$78,MATCH($E753,CA!$A$2:$A$78,0)),
"")</f>
        <v>WASHINGTON HEIGHTS</v>
      </c>
      <c r="I753" s="60" t="str">
        <f>_xlfn.IFNA(
INDEX(CA!C$2:C$78,MATCH($E753,CA!$A$2:$A$78,0)),
"")</f>
        <v>5-A</v>
      </c>
      <c r="J753" s="60">
        <f>_xlfn.IFNA(
INDEX(CA!D$2:D$78,MATCH($E753,CA!$A$2:$A$78,0)),
"")</f>
        <v>5</v>
      </c>
      <c r="K753" s="58" t="str">
        <f>_xlfn.IFNA(
INDEX(CA!E$2:E$78,MATCH($E753,CA!$A$2:$A$78,0)),
"")</f>
        <v>FAR SOUTH</v>
      </c>
      <c r="L753" s="15" t="e">
        <v>#VALUE!</v>
      </c>
      <c r="M753" s="15" t="e">
        <v>#VALUE!</v>
      </c>
      <c r="N753" s="15" t="e">
        <v>#VALUE!</v>
      </c>
      <c r="O753" s="15" t="e">
        <v>#VALUE!</v>
      </c>
      <c r="P753" s="15" t="e">
        <v>#VALUE!</v>
      </c>
      <c r="Q753" s="15" t="e">
        <v>#VALUE!</v>
      </c>
      <c r="R753" s="15" t="e">
        <v>#VALUE!</v>
      </c>
      <c r="S753" s="15" t="e">
        <v>#VALUE!</v>
      </c>
      <c r="T753" s="129">
        <v>0.38152926347872901</v>
      </c>
      <c r="U753" s="130" t="e">
        <f t="shared" si="47"/>
        <v>#VALUE!</v>
      </c>
      <c r="V753" s="129">
        <v>0.38152926347872901</v>
      </c>
      <c r="W753" s="130" t="e">
        <f t="shared" si="44"/>
        <v>#VALUE!</v>
      </c>
      <c r="X753" s="129">
        <v>0.38152926347872901</v>
      </c>
      <c r="Y753" s="130" t="e">
        <f t="shared" si="45"/>
        <v>#VALUE!</v>
      </c>
      <c r="Z753" s="129">
        <v>0.38152926347872901</v>
      </c>
      <c r="AA753" s="130" t="e">
        <f t="shared" si="46"/>
        <v>#VALUE!</v>
      </c>
    </row>
    <row r="754" spans="1:27" x14ac:dyDescent="0.3">
      <c r="A754">
        <v>730400</v>
      </c>
      <c r="B754">
        <v>17031730400</v>
      </c>
      <c r="C754">
        <v>17031</v>
      </c>
      <c r="D754">
        <v>2010</v>
      </c>
      <c r="E754">
        <v>73</v>
      </c>
      <c r="F754">
        <v>13539636.8285056</v>
      </c>
      <c r="G754" s="43">
        <v>0.48566764335491275</v>
      </c>
      <c r="H754" s="58" t="str">
        <f>_xlfn.IFNA(
INDEX(CA!B$2:B$78,MATCH($E754,CA!$A$2:$A$78,0)),
"")</f>
        <v>WASHINGTON HEIGHTS</v>
      </c>
      <c r="I754" s="60" t="str">
        <f>_xlfn.IFNA(
INDEX(CA!C$2:C$78,MATCH($E754,CA!$A$2:$A$78,0)),
"")</f>
        <v>5-A</v>
      </c>
      <c r="J754" s="60">
        <f>_xlfn.IFNA(
INDEX(CA!D$2:D$78,MATCH($E754,CA!$A$2:$A$78,0)),
"")</f>
        <v>5</v>
      </c>
      <c r="K754" s="58" t="str">
        <f>_xlfn.IFNA(
INDEX(CA!E$2:E$78,MATCH($E754,CA!$A$2:$A$78,0)),
"")</f>
        <v>FAR SOUTH</v>
      </c>
      <c r="L754" s="15" t="e">
        <v>#VALUE!</v>
      </c>
      <c r="M754" s="15" t="e">
        <v>#VALUE!</v>
      </c>
      <c r="N754" s="15" t="e">
        <v>#VALUE!</v>
      </c>
      <c r="O754" s="15" t="e">
        <v>#VALUE!</v>
      </c>
      <c r="P754" s="15" t="e">
        <v>#VALUE!</v>
      </c>
      <c r="Q754" s="15" t="e">
        <v>#VALUE!</v>
      </c>
      <c r="R754" s="15" t="e">
        <v>#VALUE!</v>
      </c>
      <c r="S754" s="15" t="e">
        <v>#VALUE!</v>
      </c>
      <c r="T754" s="129">
        <v>0.48543405247081256</v>
      </c>
      <c r="U754" s="130" t="e">
        <f t="shared" si="47"/>
        <v>#VALUE!</v>
      </c>
      <c r="V754" s="129">
        <v>0.48543405247081256</v>
      </c>
      <c r="W754" s="130" t="e">
        <f t="shared" si="44"/>
        <v>#VALUE!</v>
      </c>
      <c r="X754" s="129">
        <v>0.48543405247081256</v>
      </c>
      <c r="Y754" s="130" t="e">
        <f t="shared" si="45"/>
        <v>#VALUE!</v>
      </c>
      <c r="Z754" s="129">
        <v>0.48543405247081256</v>
      </c>
      <c r="AA754" s="130" t="e">
        <f t="shared" si="46"/>
        <v>#VALUE!</v>
      </c>
    </row>
    <row r="755" spans="1:27" x14ac:dyDescent="0.3">
      <c r="A755">
        <v>740100</v>
      </c>
      <c r="B755">
        <v>17031740100</v>
      </c>
      <c r="C755">
        <v>17031</v>
      </c>
      <c r="D755">
        <v>2010</v>
      </c>
      <c r="E755">
        <v>74</v>
      </c>
      <c r="F755">
        <v>9690785.7659957595</v>
      </c>
      <c r="G755" s="43">
        <v>0.34760910834179004</v>
      </c>
      <c r="H755" s="58" t="str">
        <f>_xlfn.IFNA(
INDEX(CA!B$2:B$78,MATCH($E755,CA!$A$2:$A$78,0)),
"")</f>
        <v>MOUNT GREENWOOD</v>
      </c>
      <c r="I755" s="60" t="str">
        <f>_xlfn.IFNA(
INDEX(CA!C$2:C$78,MATCH($E755,CA!$A$2:$A$78,0)),
"")</f>
        <v>5-A</v>
      </c>
      <c r="J755" s="60">
        <f>_xlfn.IFNA(
INDEX(CA!D$2:D$78,MATCH($E755,CA!$A$2:$A$78,0)),
"")</f>
        <v>5</v>
      </c>
      <c r="K755" s="58" t="str">
        <f>_xlfn.IFNA(
INDEX(CA!E$2:E$78,MATCH($E755,CA!$A$2:$A$78,0)),
"")</f>
        <v>FAR SOUTH</v>
      </c>
      <c r="L755" s="15" t="e">
        <v>#VALUE!</v>
      </c>
      <c r="M755" s="15" t="e">
        <v>#VALUE!</v>
      </c>
      <c r="N755" s="15" t="e">
        <v>#VALUE!</v>
      </c>
      <c r="O755" s="15" t="e">
        <v>#VALUE!</v>
      </c>
      <c r="P755" s="15" t="e">
        <v>#VALUE!</v>
      </c>
      <c r="Q755" s="15" t="e">
        <v>#VALUE!</v>
      </c>
      <c r="R755" s="15" t="e">
        <v>#VALUE!</v>
      </c>
      <c r="S755" s="15" t="e">
        <v>#VALUE!</v>
      </c>
      <c r="T755" s="129">
        <v>0</v>
      </c>
      <c r="U755" s="130" t="e">
        <f t="shared" si="47"/>
        <v>#VALUE!</v>
      </c>
      <c r="V755" s="129">
        <v>0</v>
      </c>
      <c r="W755" s="130" t="e">
        <f t="shared" si="44"/>
        <v>#VALUE!</v>
      </c>
      <c r="X755" s="129">
        <v>0</v>
      </c>
      <c r="Y755" s="130" t="e">
        <f t="shared" si="45"/>
        <v>#VALUE!</v>
      </c>
      <c r="Z755" s="129">
        <v>0</v>
      </c>
      <c r="AA755" s="130" t="e">
        <f t="shared" si="46"/>
        <v>#VALUE!</v>
      </c>
    </row>
    <row r="756" spans="1:27" x14ac:dyDescent="0.3">
      <c r="A756">
        <v>740400</v>
      </c>
      <c r="B756">
        <v>17031740400</v>
      </c>
      <c r="C756">
        <v>17031</v>
      </c>
      <c r="D756">
        <v>2010</v>
      </c>
      <c r="E756">
        <v>74</v>
      </c>
      <c r="F756">
        <v>30557694.6200043</v>
      </c>
      <c r="G756" s="43">
        <v>1.0961064702423489</v>
      </c>
      <c r="H756" s="58" t="str">
        <f>_xlfn.IFNA(
INDEX(CA!B$2:B$78,MATCH($E756,CA!$A$2:$A$78,0)),
"")</f>
        <v>MOUNT GREENWOOD</v>
      </c>
      <c r="I756" s="60" t="str">
        <f>_xlfn.IFNA(
INDEX(CA!C$2:C$78,MATCH($E756,CA!$A$2:$A$78,0)),
"")</f>
        <v>5-A</v>
      </c>
      <c r="J756" s="60">
        <f>_xlfn.IFNA(
INDEX(CA!D$2:D$78,MATCH($E756,CA!$A$2:$A$78,0)),
"")</f>
        <v>5</v>
      </c>
      <c r="K756" s="58" t="str">
        <f>_xlfn.IFNA(
INDEX(CA!E$2:E$78,MATCH($E756,CA!$A$2:$A$78,0)),
"")</f>
        <v>FAR SOUTH</v>
      </c>
      <c r="L756" s="15" t="e">
        <v>#VALUE!</v>
      </c>
      <c r="M756" s="15" t="e">
        <v>#VALUE!</v>
      </c>
      <c r="N756" s="15" t="e">
        <v>#VALUE!</v>
      </c>
      <c r="O756" s="15" t="e">
        <v>#VALUE!</v>
      </c>
      <c r="P756" s="15" t="e">
        <v>#VALUE!</v>
      </c>
      <c r="Q756" s="15" t="e">
        <v>#VALUE!</v>
      </c>
      <c r="R756" s="15" t="e">
        <v>#VALUE!</v>
      </c>
      <c r="S756" s="15" t="e">
        <v>#VALUE!</v>
      </c>
      <c r="T756" s="129">
        <v>0</v>
      </c>
      <c r="U756" s="130" t="e">
        <f t="shared" si="47"/>
        <v>#VALUE!</v>
      </c>
      <c r="V756" s="129">
        <v>0</v>
      </c>
      <c r="W756" s="130" t="e">
        <f t="shared" si="44"/>
        <v>#VALUE!</v>
      </c>
      <c r="X756" s="129">
        <v>0</v>
      </c>
      <c r="Y756" s="130" t="e">
        <f t="shared" si="45"/>
        <v>#VALUE!</v>
      </c>
      <c r="Z756" s="129">
        <v>0</v>
      </c>
      <c r="AA756" s="130" t="e">
        <f t="shared" si="46"/>
        <v>#VALUE!</v>
      </c>
    </row>
    <row r="757" spans="1:27" x14ac:dyDescent="0.3">
      <c r="A757">
        <v>740200</v>
      </c>
      <c r="B757">
        <v>17031740200</v>
      </c>
      <c r="C757">
        <v>17031</v>
      </c>
      <c r="D757">
        <v>2010</v>
      </c>
      <c r="E757">
        <v>74</v>
      </c>
      <c r="F757">
        <v>21130768.702127598</v>
      </c>
      <c r="G757" s="43">
        <v>0.75796203161327758</v>
      </c>
      <c r="H757" s="58" t="str">
        <f>_xlfn.IFNA(
INDEX(CA!B$2:B$78,MATCH($E757,CA!$A$2:$A$78,0)),
"")</f>
        <v>MOUNT GREENWOOD</v>
      </c>
      <c r="I757" s="60" t="str">
        <f>_xlfn.IFNA(
INDEX(CA!C$2:C$78,MATCH($E757,CA!$A$2:$A$78,0)),
"")</f>
        <v>5-A</v>
      </c>
      <c r="J757" s="60">
        <f>_xlfn.IFNA(
INDEX(CA!D$2:D$78,MATCH($E757,CA!$A$2:$A$78,0)),
"")</f>
        <v>5</v>
      </c>
      <c r="K757" s="58" t="str">
        <f>_xlfn.IFNA(
INDEX(CA!E$2:E$78,MATCH($E757,CA!$A$2:$A$78,0)),
"")</f>
        <v>FAR SOUTH</v>
      </c>
      <c r="L757" s="15" t="e">
        <v>#VALUE!</v>
      </c>
      <c r="M757" s="15" t="e">
        <v>#VALUE!</v>
      </c>
      <c r="N757" s="15" t="e">
        <v>#VALUE!</v>
      </c>
      <c r="O757" s="15" t="e">
        <v>#VALUE!</v>
      </c>
      <c r="P757" s="15" t="e">
        <v>#VALUE!</v>
      </c>
      <c r="Q757" s="15" t="e">
        <v>#VALUE!</v>
      </c>
      <c r="R757" s="15" t="e">
        <v>#VALUE!</v>
      </c>
      <c r="S757" s="15" t="e">
        <v>#VALUE!</v>
      </c>
      <c r="T757" s="129">
        <v>0</v>
      </c>
      <c r="U757" s="130" t="e">
        <f t="shared" si="47"/>
        <v>#VALUE!</v>
      </c>
      <c r="V757" s="129">
        <v>0</v>
      </c>
      <c r="W757" s="130" t="e">
        <f t="shared" si="44"/>
        <v>#VALUE!</v>
      </c>
      <c r="X757" s="129">
        <v>0</v>
      </c>
      <c r="Y757" s="130" t="e">
        <f t="shared" si="45"/>
        <v>#VALUE!</v>
      </c>
      <c r="Z757" s="129">
        <v>0</v>
      </c>
      <c r="AA757" s="130" t="e">
        <f t="shared" si="46"/>
        <v>#VALUE!</v>
      </c>
    </row>
    <row r="758" spans="1:27" x14ac:dyDescent="0.3">
      <c r="A758">
        <v>740300</v>
      </c>
      <c r="B758">
        <v>17031740300</v>
      </c>
      <c r="C758">
        <v>17031</v>
      </c>
      <c r="D758">
        <v>2010</v>
      </c>
      <c r="E758">
        <v>74</v>
      </c>
      <c r="F758">
        <v>14205041.0218793</v>
      </c>
      <c r="G758" s="43">
        <v>0.50953573454284684</v>
      </c>
      <c r="H758" s="58" t="str">
        <f>_xlfn.IFNA(
INDEX(CA!B$2:B$78,MATCH($E758,CA!$A$2:$A$78,0)),
"")</f>
        <v>MOUNT GREENWOOD</v>
      </c>
      <c r="I758" s="60" t="str">
        <f>_xlfn.IFNA(
INDEX(CA!C$2:C$78,MATCH($E758,CA!$A$2:$A$78,0)),
"")</f>
        <v>5-A</v>
      </c>
      <c r="J758" s="60">
        <f>_xlfn.IFNA(
INDEX(CA!D$2:D$78,MATCH($E758,CA!$A$2:$A$78,0)),
"")</f>
        <v>5</v>
      </c>
      <c r="K758" s="58" t="str">
        <f>_xlfn.IFNA(
INDEX(CA!E$2:E$78,MATCH($E758,CA!$A$2:$A$78,0)),
"")</f>
        <v>FAR SOUTH</v>
      </c>
      <c r="L758" s="15" t="e">
        <v>#VALUE!</v>
      </c>
      <c r="M758" s="15" t="e">
        <v>#VALUE!</v>
      </c>
      <c r="N758" s="15" t="e">
        <v>#VALUE!</v>
      </c>
      <c r="O758" s="15" t="e">
        <v>#VALUE!</v>
      </c>
      <c r="P758" s="15" t="e">
        <v>#VALUE!</v>
      </c>
      <c r="Q758" s="15" t="e">
        <v>#VALUE!</v>
      </c>
      <c r="R758" s="15" t="e">
        <v>#VALUE!</v>
      </c>
      <c r="S758" s="15" t="e">
        <v>#VALUE!</v>
      </c>
      <c r="T758" s="129">
        <v>0</v>
      </c>
      <c r="U758" s="130" t="e">
        <f t="shared" si="47"/>
        <v>#VALUE!</v>
      </c>
      <c r="V758" s="129">
        <v>0</v>
      </c>
      <c r="W758" s="130" t="e">
        <f t="shared" si="44"/>
        <v>#VALUE!</v>
      </c>
      <c r="X758" s="129">
        <v>0</v>
      </c>
      <c r="Y758" s="130" t="e">
        <f t="shared" si="45"/>
        <v>#VALUE!</v>
      </c>
      <c r="Z758" s="129">
        <v>0</v>
      </c>
      <c r="AA758" s="130" t="e">
        <f t="shared" si="46"/>
        <v>#VALUE!</v>
      </c>
    </row>
    <row r="759" spans="1:27" x14ac:dyDescent="0.3">
      <c r="A759">
        <v>750100</v>
      </c>
      <c r="B759">
        <v>17031750100</v>
      </c>
      <c r="C759">
        <v>17031</v>
      </c>
      <c r="D759">
        <v>2010</v>
      </c>
      <c r="E759">
        <v>75</v>
      </c>
      <c r="F759">
        <v>13840846.3339082</v>
      </c>
      <c r="G759" s="43">
        <v>0.49647204767519659</v>
      </c>
      <c r="H759" s="58" t="str">
        <f>_xlfn.IFNA(
INDEX(CA!B$2:B$78,MATCH($E759,CA!$A$2:$A$78,0)),
"")</f>
        <v>MORGAN PARK</v>
      </c>
      <c r="I759" s="60" t="str">
        <f>_xlfn.IFNA(
INDEX(CA!C$2:C$78,MATCH($E759,CA!$A$2:$A$78,0)),
"")</f>
        <v>5-B</v>
      </c>
      <c r="J759" s="60">
        <f>_xlfn.IFNA(
INDEX(CA!D$2:D$78,MATCH($E759,CA!$A$2:$A$78,0)),
"")</f>
        <v>5</v>
      </c>
      <c r="K759" s="58" t="str">
        <f>_xlfn.IFNA(
INDEX(CA!E$2:E$78,MATCH($E759,CA!$A$2:$A$78,0)),
"")</f>
        <v>FAR SOUTH</v>
      </c>
      <c r="L759" s="15" t="e">
        <v>#VALUE!</v>
      </c>
      <c r="M759" s="15" t="e">
        <v>#VALUE!</v>
      </c>
      <c r="N759" s="15" t="e">
        <v>#VALUE!</v>
      </c>
      <c r="O759" s="15" t="e">
        <v>#VALUE!</v>
      </c>
      <c r="P759" s="15" t="e">
        <v>#VALUE!</v>
      </c>
      <c r="Q759" s="15" t="e">
        <v>#VALUE!</v>
      </c>
      <c r="R759" s="15" t="e">
        <v>#VALUE!</v>
      </c>
      <c r="S759" s="15" t="e">
        <v>#VALUE!</v>
      </c>
      <c r="T759" s="129">
        <v>0.47157995328050389</v>
      </c>
      <c r="U759" s="130" t="e">
        <f t="shared" si="47"/>
        <v>#VALUE!</v>
      </c>
      <c r="V759" s="129">
        <v>0.47157995328050389</v>
      </c>
      <c r="W759" s="130" t="e">
        <f t="shared" si="44"/>
        <v>#VALUE!</v>
      </c>
      <c r="X759" s="129">
        <v>0.47157995328050389</v>
      </c>
      <c r="Y759" s="130" t="e">
        <f t="shared" si="45"/>
        <v>#VALUE!</v>
      </c>
      <c r="Z759" s="129">
        <v>0.47157995328050389</v>
      </c>
      <c r="AA759" s="130" t="e">
        <f t="shared" si="46"/>
        <v>#VALUE!</v>
      </c>
    </row>
    <row r="760" spans="1:27" x14ac:dyDescent="0.3">
      <c r="A760">
        <v>750200</v>
      </c>
      <c r="B760">
        <v>17031750200</v>
      </c>
      <c r="C760">
        <v>17031</v>
      </c>
      <c r="D760">
        <v>2010</v>
      </c>
      <c r="E760">
        <v>75</v>
      </c>
      <c r="F760">
        <v>14161656.8408351</v>
      </c>
      <c r="G760" s="43">
        <v>0.50797954118009281</v>
      </c>
      <c r="H760" s="58" t="str">
        <f>_xlfn.IFNA(
INDEX(CA!B$2:B$78,MATCH($E760,CA!$A$2:$A$78,0)),
"")</f>
        <v>MORGAN PARK</v>
      </c>
      <c r="I760" s="60" t="str">
        <f>_xlfn.IFNA(
INDEX(CA!C$2:C$78,MATCH($E760,CA!$A$2:$A$78,0)),
"")</f>
        <v>5-B</v>
      </c>
      <c r="J760" s="60">
        <f>_xlfn.IFNA(
INDEX(CA!D$2:D$78,MATCH($E760,CA!$A$2:$A$78,0)),
"")</f>
        <v>5</v>
      </c>
      <c r="K760" s="58" t="str">
        <f>_xlfn.IFNA(
INDEX(CA!E$2:E$78,MATCH($E760,CA!$A$2:$A$78,0)),
"")</f>
        <v>FAR SOUTH</v>
      </c>
      <c r="L760" s="15" t="e">
        <v>#VALUE!</v>
      </c>
      <c r="M760" s="15" t="e">
        <v>#VALUE!</v>
      </c>
      <c r="N760" s="15" t="e">
        <v>#VALUE!</v>
      </c>
      <c r="O760" s="15" t="e">
        <v>#VALUE!</v>
      </c>
      <c r="P760" s="15" t="e">
        <v>#VALUE!</v>
      </c>
      <c r="Q760" s="15" t="e">
        <v>#VALUE!</v>
      </c>
      <c r="R760" s="15" t="e">
        <v>#VALUE!</v>
      </c>
      <c r="S760" s="15" t="e">
        <v>#VALUE!</v>
      </c>
      <c r="T760" s="129">
        <v>2.9864887712243455E-2</v>
      </c>
      <c r="U760" s="130" t="e">
        <f t="shared" si="47"/>
        <v>#VALUE!</v>
      </c>
      <c r="V760" s="129">
        <v>2.9864887712243455E-2</v>
      </c>
      <c r="W760" s="130" t="e">
        <f t="shared" si="44"/>
        <v>#VALUE!</v>
      </c>
      <c r="X760" s="129">
        <v>2.9864887712243455E-2</v>
      </c>
      <c r="Y760" s="130" t="e">
        <f t="shared" si="45"/>
        <v>#VALUE!</v>
      </c>
      <c r="Z760" s="129">
        <v>2.9864887712243455E-2</v>
      </c>
      <c r="AA760" s="130" t="e">
        <f t="shared" si="46"/>
        <v>#VALUE!</v>
      </c>
    </row>
    <row r="761" spans="1:27" x14ac:dyDescent="0.3">
      <c r="A761">
        <v>750300</v>
      </c>
      <c r="B761">
        <v>17031750300</v>
      </c>
      <c r="C761">
        <v>17031</v>
      </c>
      <c r="D761">
        <v>2010</v>
      </c>
      <c r="E761">
        <v>75</v>
      </c>
      <c r="F761">
        <v>7148618.0355098797</v>
      </c>
      <c r="G761" s="43">
        <v>0.25642138844086748</v>
      </c>
      <c r="H761" s="58" t="str">
        <f>_xlfn.IFNA(
INDEX(CA!B$2:B$78,MATCH($E761,CA!$A$2:$A$78,0)),
"")</f>
        <v>MORGAN PARK</v>
      </c>
      <c r="I761" s="60" t="str">
        <f>_xlfn.IFNA(
INDEX(CA!C$2:C$78,MATCH($E761,CA!$A$2:$A$78,0)),
"")</f>
        <v>5-B</v>
      </c>
      <c r="J761" s="60">
        <f>_xlfn.IFNA(
INDEX(CA!D$2:D$78,MATCH($E761,CA!$A$2:$A$78,0)),
"")</f>
        <v>5</v>
      </c>
      <c r="K761" s="58" t="str">
        <f>_xlfn.IFNA(
INDEX(CA!E$2:E$78,MATCH($E761,CA!$A$2:$A$78,0)),
"")</f>
        <v>FAR SOUTH</v>
      </c>
      <c r="L761" s="15" t="e">
        <v>#VALUE!</v>
      </c>
      <c r="M761" s="15" t="e">
        <v>#VALUE!</v>
      </c>
      <c r="N761" s="15" t="e">
        <v>#VALUE!</v>
      </c>
      <c r="O761" s="15" t="e">
        <v>#VALUE!</v>
      </c>
      <c r="P761" s="15" t="e">
        <v>#VALUE!</v>
      </c>
      <c r="Q761" s="15" t="e">
        <v>#VALUE!</v>
      </c>
      <c r="R761" s="15" t="e">
        <v>#VALUE!</v>
      </c>
      <c r="S761" s="15" t="e">
        <v>#VALUE!</v>
      </c>
      <c r="T761" s="129">
        <v>0</v>
      </c>
      <c r="U761" s="130" t="e">
        <f t="shared" si="47"/>
        <v>#VALUE!</v>
      </c>
      <c r="V761" s="129">
        <v>0</v>
      </c>
      <c r="W761" s="130" t="e">
        <f t="shared" si="44"/>
        <v>#VALUE!</v>
      </c>
      <c r="X761" s="129">
        <v>0</v>
      </c>
      <c r="Y761" s="130" t="e">
        <f t="shared" si="45"/>
        <v>#VALUE!</v>
      </c>
      <c r="Z761" s="129">
        <v>0</v>
      </c>
      <c r="AA761" s="130" t="e">
        <f t="shared" si="46"/>
        <v>#VALUE!</v>
      </c>
    </row>
    <row r="762" spans="1:27" x14ac:dyDescent="0.3">
      <c r="A762">
        <v>750600</v>
      </c>
      <c r="B762">
        <v>17031750600</v>
      </c>
      <c r="C762">
        <v>17031</v>
      </c>
      <c r="D762">
        <v>2010</v>
      </c>
      <c r="E762">
        <v>75</v>
      </c>
      <c r="F762">
        <v>14168841.220842</v>
      </c>
      <c r="G762" s="43">
        <v>0.50823724535274617</v>
      </c>
      <c r="H762" s="58" t="str">
        <f>_xlfn.IFNA(
INDEX(CA!B$2:B$78,MATCH($E762,CA!$A$2:$A$78,0)),
"")</f>
        <v>MORGAN PARK</v>
      </c>
      <c r="I762" s="60" t="str">
        <f>_xlfn.IFNA(
INDEX(CA!C$2:C$78,MATCH($E762,CA!$A$2:$A$78,0)),
"")</f>
        <v>5-B</v>
      </c>
      <c r="J762" s="60">
        <f>_xlfn.IFNA(
INDEX(CA!D$2:D$78,MATCH($E762,CA!$A$2:$A$78,0)),
"")</f>
        <v>5</v>
      </c>
      <c r="K762" s="58" t="str">
        <f>_xlfn.IFNA(
INDEX(CA!E$2:E$78,MATCH($E762,CA!$A$2:$A$78,0)),
"")</f>
        <v>FAR SOUTH</v>
      </c>
      <c r="L762" s="15" t="e">
        <v>#VALUE!</v>
      </c>
      <c r="M762" s="15" t="e">
        <v>#VALUE!</v>
      </c>
      <c r="N762" s="15" t="e">
        <v>#VALUE!</v>
      </c>
      <c r="O762" s="15" t="e">
        <v>#VALUE!</v>
      </c>
      <c r="P762" s="15" t="e">
        <v>#VALUE!</v>
      </c>
      <c r="Q762" s="15" t="e">
        <v>#VALUE!</v>
      </c>
      <c r="R762" s="15" t="e">
        <v>#VALUE!</v>
      </c>
      <c r="S762" s="15" t="e">
        <v>#VALUE!</v>
      </c>
      <c r="T762" s="129">
        <v>0.39320734784168032</v>
      </c>
      <c r="U762" s="130" t="e">
        <f t="shared" si="47"/>
        <v>#VALUE!</v>
      </c>
      <c r="V762" s="129">
        <v>0.39320734784168032</v>
      </c>
      <c r="W762" s="130" t="e">
        <f t="shared" si="44"/>
        <v>#VALUE!</v>
      </c>
      <c r="X762" s="129">
        <v>0.39320734784168032</v>
      </c>
      <c r="Y762" s="130" t="e">
        <f t="shared" si="45"/>
        <v>#VALUE!</v>
      </c>
      <c r="Z762" s="129">
        <v>0.39320734784168032</v>
      </c>
      <c r="AA762" s="130" t="e">
        <f t="shared" si="46"/>
        <v>#VALUE!</v>
      </c>
    </row>
    <row r="763" spans="1:27" x14ac:dyDescent="0.3">
      <c r="A763">
        <v>750400</v>
      </c>
      <c r="B763">
        <v>17031750400</v>
      </c>
      <c r="C763">
        <v>17031</v>
      </c>
      <c r="D763">
        <v>2010</v>
      </c>
      <c r="E763">
        <v>75</v>
      </c>
      <c r="F763">
        <v>10636033.971451901</v>
      </c>
      <c r="G763" s="43">
        <v>0.38151522223125794</v>
      </c>
      <c r="H763" s="58" t="str">
        <f>_xlfn.IFNA(
INDEX(CA!B$2:B$78,MATCH($E763,CA!$A$2:$A$78,0)),
"")</f>
        <v>MORGAN PARK</v>
      </c>
      <c r="I763" s="60" t="str">
        <f>_xlfn.IFNA(
INDEX(CA!C$2:C$78,MATCH($E763,CA!$A$2:$A$78,0)),
"")</f>
        <v>5-B</v>
      </c>
      <c r="J763" s="60">
        <f>_xlfn.IFNA(
INDEX(CA!D$2:D$78,MATCH($E763,CA!$A$2:$A$78,0)),
"")</f>
        <v>5</v>
      </c>
      <c r="K763" s="58" t="str">
        <f>_xlfn.IFNA(
INDEX(CA!E$2:E$78,MATCH($E763,CA!$A$2:$A$78,0)),
"")</f>
        <v>FAR SOUTH</v>
      </c>
      <c r="L763" s="15" t="e">
        <v>#VALUE!</v>
      </c>
      <c r="M763" s="15" t="e">
        <v>#VALUE!</v>
      </c>
      <c r="N763" s="15" t="e">
        <v>#VALUE!</v>
      </c>
      <c r="O763" s="15" t="e">
        <v>#VALUE!</v>
      </c>
      <c r="P763" s="15" t="e">
        <v>#VALUE!</v>
      </c>
      <c r="Q763" s="15" t="e">
        <v>#VALUE!</v>
      </c>
      <c r="R763" s="15" t="e">
        <v>#VALUE!</v>
      </c>
      <c r="S763" s="15" t="e">
        <v>#VALUE!</v>
      </c>
      <c r="T763" s="129">
        <v>0</v>
      </c>
      <c r="U763" s="130" t="e">
        <f t="shared" si="47"/>
        <v>#VALUE!</v>
      </c>
      <c r="V763" s="129">
        <v>0</v>
      </c>
      <c r="W763" s="130" t="e">
        <f t="shared" si="44"/>
        <v>#VALUE!</v>
      </c>
      <c r="X763" s="129">
        <v>0</v>
      </c>
      <c r="Y763" s="130" t="e">
        <f t="shared" si="45"/>
        <v>#VALUE!</v>
      </c>
      <c r="Z763" s="129">
        <v>0</v>
      </c>
      <c r="AA763" s="130" t="e">
        <f t="shared" si="46"/>
        <v>#VALUE!</v>
      </c>
    </row>
    <row r="764" spans="1:27" x14ac:dyDescent="0.3">
      <c r="A764">
        <v>750500</v>
      </c>
      <c r="B764">
        <v>17031750500</v>
      </c>
      <c r="C764">
        <v>17031</v>
      </c>
      <c r="D764">
        <v>2010</v>
      </c>
      <c r="E764">
        <v>75</v>
      </c>
      <c r="F764">
        <v>28278716.151193202</v>
      </c>
      <c r="G764" s="43">
        <v>1.0143593660752841</v>
      </c>
      <c r="H764" s="58" t="str">
        <f>_xlfn.IFNA(
INDEX(CA!B$2:B$78,MATCH($E764,CA!$A$2:$A$78,0)),
"")</f>
        <v>MORGAN PARK</v>
      </c>
      <c r="I764" s="60" t="str">
        <f>_xlfn.IFNA(
INDEX(CA!C$2:C$78,MATCH($E764,CA!$A$2:$A$78,0)),
"")</f>
        <v>5-B</v>
      </c>
      <c r="J764" s="60">
        <f>_xlfn.IFNA(
INDEX(CA!D$2:D$78,MATCH($E764,CA!$A$2:$A$78,0)),
"")</f>
        <v>5</v>
      </c>
      <c r="K764" s="58" t="str">
        <f>_xlfn.IFNA(
INDEX(CA!E$2:E$78,MATCH($E764,CA!$A$2:$A$78,0)),
"")</f>
        <v>FAR SOUTH</v>
      </c>
      <c r="L764" s="15" t="e">
        <v>#VALUE!</v>
      </c>
      <c r="M764" s="15" t="e">
        <v>#VALUE!</v>
      </c>
      <c r="N764" s="15" t="e">
        <v>#VALUE!</v>
      </c>
      <c r="O764" s="15" t="e">
        <v>#VALUE!</v>
      </c>
      <c r="P764" s="15" t="e">
        <v>#VALUE!</v>
      </c>
      <c r="Q764" s="15" t="e">
        <v>#VALUE!</v>
      </c>
      <c r="R764" s="15" t="e">
        <v>#VALUE!</v>
      </c>
      <c r="S764" s="15" t="e">
        <v>#VALUE!</v>
      </c>
      <c r="T764" s="129">
        <v>0</v>
      </c>
      <c r="U764" s="130" t="e">
        <f t="shared" si="47"/>
        <v>#VALUE!</v>
      </c>
      <c r="V764" s="129">
        <v>0</v>
      </c>
      <c r="W764" s="130" t="e">
        <f t="shared" si="44"/>
        <v>#VALUE!</v>
      </c>
      <c r="X764" s="129">
        <v>0</v>
      </c>
      <c r="Y764" s="130" t="e">
        <f t="shared" si="45"/>
        <v>#VALUE!</v>
      </c>
      <c r="Z764" s="129">
        <v>0</v>
      </c>
      <c r="AA764" s="130" t="e">
        <f t="shared" si="46"/>
        <v>#VALUE!</v>
      </c>
    </row>
    <row r="765" spans="1:27" x14ac:dyDescent="0.3">
      <c r="A765">
        <v>840801</v>
      </c>
      <c r="B765">
        <v>17043840801</v>
      </c>
      <c r="C765">
        <v>17043</v>
      </c>
      <c r="D765">
        <v>2010</v>
      </c>
      <c r="E765">
        <v>76</v>
      </c>
      <c r="F765">
        <v>1731679.5908878001</v>
      </c>
      <c r="G765" s="43">
        <v>6.2115458236046549E-2</v>
      </c>
      <c r="H765" s="58" t="str">
        <f>_xlfn.IFNA(
INDEX(CA!B$2:B$78,MATCH($E765,CA!$A$2:$A$78,0)),
"")</f>
        <v>OHARE</v>
      </c>
      <c r="I765" s="60" t="str">
        <f>_xlfn.IFNA(
INDEX(CA!C$2:C$78,MATCH($E765,CA!$A$2:$A$78,0)),
"")</f>
        <v>2-C</v>
      </c>
      <c r="J765" s="60">
        <f>_xlfn.IFNA(
INDEX(CA!D$2:D$78,MATCH($E765,CA!$A$2:$A$78,0)),
"")</f>
        <v>2</v>
      </c>
      <c r="K765" s="58" t="str">
        <f>_xlfn.IFNA(
INDEX(CA!E$2:E$78,MATCH($E765,CA!$A$2:$A$78,0)),
"")</f>
        <v>NORTHWEST</v>
      </c>
      <c r="L765" s="15" t="e">
        <v>#VALUE!</v>
      </c>
      <c r="M765" s="15" t="e">
        <v>#VALUE!</v>
      </c>
      <c r="N765" s="15" t="e">
        <v>#VALUE!</v>
      </c>
      <c r="O765" s="15" t="e">
        <v>#VALUE!</v>
      </c>
      <c r="P765" s="15" t="e">
        <v>#VALUE!</v>
      </c>
      <c r="Q765" s="15" t="e">
        <v>#VALUE!</v>
      </c>
      <c r="R765" s="15" t="e">
        <v>#VALUE!</v>
      </c>
      <c r="S765" s="15" t="e">
        <v>#VALUE!</v>
      </c>
      <c r="T765" s="129">
        <v>0</v>
      </c>
      <c r="U765" s="130" t="e">
        <f t="shared" si="47"/>
        <v>#VALUE!</v>
      </c>
      <c r="V765" s="129">
        <v>0</v>
      </c>
      <c r="W765" s="130" t="e">
        <f t="shared" si="44"/>
        <v>#VALUE!</v>
      </c>
      <c r="X765" s="129">
        <v>0</v>
      </c>
      <c r="Y765" s="130" t="e">
        <f t="shared" si="45"/>
        <v>#VALUE!</v>
      </c>
      <c r="Z765" s="129">
        <v>0</v>
      </c>
      <c r="AA765" s="130" t="e">
        <f t="shared" si="46"/>
        <v>#VALUE!</v>
      </c>
    </row>
    <row r="766" spans="1:27" x14ac:dyDescent="0.3">
      <c r="A766">
        <v>760803</v>
      </c>
      <c r="B766">
        <v>17031760803</v>
      </c>
      <c r="C766">
        <v>17031</v>
      </c>
      <c r="D766">
        <v>2010</v>
      </c>
      <c r="E766">
        <v>76</v>
      </c>
      <c r="F766">
        <v>8480016.3826671503</v>
      </c>
      <c r="G766" s="43">
        <v>0.30417873273455975</v>
      </c>
      <c r="H766" s="58" t="str">
        <f>_xlfn.IFNA(
INDEX(CA!B$2:B$78,MATCH($E766,CA!$A$2:$A$78,0)),
"")</f>
        <v>OHARE</v>
      </c>
      <c r="I766" s="60" t="str">
        <f>_xlfn.IFNA(
INDEX(CA!C$2:C$78,MATCH($E766,CA!$A$2:$A$78,0)),
"")</f>
        <v>2-C</v>
      </c>
      <c r="J766" s="60">
        <f>_xlfn.IFNA(
INDEX(CA!D$2:D$78,MATCH($E766,CA!$A$2:$A$78,0)),
"")</f>
        <v>2</v>
      </c>
      <c r="K766" s="58" t="str">
        <f>_xlfn.IFNA(
INDEX(CA!E$2:E$78,MATCH($E766,CA!$A$2:$A$78,0)),
"")</f>
        <v>NORTHWEST</v>
      </c>
      <c r="L766" s="15" t="e">
        <v>#VALUE!</v>
      </c>
      <c r="M766" s="15" t="e">
        <v>#VALUE!</v>
      </c>
      <c r="N766" s="15" t="e">
        <v>#VALUE!</v>
      </c>
      <c r="O766" s="15" t="e">
        <v>#VALUE!</v>
      </c>
      <c r="P766" s="15" t="e">
        <v>#VALUE!</v>
      </c>
      <c r="Q766" s="15" t="e">
        <v>#VALUE!</v>
      </c>
      <c r="R766" s="15" t="e">
        <v>#VALUE!</v>
      </c>
      <c r="S766" s="15" t="e">
        <v>#VALUE!</v>
      </c>
      <c r="T766" s="129">
        <v>0</v>
      </c>
      <c r="U766" s="130" t="e">
        <f t="shared" si="47"/>
        <v>#VALUE!</v>
      </c>
      <c r="V766" s="129">
        <v>0</v>
      </c>
      <c r="W766" s="130" t="e">
        <f t="shared" si="44"/>
        <v>#VALUE!</v>
      </c>
      <c r="X766" s="129">
        <v>0</v>
      </c>
      <c r="Y766" s="130" t="e">
        <f t="shared" si="45"/>
        <v>#VALUE!</v>
      </c>
      <c r="Z766" s="129">
        <v>0</v>
      </c>
      <c r="AA766" s="130" t="e">
        <f t="shared" si="46"/>
        <v>#VALUE!</v>
      </c>
    </row>
    <row r="767" spans="1:27" x14ac:dyDescent="0.3">
      <c r="A767">
        <v>770602</v>
      </c>
      <c r="B767">
        <v>17031770602</v>
      </c>
      <c r="C767">
        <v>17031</v>
      </c>
      <c r="D767">
        <v>2010</v>
      </c>
      <c r="E767">
        <v>76</v>
      </c>
      <c r="F767">
        <v>7326046.2701726202</v>
      </c>
      <c r="G767" s="43">
        <v>0.26278575062315701</v>
      </c>
      <c r="H767" s="58" t="str">
        <f>_xlfn.IFNA(
INDEX(CA!B$2:B$78,MATCH($E767,CA!$A$2:$A$78,0)),
"")</f>
        <v>OHARE</v>
      </c>
      <c r="I767" s="60" t="str">
        <f>_xlfn.IFNA(
INDEX(CA!C$2:C$78,MATCH($E767,CA!$A$2:$A$78,0)),
"")</f>
        <v>2-C</v>
      </c>
      <c r="J767" s="60">
        <f>_xlfn.IFNA(
INDEX(CA!D$2:D$78,MATCH($E767,CA!$A$2:$A$78,0)),
"")</f>
        <v>2</v>
      </c>
      <c r="K767" s="58" t="str">
        <f>_xlfn.IFNA(
INDEX(CA!E$2:E$78,MATCH($E767,CA!$A$2:$A$78,0)),
"")</f>
        <v>NORTHWEST</v>
      </c>
      <c r="L767" s="15" t="e">
        <v>#VALUE!</v>
      </c>
      <c r="M767" s="15" t="e">
        <v>#VALUE!</v>
      </c>
      <c r="N767" s="15" t="e">
        <v>#VALUE!</v>
      </c>
      <c r="O767" s="15" t="e">
        <v>#VALUE!</v>
      </c>
      <c r="P767" s="15" t="e">
        <v>#VALUE!</v>
      </c>
      <c r="Q767" s="15" t="e">
        <v>#VALUE!</v>
      </c>
      <c r="R767" s="15" t="e">
        <v>#VALUE!</v>
      </c>
      <c r="S767" s="15" t="e">
        <v>#VALUE!</v>
      </c>
      <c r="T767" s="129">
        <v>0</v>
      </c>
      <c r="U767" s="130" t="e">
        <f t="shared" si="47"/>
        <v>#VALUE!</v>
      </c>
      <c r="V767" s="129">
        <v>0</v>
      </c>
      <c r="W767" s="130" t="e">
        <f t="shared" si="44"/>
        <v>#VALUE!</v>
      </c>
      <c r="X767" s="129">
        <v>0</v>
      </c>
      <c r="Y767" s="130" t="e">
        <f t="shared" si="45"/>
        <v>#VALUE!</v>
      </c>
      <c r="Z767" s="129">
        <v>0</v>
      </c>
      <c r="AA767" s="130" t="e">
        <f t="shared" si="46"/>
        <v>#VALUE!</v>
      </c>
    </row>
    <row r="768" spans="1:27" x14ac:dyDescent="0.3">
      <c r="A768">
        <v>770700</v>
      </c>
      <c r="B768">
        <v>17031770700</v>
      </c>
      <c r="C768">
        <v>17031</v>
      </c>
      <c r="D768">
        <v>2010</v>
      </c>
      <c r="E768">
        <v>76</v>
      </c>
      <c r="F768">
        <v>7873683.6529753404</v>
      </c>
      <c r="G768" s="43">
        <v>0.28242953874595889</v>
      </c>
      <c r="H768" s="58" t="str">
        <f>_xlfn.IFNA(
INDEX(CA!B$2:B$78,MATCH($E768,CA!$A$2:$A$78,0)),
"")</f>
        <v>OHARE</v>
      </c>
      <c r="I768" s="60" t="str">
        <f>_xlfn.IFNA(
INDEX(CA!C$2:C$78,MATCH($E768,CA!$A$2:$A$78,0)),
"")</f>
        <v>2-C</v>
      </c>
      <c r="J768" s="60">
        <f>_xlfn.IFNA(
INDEX(CA!D$2:D$78,MATCH($E768,CA!$A$2:$A$78,0)),
"")</f>
        <v>2</v>
      </c>
      <c r="K768" s="58" t="str">
        <f>_xlfn.IFNA(
INDEX(CA!E$2:E$78,MATCH($E768,CA!$A$2:$A$78,0)),
"")</f>
        <v>NORTHWEST</v>
      </c>
      <c r="L768" s="15" t="e">
        <v>#VALUE!</v>
      </c>
      <c r="M768" s="15" t="e">
        <v>#VALUE!</v>
      </c>
      <c r="N768" s="15" t="e">
        <v>#VALUE!</v>
      </c>
      <c r="O768" s="15" t="e">
        <v>#VALUE!</v>
      </c>
      <c r="P768" s="15" t="e">
        <v>#VALUE!</v>
      </c>
      <c r="Q768" s="15" t="e">
        <v>#VALUE!</v>
      </c>
      <c r="R768" s="15" t="e">
        <v>#VALUE!</v>
      </c>
      <c r="S768" s="15" t="e">
        <v>#VALUE!</v>
      </c>
      <c r="T768" s="129">
        <v>0</v>
      </c>
      <c r="U768" s="130" t="e">
        <f t="shared" si="47"/>
        <v>#VALUE!</v>
      </c>
      <c r="V768" s="129">
        <v>0</v>
      </c>
      <c r="W768" s="130" t="e">
        <f t="shared" si="44"/>
        <v>#VALUE!</v>
      </c>
      <c r="X768" s="129">
        <v>0</v>
      </c>
      <c r="Y768" s="130" t="e">
        <f t="shared" si="45"/>
        <v>#VALUE!</v>
      </c>
      <c r="Z768" s="129">
        <v>0</v>
      </c>
      <c r="AA768" s="130" t="e">
        <f t="shared" si="46"/>
        <v>#VALUE!</v>
      </c>
    </row>
    <row r="769" spans="1:27" x14ac:dyDescent="0.3">
      <c r="A769">
        <v>840000</v>
      </c>
      <c r="B769">
        <v>17043840000</v>
      </c>
      <c r="C769">
        <v>17043</v>
      </c>
      <c r="D769">
        <v>2010</v>
      </c>
      <c r="E769">
        <v>76</v>
      </c>
      <c r="F769">
        <v>62536846.248033702</v>
      </c>
      <c r="G769" s="43">
        <v>2.243200694732614</v>
      </c>
      <c r="H769" s="58" t="str">
        <f>_xlfn.IFNA(
INDEX(CA!B$2:B$78,MATCH($E769,CA!$A$2:$A$78,0)),
"")</f>
        <v>OHARE</v>
      </c>
      <c r="I769" s="60" t="str">
        <f>_xlfn.IFNA(
INDEX(CA!C$2:C$78,MATCH($E769,CA!$A$2:$A$78,0)),
"")</f>
        <v>2-C</v>
      </c>
      <c r="J769" s="60">
        <f>_xlfn.IFNA(
INDEX(CA!D$2:D$78,MATCH($E769,CA!$A$2:$A$78,0)),
"")</f>
        <v>2</v>
      </c>
      <c r="K769" s="58" t="str">
        <f>_xlfn.IFNA(
INDEX(CA!E$2:E$78,MATCH($E769,CA!$A$2:$A$78,0)),
"")</f>
        <v>NORTHWEST</v>
      </c>
      <c r="L769" s="15" t="e">
        <v>#VALUE!</v>
      </c>
      <c r="M769" s="15" t="e">
        <v>#VALUE!</v>
      </c>
      <c r="N769" s="15" t="e">
        <v>#VALUE!</v>
      </c>
      <c r="O769" s="15" t="e">
        <v>#VALUE!</v>
      </c>
      <c r="P769" s="15" t="e">
        <v>#VALUE!</v>
      </c>
      <c r="Q769" s="15" t="e">
        <v>#VALUE!</v>
      </c>
      <c r="R769" s="15" t="e">
        <v>#VALUE!</v>
      </c>
      <c r="S769" s="15" t="e">
        <v>#VALUE!</v>
      </c>
      <c r="T769" s="129">
        <v>0</v>
      </c>
      <c r="U769" s="130" t="e">
        <f t="shared" si="47"/>
        <v>#VALUE!</v>
      </c>
      <c r="V769" s="129">
        <v>0</v>
      </c>
      <c r="W769" s="130" t="e">
        <f t="shared" si="44"/>
        <v>#VALUE!</v>
      </c>
      <c r="X769" s="129">
        <v>0</v>
      </c>
      <c r="Y769" s="130" t="e">
        <f t="shared" si="45"/>
        <v>#VALUE!</v>
      </c>
      <c r="Z769" s="129">
        <v>0</v>
      </c>
      <c r="AA769" s="130" t="e">
        <f t="shared" si="46"/>
        <v>#VALUE!</v>
      </c>
    </row>
    <row r="770" spans="1:27" x14ac:dyDescent="0.3">
      <c r="A770">
        <v>760801</v>
      </c>
      <c r="B770">
        <v>17031760801</v>
      </c>
      <c r="C770">
        <v>17031</v>
      </c>
      <c r="D770">
        <v>2010</v>
      </c>
      <c r="E770">
        <v>76</v>
      </c>
      <c r="F770">
        <v>14163976.501542199</v>
      </c>
      <c r="G770" s="43">
        <v>0.50806274755876235</v>
      </c>
      <c r="H770" s="58" t="str">
        <f>_xlfn.IFNA(
INDEX(CA!B$2:B$78,MATCH($E770,CA!$A$2:$A$78,0)),
"")</f>
        <v>OHARE</v>
      </c>
      <c r="I770" s="60" t="str">
        <f>_xlfn.IFNA(
INDEX(CA!C$2:C$78,MATCH($E770,CA!$A$2:$A$78,0)),
"")</f>
        <v>2-C</v>
      </c>
      <c r="J770" s="60">
        <f>_xlfn.IFNA(
INDEX(CA!D$2:D$78,MATCH($E770,CA!$A$2:$A$78,0)),
"")</f>
        <v>2</v>
      </c>
      <c r="K770" s="58" t="str">
        <f>_xlfn.IFNA(
INDEX(CA!E$2:E$78,MATCH($E770,CA!$A$2:$A$78,0)),
"")</f>
        <v>NORTHWEST</v>
      </c>
      <c r="L770" s="15" t="e">
        <v>#VALUE!</v>
      </c>
      <c r="M770" s="15" t="e">
        <v>#VALUE!</v>
      </c>
      <c r="N770" s="15" t="e">
        <v>#VALUE!</v>
      </c>
      <c r="O770" s="15" t="e">
        <v>#VALUE!</v>
      </c>
      <c r="P770" s="15" t="e">
        <v>#VALUE!</v>
      </c>
      <c r="Q770" s="15" t="e">
        <v>#VALUE!</v>
      </c>
      <c r="R770" s="15" t="e">
        <v>#VALUE!</v>
      </c>
      <c r="S770" s="15" t="e">
        <v>#VALUE!</v>
      </c>
      <c r="T770" s="129">
        <v>0</v>
      </c>
      <c r="U770" s="130" t="e">
        <f t="shared" si="47"/>
        <v>#VALUE!</v>
      </c>
      <c r="V770" s="129">
        <v>0</v>
      </c>
      <c r="W770" s="130" t="e">
        <f t="shared" si="44"/>
        <v>#VALUE!</v>
      </c>
      <c r="X770" s="129">
        <v>0</v>
      </c>
      <c r="Y770" s="130" t="e">
        <f t="shared" si="45"/>
        <v>#VALUE!</v>
      </c>
      <c r="Z770" s="129">
        <v>0</v>
      </c>
      <c r="AA770" s="130" t="e">
        <f t="shared" si="46"/>
        <v>#VALUE!</v>
      </c>
    </row>
    <row r="771" spans="1:27" x14ac:dyDescent="0.3">
      <c r="A771">
        <v>760802</v>
      </c>
      <c r="B771">
        <v>17031760802</v>
      </c>
      <c r="C771">
        <v>17031</v>
      </c>
      <c r="D771">
        <v>2010</v>
      </c>
      <c r="E771">
        <v>76</v>
      </c>
      <c r="F771">
        <v>65907708.351389199</v>
      </c>
      <c r="G771" s="43">
        <v>2.3641137350561436</v>
      </c>
      <c r="H771" s="58" t="str">
        <f>_xlfn.IFNA(
INDEX(CA!B$2:B$78,MATCH($E771,CA!$A$2:$A$78,0)),
"")</f>
        <v>OHARE</v>
      </c>
      <c r="I771" s="60" t="str">
        <f>_xlfn.IFNA(
INDEX(CA!C$2:C$78,MATCH($E771,CA!$A$2:$A$78,0)),
"")</f>
        <v>2-C</v>
      </c>
      <c r="J771" s="60">
        <f>_xlfn.IFNA(
INDEX(CA!D$2:D$78,MATCH($E771,CA!$A$2:$A$78,0)),
"")</f>
        <v>2</v>
      </c>
      <c r="K771" s="58" t="str">
        <f>_xlfn.IFNA(
INDEX(CA!E$2:E$78,MATCH($E771,CA!$A$2:$A$78,0)),
"")</f>
        <v>NORTHWEST</v>
      </c>
      <c r="L771" s="15" t="e">
        <v>#VALUE!</v>
      </c>
      <c r="M771" s="15" t="e">
        <v>#VALUE!</v>
      </c>
      <c r="N771" s="15" t="e">
        <v>#VALUE!</v>
      </c>
      <c r="O771" s="15" t="e">
        <v>#VALUE!</v>
      </c>
      <c r="P771" s="15" t="e">
        <v>#VALUE!</v>
      </c>
      <c r="Q771" s="15" t="e">
        <v>#VALUE!</v>
      </c>
      <c r="R771" s="15" t="e">
        <v>#VALUE!</v>
      </c>
      <c r="S771" s="15" t="e">
        <v>#VALUE!</v>
      </c>
      <c r="T771" s="129">
        <v>0</v>
      </c>
      <c r="U771" s="130" t="e">
        <f t="shared" si="47"/>
        <v>#VALUE!</v>
      </c>
      <c r="V771" s="129">
        <v>0</v>
      </c>
      <c r="W771" s="130" t="e">
        <f t="shared" si="44"/>
        <v>#VALUE!</v>
      </c>
      <c r="X771" s="129">
        <v>0</v>
      </c>
      <c r="Y771" s="130" t="e">
        <f t="shared" si="45"/>
        <v>#VALUE!</v>
      </c>
      <c r="Z771" s="129">
        <v>0</v>
      </c>
      <c r="AA771" s="130" t="e">
        <f t="shared" si="46"/>
        <v>#VALUE!</v>
      </c>
    </row>
    <row r="772" spans="1:27" x14ac:dyDescent="0.3">
      <c r="A772">
        <v>980000</v>
      </c>
      <c r="B772">
        <v>17031980000</v>
      </c>
      <c r="C772">
        <v>17031</v>
      </c>
      <c r="D772">
        <v>2010</v>
      </c>
      <c r="E772">
        <v>76</v>
      </c>
      <c r="F772">
        <v>203644110.545816</v>
      </c>
      <c r="G772" s="43">
        <v>7.3047273353498055</v>
      </c>
      <c r="H772" s="58" t="str">
        <f>_xlfn.IFNA(
INDEX(CA!B$2:B$78,MATCH($E772,CA!$A$2:$A$78,0)),
"")</f>
        <v>OHARE</v>
      </c>
      <c r="I772" s="60" t="str">
        <f>_xlfn.IFNA(
INDEX(CA!C$2:C$78,MATCH($E772,CA!$A$2:$A$78,0)),
"")</f>
        <v>2-C</v>
      </c>
      <c r="J772" s="60">
        <f>_xlfn.IFNA(
INDEX(CA!D$2:D$78,MATCH($E772,CA!$A$2:$A$78,0)),
"")</f>
        <v>2</v>
      </c>
      <c r="K772" s="58" t="str">
        <f>_xlfn.IFNA(
INDEX(CA!E$2:E$78,MATCH($E772,CA!$A$2:$A$78,0)),
"")</f>
        <v>NORTHWEST</v>
      </c>
      <c r="L772" s="15" t="e">
        <v>#VALUE!</v>
      </c>
      <c r="M772" s="15" t="e">
        <v>#VALUE!</v>
      </c>
      <c r="N772" s="15" t="e">
        <v>#VALUE!</v>
      </c>
      <c r="O772" s="15" t="e">
        <v>#VALUE!</v>
      </c>
      <c r="P772" s="15" t="e">
        <v>#VALUE!</v>
      </c>
      <c r="Q772" s="15" t="e">
        <v>#VALUE!</v>
      </c>
      <c r="R772" s="15" t="e">
        <v>#VALUE!</v>
      </c>
      <c r="S772" s="15" t="e">
        <v>#VALUE!</v>
      </c>
      <c r="T772" s="129">
        <v>0</v>
      </c>
      <c r="U772" s="130" t="e">
        <f t="shared" si="47"/>
        <v>#VALUE!</v>
      </c>
      <c r="V772" s="129">
        <v>0</v>
      </c>
      <c r="W772" s="130" t="e">
        <f t="shared" si="44"/>
        <v>#VALUE!</v>
      </c>
      <c r="X772" s="129">
        <v>0</v>
      </c>
      <c r="Y772" s="130" t="e">
        <f t="shared" si="45"/>
        <v>#VALUE!</v>
      </c>
      <c r="Z772" s="129">
        <v>0</v>
      </c>
      <c r="AA772" s="130" t="e">
        <f t="shared" si="46"/>
        <v>#VALUE!</v>
      </c>
    </row>
    <row r="773" spans="1:27" x14ac:dyDescent="0.3">
      <c r="A773">
        <v>770902</v>
      </c>
      <c r="B773">
        <v>17031770902</v>
      </c>
      <c r="C773">
        <v>17031</v>
      </c>
      <c r="D773">
        <v>2010</v>
      </c>
      <c r="E773">
        <v>76</v>
      </c>
      <c r="F773">
        <v>171540.01189602001</v>
      </c>
      <c r="G773" s="43">
        <v>6.1531512531572833E-3</v>
      </c>
      <c r="H773" s="58" t="str">
        <f>_xlfn.IFNA(
INDEX(CA!B$2:B$78,MATCH($E773,CA!$A$2:$A$78,0)),
"")</f>
        <v>OHARE</v>
      </c>
      <c r="I773" s="60" t="str">
        <f>_xlfn.IFNA(
INDEX(CA!C$2:C$78,MATCH($E773,CA!$A$2:$A$78,0)),
"")</f>
        <v>2-C</v>
      </c>
      <c r="J773" s="60">
        <f>_xlfn.IFNA(
INDEX(CA!D$2:D$78,MATCH($E773,CA!$A$2:$A$78,0)),
"")</f>
        <v>2</v>
      </c>
      <c r="K773" s="58" t="str">
        <f>_xlfn.IFNA(
INDEX(CA!E$2:E$78,MATCH($E773,CA!$A$2:$A$78,0)),
"")</f>
        <v>NORTHWEST</v>
      </c>
      <c r="L773" s="15" t="e">
        <v>#VALUE!</v>
      </c>
      <c r="M773" s="15" t="e">
        <v>#VALUE!</v>
      </c>
      <c r="N773" s="15" t="e">
        <v>#VALUE!</v>
      </c>
      <c r="O773" s="15" t="e">
        <v>#VALUE!</v>
      </c>
      <c r="P773" s="15" t="e">
        <v>#VALUE!</v>
      </c>
      <c r="Q773" s="15" t="e">
        <v>#VALUE!</v>
      </c>
      <c r="R773" s="15" t="e">
        <v>#VALUE!</v>
      </c>
      <c r="S773" s="15" t="e">
        <v>#VALUE!</v>
      </c>
      <c r="T773" s="129">
        <v>0</v>
      </c>
      <c r="U773" s="130" t="e">
        <f t="shared" si="47"/>
        <v>#VALUE!</v>
      </c>
      <c r="V773" s="129">
        <v>0</v>
      </c>
      <c r="W773" s="130" t="e">
        <f t="shared" si="44"/>
        <v>#VALUE!</v>
      </c>
      <c r="X773" s="129">
        <v>0</v>
      </c>
      <c r="Y773" s="130" t="e">
        <f t="shared" si="45"/>
        <v>#VALUE!</v>
      </c>
      <c r="Z773" s="129">
        <v>0</v>
      </c>
      <c r="AA773" s="130" t="e">
        <f t="shared" si="46"/>
        <v>#VALUE!</v>
      </c>
    </row>
    <row r="774" spans="1:27" x14ac:dyDescent="0.3">
      <c r="A774">
        <v>30104</v>
      </c>
      <c r="B774">
        <v>17031030104</v>
      </c>
      <c r="C774">
        <v>17031</v>
      </c>
      <c r="D774">
        <v>2010</v>
      </c>
      <c r="E774">
        <v>77</v>
      </c>
      <c r="F774">
        <v>1212988.9976393499</v>
      </c>
      <c r="G774" s="43">
        <v>4.3509993315231504E-2</v>
      </c>
      <c r="H774" s="58" t="str">
        <f>_xlfn.IFNA(
INDEX(CA!B$2:B$78,MATCH($E774,CA!$A$2:$A$78,0)),
"")</f>
        <v>EDGEWATER</v>
      </c>
      <c r="I774" s="60" t="str">
        <f>_xlfn.IFNA(
INDEX(CA!C$2:C$78,MATCH($E774,CA!$A$2:$A$78,0)),
"")</f>
        <v>1-A</v>
      </c>
      <c r="J774" s="60">
        <f>_xlfn.IFNA(
INDEX(CA!D$2:D$78,MATCH($E774,CA!$A$2:$A$78,0)),
"")</f>
        <v>1</v>
      </c>
      <c r="K774" s="58" t="str">
        <f>_xlfn.IFNA(
INDEX(CA!E$2:E$78,MATCH($E774,CA!$A$2:$A$78,0)),
"")</f>
        <v>NORTH</v>
      </c>
      <c r="L774" s="15" t="e">
        <v>#VALUE!</v>
      </c>
      <c r="M774" s="15" t="e">
        <v>#VALUE!</v>
      </c>
      <c r="N774" s="15" t="e">
        <v>#VALUE!</v>
      </c>
      <c r="O774" s="15" t="e">
        <v>#VALUE!</v>
      </c>
      <c r="P774" s="15" t="e">
        <v>#VALUE!</v>
      </c>
      <c r="Q774" s="15" t="e">
        <v>#VALUE!</v>
      </c>
      <c r="R774" s="15" t="e">
        <v>#VALUE!</v>
      </c>
      <c r="S774" s="15" t="e">
        <v>#VALUE!</v>
      </c>
      <c r="T774" s="129">
        <v>4.3509987682145673E-2</v>
      </c>
      <c r="U774" s="130" t="e">
        <f t="shared" si="47"/>
        <v>#VALUE!</v>
      </c>
      <c r="V774" s="129">
        <v>4.3509987682145673E-2</v>
      </c>
      <c r="W774" s="130" t="e">
        <f t="shared" ref="W774:W809" si="48">(V774/$G774)*$L774</f>
        <v>#VALUE!</v>
      </c>
      <c r="X774" s="129">
        <v>4.3509987682145673E-2</v>
      </c>
      <c r="Y774" s="130" t="e">
        <f t="shared" ref="Y774:Y809" si="49">(X774/$G774)*$L774</f>
        <v>#VALUE!</v>
      </c>
      <c r="Z774" s="129">
        <v>4.3509987682145673E-2</v>
      </c>
      <c r="AA774" s="130" t="e">
        <f t="shared" ref="AA774:AA809" si="50">(Z774/$G774)*$L774</f>
        <v>#VALUE!</v>
      </c>
    </row>
    <row r="775" spans="1:27" x14ac:dyDescent="0.3">
      <c r="A775">
        <v>30601</v>
      </c>
      <c r="B775">
        <v>17031030601</v>
      </c>
      <c r="C775">
        <v>17031</v>
      </c>
      <c r="D775">
        <v>2010</v>
      </c>
      <c r="E775">
        <v>77</v>
      </c>
      <c r="F775">
        <v>1628644.98959328</v>
      </c>
      <c r="G775" s="43">
        <v>5.8419600464634985E-2</v>
      </c>
      <c r="H775" s="58" t="str">
        <f>_xlfn.IFNA(
INDEX(CA!B$2:B$78,MATCH($E775,CA!$A$2:$A$78,0)),
"")</f>
        <v>EDGEWATER</v>
      </c>
      <c r="I775" s="60" t="str">
        <f>_xlfn.IFNA(
INDEX(CA!C$2:C$78,MATCH($E775,CA!$A$2:$A$78,0)),
"")</f>
        <v>1-A</v>
      </c>
      <c r="J775" s="60">
        <f>_xlfn.IFNA(
INDEX(CA!D$2:D$78,MATCH($E775,CA!$A$2:$A$78,0)),
"")</f>
        <v>1</v>
      </c>
      <c r="K775" s="58" t="str">
        <f>_xlfn.IFNA(
INDEX(CA!E$2:E$78,MATCH($E775,CA!$A$2:$A$78,0)),
"")</f>
        <v>NORTH</v>
      </c>
      <c r="L775" s="15" t="e">
        <v>#VALUE!</v>
      </c>
      <c r="M775" s="15" t="e">
        <v>#VALUE!</v>
      </c>
      <c r="N775" s="15" t="e">
        <v>#VALUE!</v>
      </c>
      <c r="O775" s="15" t="e">
        <v>#VALUE!</v>
      </c>
      <c r="P775" s="15" t="e">
        <v>#VALUE!</v>
      </c>
      <c r="Q775" s="15" t="e">
        <v>#VALUE!</v>
      </c>
      <c r="R775" s="15" t="e">
        <v>#VALUE!</v>
      </c>
      <c r="S775" s="15" t="e">
        <v>#VALUE!</v>
      </c>
      <c r="T775" s="129">
        <v>5.8419604086612578E-2</v>
      </c>
      <c r="U775" s="130" t="e">
        <f t="shared" ref="U775:U809" si="51">(T775/$G775)*$L775</f>
        <v>#VALUE!</v>
      </c>
      <c r="V775" s="129">
        <v>5.8419604086612578E-2</v>
      </c>
      <c r="W775" s="130" t="e">
        <f t="shared" si="48"/>
        <v>#VALUE!</v>
      </c>
      <c r="X775" s="129">
        <v>5.8419604086612578E-2</v>
      </c>
      <c r="Y775" s="130" t="e">
        <f t="shared" si="49"/>
        <v>#VALUE!</v>
      </c>
      <c r="Z775" s="129">
        <v>5.8419604086612578E-2</v>
      </c>
      <c r="AA775" s="130" t="e">
        <f t="shared" si="50"/>
        <v>#VALUE!</v>
      </c>
    </row>
    <row r="776" spans="1:27" x14ac:dyDescent="0.3">
      <c r="A776">
        <v>30200</v>
      </c>
      <c r="B776">
        <v>17031030200</v>
      </c>
      <c r="C776">
        <v>17031</v>
      </c>
      <c r="D776">
        <v>2010</v>
      </c>
      <c r="E776">
        <v>77</v>
      </c>
      <c r="F776">
        <v>7170037.4388584998</v>
      </c>
      <c r="G776" s="43">
        <v>0.25718970381580364</v>
      </c>
      <c r="H776" s="58" t="str">
        <f>_xlfn.IFNA(
INDEX(CA!B$2:B$78,MATCH($E776,CA!$A$2:$A$78,0)),
"")</f>
        <v>EDGEWATER</v>
      </c>
      <c r="I776" s="60" t="str">
        <f>_xlfn.IFNA(
INDEX(CA!C$2:C$78,MATCH($E776,CA!$A$2:$A$78,0)),
"")</f>
        <v>1-A</v>
      </c>
      <c r="J776" s="60">
        <f>_xlfn.IFNA(
INDEX(CA!D$2:D$78,MATCH($E776,CA!$A$2:$A$78,0)),
"")</f>
        <v>1</v>
      </c>
      <c r="K776" s="58" t="str">
        <f>_xlfn.IFNA(
INDEX(CA!E$2:E$78,MATCH($E776,CA!$A$2:$A$78,0)),
"")</f>
        <v>NORTH</v>
      </c>
      <c r="L776" s="15" t="e">
        <v>#VALUE!</v>
      </c>
      <c r="M776" s="15" t="e">
        <v>#VALUE!</v>
      </c>
      <c r="N776" s="15" t="e">
        <v>#VALUE!</v>
      </c>
      <c r="O776" s="15" t="e">
        <v>#VALUE!</v>
      </c>
      <c r="P776" s="15" t="e">
        <v>#VALUE!</v>
      </c>
      <c r="Q776" s="15" t="e">
        <v>#VALUE!</v>
      </c>
      <c r="R776" s="15" t="e">
        <v>#VALUE!</v>
      </c>
      <c r="S776" s="15" t="e">
        <v>#VALUE!</v>
      </c>
      <c r="T776" s="129">
        <v>0.2571897074113712</v>
      </c>
      <c r="U776" s="130" t="e">
        <f t="shared" si="51"/>
        <v>#VALUE!</v>
      </c>
      <c r="V776" s="129">
        <v>0.2571897074113712</v>
      </c>
      <c r="W776" s="130" t="e">
        <f t="shared" si="48"/>
        <v>#VALUE!</v>
      </c>
      <c r="X776" s="129">
        <v>0.2571897074113712</v>
      </c>
      <c r="Y776" s="130" t="e">
        <f t="shared" si="49"/>
        <v>#VALUE!</v>
      </c>
      <c r="Z776" s="129">
        <v>0.2571897074113712</v>
      </c>
      <c r="AA776" s="130" t="e">
        <f t="shared" si="50"/>
        <v>#VALUE!</v>
      </c>
    </row>
    <row r="777" spans="1:27" x14ac:dyDescent="0.3">
      <c r="A777">
        <v>30300</v>
      </c>
      <c r="B777">
        <v>17031030300</v>
      </c>
      <c r="C777">
        <v>17031</v>
      </c>
      <c r="D777">
        <v>2010</v>
      </c>
      <c r="E777">
        <v>77</v>
      </c>
      <c r="F777">
        <v>3395416.5507627199</v>
      </c>
      <c r="G777" s="43">
        <v>0.12179380993036616</v>
      </c>
      <c r="H777" s="58" t="str">
        <f>_xlfn.IFNA(
INDEX(CA!B$2:B$78,MATCH($E777,CA!$A$2:$A$78,0)),
"")</f>
        <v>EDGEWATER</v>
      </c>
      <c r="I777" s="60" t="str">
        <f>_xlfn.IFNA(
INDEX(CA!C$2:C$78,MATCH($E777,CA!$A$2:$A$78,0)),
"")</f>
        <v>1-A</v>
      </c>
      <c r="J777" s="60">
        <f>_xlfn.IFNA(
INDEX(CA!D$2:D$78,MATCH($E777,CA!$A$2:$A$78,0)),
"")</f>
        <v>1</v>
      </c>
      <c r="K777" s="58" t="str">
        <f>_xlfn.IFNA(
INDEX(CA!E$2:E$78,MATCH($E777,CA!$A$2:$A$78,0)),
"")</f>
        <v>NORTH</v>
      </c>
      <c r="L777" s="15" t="e">
        <v>#VALUE!</v>
      </c>
      <c r="M777" s="15" t="e">
        <v>#VALUE!</v>
      </c>
      <c r="N777" s="15" t="e">
        <v>#VALUE!</v>
      </c>
      <c r="O777" s="15" t="e">
        <v>#VALUE!</v>
      </c>
      <c r="P777" s="15" t="e">
        <v>#VALUE!</v>
      </c>
      <c r="Q777" s="15" t="e">
        <v>#VALUE!</v>
      </c>
      <c r="R777" s="15" t="e">
        <v>#VALUE!</v>
      </c>
      <c r="S777" s="15" t="e">
        <v>#VALUE!</v>
      </c>
      <c r="T777" s="129">
        <v>0.12179381007886177</v>
      </c>
      <c r="U777" s="130" t="e">
        <f t="shared" si="51"/>
        <v>#VALUE!</v>
      </c>
      <c r="V777" s="129">
        <v>0.12179381007886177</v>
      </c>
      <c r="W777" s="130" t="e">
        <f t="shared" si="48"/>
        <v>#VALUE!</v>
      </c>
      <c r="X777" s="129">
        <v>0.12179381007886177</v>
      </c>
      <c r="Y777" s="130" t="e">
        <f t="shared" si="49"/>
        <v>#VALUE!</v>
      </c>
      <c r="Z777" s="129">
        <v>0.12179381007886177</v>
      </c>
      <c r="AA777" s="130" t="e">
        <f t="shared" si="50"/>
        <v>#VALUE!</v>
      </c>
    </row>
    <row r="778" spans="1:27" x14ac:dyDescent="0.3">
      <c r="A778">
        <v>30400</v>
      </c>
      <c r="B778">
        <v>17031030400</v>
      </c>
      <c r="C778">
        <v>17031</v>
      </c>
      <c r="D778">
        <v>2010</v>
      </c>
      <c r="E778">
        <v>77</v>
      </c>
      <c r="F778">
        <v>3727429.8261120399</v>
      </c>
      <c r="G778" s="43">
        <v>0.13370314745867912</v>
      </c>
      <c r="H778" s="58" t="str">
        <f>_xlfn.IFNA(
INDEX(CA!B$2:B$78,MATCH($E778,CA!$A$2:$A$78,0)),
"")</f>
        <v>EDGEWATER</v>
      </c>
      <c r="I778" s="60" t="str">
        <f>_xlfn.IFNA(
INDEX(CA!C$2:C$78,MATCH($E778,CA!$A$2:$A$78,0)),
"")</f>
        <v>1-A</v>
      </c>
      <c r="J778" s="60">
        <f>_xlfn.IFNA(
INDEX(CA!D$2:D$78,MATCH($E778,CA!$A$2:$A$78,0)),
"")</f>
        <v>1</v>
      </c>
      <c r="K778" s="58" t="str">
        <f>_xlfn.IFNA(
INDEX(CA!E$2:E$78,MATCH($E778,CA!$A$2:$A$78,0)),
"")</f>
        <v>NORTH</v>
      </c>
      <c r="L778" s="15" t="e">
        <v>#VALUE!</v>
      </c>
      <c r="M778" s="15" t="e">
        <v>#VALUE!</v>
      </c>
      <c r="N778" s="15" t="e">
        <v>#VALUE!</v>
      </c>
      <c r="O778" s="15" t="e">
        <v>#VALUE!</v>
      </c>
      <c r="P778" s="15" t="e">
        <v>#VALUE!</v>
      </c>
      <c r="Q778" s="15" t="e">
        <v>#VALUE!</v>
      </c>
      <c r="R778" s="15" t="e">
        <v>#VALUE!</v>
      </c>
      <c r="S778" s="15" t="e">
        <v>#VALUE!</v>
      </c>
      <c r="T778" s="129">
        <v>0.13370314751661752</v>
      </c>
      <c r="U778" s="130" t="e">
        <f t="shared" si="51"/>
        <v>#VALUE!</v>
      </c>
      <c r="V778" s="129">
        <v>0.13370314751661752</v>
      </c>
      <c r="W778" s="130" t="e">
        <f t="shared" si="48"/>
        <v>#VALUE!</v>
      </c>
      <c r="X778" s="129">
        <v>0.13370314751661752</v>
      </c>
      <c r="Y778" s="130" t="e">
        <f t="shared" si="49"/>
        <v>#VALUE!</v>
      </c>
      <c r="Z778" s="129">
        <v>0.13370314751661752</v>
      </c>
      <c r="AA778" s="130" t="e">
        <f t="shared" si="50"/>
        <v>#VALUE!</v>
      </c>
    </row>
    <row r="779" spans="1:27" x14ac:dyDescent="0.3">
      <c r="A779">
        <v>30701</v>
      </c>
      <c r="B779">
        <v>17031030701</v>
      </c>
      <c r="C779">
        <v>17031</v>
      </c>
      <c r="D779">
        <v>2010</v>
      </c>
      <c r="E779">
        <v>77</v>
      </c>
      <c r="F779">
        <v>752102.777029327</v>
      </c>
      <c r="G779" s="43">
        <v>2.6977974956573083E-2</v>
      </c>
      <c r="H779" s="58" t="str">
        <f>_xlfn.IFNA(
INDEX(CA!B$2:B$78,MATCH($E779,CA!$A$2:$A$78,0)),
"")</f>
        <v>EDGEWATER</v>
      </c>
      <c r="I779" s="60" t="str">
        <f>_xlfn.IFNA(
INDEX(CA!C$2:C$78,MATCH($E779,CA!$A$2:$A$78,0)),
"")</f>
        <v>1-A</v>
      </c>
      <c r="J779" s="60">
        <f>_xlfn.IFNA(
INDEX(CA!D$2:D$78,MATCH($E779,CA!$A$2:$A$78,0)),
"")</f>
        <v>1</v>
      </c>
      <c r="K779" s="58" t="str">
        <f>_xlfn.IFNA(
INDEX(CA!E$2:E$78,MATCH($E779,CA!$A$2:$A$78,0)),
"")</f>
        <v>NORTH</v>
      </c>
      <c r="L779" s="15" t="e">
        <v>#VALUE!</v>
      </c>
      <c r="M779" s="15" t="e">
        <v>#VALUE!</v>
      </c>
      <c r="N779" s="15" t="e">
        <v>#VALUE!</v>
      </c>
      <c r="O779" s="15" t="e">
        <v>#VALUE!</v>
      </c>
      <c r="P779" s="15" t="e">
        <v>#VALUE!</v>
      </c>
      <c r="Q779" s="15" t="e">
        <v>#VALUE!</v>
      </c>
      <c r="R779" s="15" t="e">
        <v>#VALUE!</v>
      </c>
      <c r="S779" s="15" t="e">
        <v>#VALUE!</v>
      </c>
      <c r="T779" s="129">
        <v>2.6977974370091935E-2</v>
      </c>
      <c r="U779" s="130" t="e">
        <f t="shared" si="51"/>
        <v>#VALUE!</v>
      </c>
      <c r="V779" s="129">
        <v>2.6977974370091935E-2</v>
      </c>
      <c r="W779" s="130" t="e">
        <f t="shared" si="48"/>
        <v>#VALUE!</v>
      </c>
      <c r="X779" s="129">
        <v>2.6977974370091935E-2</v>
      </c>
      <c r="Y779" s="130" t="e">
        <f t="shared" si="49"/>
        <v>#VALUE!</v>
      </c>
      <c r="Z779" s="129">
        <v>2.6977974370091935E-2</v>
      </c>
      <c r="AA779" s="130" t="e">
        <f t="shared" si="50"/>
        <v>#VALUE!</v>
      </c>
    </row>
    <row r="780" spans="1:27" x14ac:dyDescent="0.3">
      <c r="A780">
        <v>30800</v>
      </c>
      <c r="B780">
        <v>17031030800</v>
      </c>
      <c r="C780">
        <v>17031</v>
      </c>
      <c r="D780">
        <v>2010</v>
      </c>
      <c r="E780">
        <v>77</v>
      </c>
      <c r="F780">
        <v>6107591.9586691996</v>
      </c>
      <c r="G780" s="43">
        <v>0.21907971614831553</v>
      </c>
      <c r="H780" s="58" t="str">
        <f>_xlfn.IFNA(
INDEX(CA!B$2:B$78,MATCH($E780,CA!$A$2:$A$78,0)),
"")</f>
        <v>EDGEWATER</v>
      </c>
      <c r="I780" s="60" t="str">
        <f>_xlfn.IFNA(
INDEX(CA!C$2:C$78,MATCH($E780,CA!$A$2:$A$78,0)),
"")</f>
        <v>1-A</v>
      </c>
      <c r="J780" s="60">
        <f>_xlfn.IFNA(
INDEX(CA!D$2:D$78,MATCH($E780,CA!$A$2:$A$78,0)),
"")</f>
        <v>1</v>
      </c>
      <c r="K780" s="58" t="str">
        <f>_xlfn.IFNA(
INDEX(CA!E$2:E$78,MATCH($E780,CA!$A$2:$A$78,0)),
"")</f>
        <v>NORTH</v>
      </c>
      <c r="L780" s="15" t="e">
        <v>#VALUE!</v>
      </c>
      <c r="M780" s="15" t="e">
        <v>#VALUE!</v>
      </c>
      <c r="N780" s="15" t="e">
        <v>#VALUE!</v>
      </c>
      <c r="O780" s="15" t="e">
        <v>#VALUE!</v>
      </c>
      <c r="P780" s="15" t="e">
        <v>#VALUE!</v>
      </c>
      <c r="Q780" s="15" t="e">
        <v>#VALUE!</v>
      </c>
      <c r="R780" s="15" t="e">
        <v>#VALUE!</v>
      </c>
      <c r="S780" s="15" t="e">
        <v>#VALUE!</v>
      </c>
      <c r="T780" s="129">
        <v>0.21907971468525705</v>
      </c>
      <c r="U780" s="130" t="e">
        <f t="shared" si="51"/>
        <v>#VALUE!</v>
      </c>
      <c r="V780" s="129">
        <v>0.21907971468525705</v>
      </c>
      <c r="W780" s="130" t="e">
        <f t="shared" si="48"/>
        <v>#VALUE!</v>
      </c>
      <c r="X780" s="129">
        <v>0.21907971468525705</v>
      </c>
      <c r="Y780" s="130" t="e">
        <f t="shared" si="49"/>
        <v>#VALUE!</v>
      </c>
      <c r="Z780" s="129">
        <v>0.21907971468525705</v>
      </c>
      <c r="AA780" s="130" t="e">
        <f t="shared" si="50"/>
        <v>#VALUE!</v>
      </c>
    </row>
    <row r="781" spans="1:27" x14ac:dyDescent="0.3">
      <c r="A781">
        <v>30101</v>
      </c>
      <c r="B781">
        <v>17031030101</v>
      </c>
      <c r="C781">
        <v>17031</v>
      </c>
      <c r="D781">
        <v>2010</v>
      </c>
      <c r="E781">
        <v>77</v>
      </c>
      <c r="F781">
        <v>1384486.93525307</v>
      </c>
      <c r="G781" s="43">
        <v>4.9661635361178187E-2</v>
      </c>
      <c r="H781" s="58" t="str">
        <f>_xlfn.IFNA(
INDEX(CA!B$2:B$78,MATCH($E781,CA!$A$2:$A$78,0)),
"")</f>
        <v>EDGEWATER</v>
      </c>
      <c r="I781" s="60" t="str">
        <f>_xlfn.IFNA(
INDEX(CA!C$2:C$78,MATCH($E781,CA!$A$2:$A$78,0)),
"")</f>
        <v>1-A</v>
      </c>
      <c r="J781" s="60">
        <f>_xlfn.IFNA(
INDEX(CA!D$2:D$78,MATCH($E781,CA!$A$2:$A$78,0)),
"")</f>
        <v>1</v>
      </c>
      <c r="K781" s="58" t="str">
        <f>_xlfn.IFNA(
INDEX(CA!E$2:E$78,MATCH($E781,CA!$A$2:$A$78,0)),
"")</f>
        <v>NORTH</v>
      </c>
      <c r="L781" s="15" t="e">
        <v>#VALUE!</v>
      </c>
      <c r="M781" s="15" t="e">
        <v>#VALUE!</v>
      </c>
      <c r="N781" s="15" t="e">
        <v>#VALUE!</v>
      </c>
      <c r="O781" s="15" t="e">
        <v>#VALUE!</v>
      </c>
      <c r="P781" s="15" t="e">
        <v>#VALUE!</v>
      </c>
      <c r="Q781" s="15" t="e">
        <v>#VALUE!</v>
      </c>
      <c r="R781" s="15" t="e">
        <v>#VALUE!</v>
      </c>
      <c r="S781" s="15" t="e">
        <v>#VALUE!</v>
      </c>
      <c r="T781" s="129">
        <v>4.9661634934457508E-2</v>
      </c>
      <c r="U781" s="130" t="e">
        <f t="shared" si="51"/>
        <v>#VALUE!</v>
      </c>
      <c r="V781" s="129">
        <v>4.9661634934457508E-2</v>
      </c>
      <c r="W781" s="130" t="e">
        <f t="shared" si="48"/>
        <v>#VALUE!</v>
      </c>
      <c r="X781" s="129">
        <v>4.9661634934457508E-2</v>
      </c>
      <c r="Y781" s="130" t="e">
        <f t="shared" si="49"/>
        <v>#VALUE!</v>
      </c>
      <c r="Z781" s="129">
        <v>4.9661634934457508E-2</v>
      </c>
      <c r="AA781" s="130" t="e">
        <f t="shared" si="50"/>
        <v>#VALUE!</v>
      </c>
    </row>
    <row r="782" spans="1:27" x14ac:dyDescent="0.3">
      <c r="A782">
        <v>30604</v>
      </c>
      <c r="B782">
        <v>17031030604</v>
      </c>
      <c r="C782">
        <v>17031</v>
      </c>
      <c r="D782">
        <v>2010</v>
      </c>
      <c r="E782">
        <v>77</v>
      </c>
      <c r="F782">
        <v>2015950.80014721</v>
      </c>
      <c r="G782" s="43">
        <v>7.2312284784894751E-2</v>
      </c>
      <c r="H782" s="58" t="str">
        <f>_xlfn.IFNA(
INDEX(CA!B$2:B$78,MATCH($E782,CA!$A$2:$A$78,0)),
"")</f>
        <v>EDGEWATER</v>
      </c>
      <c r="I782" s="60" t="str">
        <f>_xlfn.IFNA(
INDEX(CA!C$2:C$78,MATCH($E782,CA!$A$2:$A$78,0)),
"")</f>
        <v>1-A</v>
      </c>
      <c r="J782" s="60">
        <f>_xlfn.IFNA(
INDEX(CA!D$2:D$78,MATCH($E782,CA!$A$2:$A$78,0)),
"")</f>
        <v>1</v>
      </c>
      <c r="K782" s="58" t="str">
        <f>_xlfn.IFNA(
INDEX(CA!E$2:E$78,MATCH($E782,CA!$A$2:$A$78,0)),
"")</f>
        <v>NORTH</v>
      </c>
      <c r="L782" s="15" t="e">
        <v>#VALUE!</v>
      </c>
      <c r="M782" s="15" t="e">
        <v>#VALUE!</v>
      </c>
      <c r="N782" s="15" t="e">
        <v>#VALUE!</v>
      </c>
      <c r="O782" s="15" t="e">
        <v>#VALUE!</v>
      </c>
      <c r="P782" s="15" t="e">
        <v>#VALUE!</v>
      </c>
      <c r="Q782" s="15" t="e">
        <v>#VALUE!</v>
      </c>
      <c r="R782" s="15" t="e">
        <v>#VALUE!</v>
      </c>
      <c r="S782" s="15" t="e">
        <v>#VALUE!</v>
      </c>
      <c r="T782" s="129">
        <v>7.2312277137316347E-2</v>
      </c>
      <c r="U782" s="130" t="e">
        <f t="shared" si="51"/>
        <v>#VALUE!</v>
      </c>
      <c r="V782" s="129">
        <v>7.2312277137316347E-2</v>
      </c>
      <c r="W782" s="130" t="e">
        <f t="shared" si="48"/>
        <v>#VALUE!</v>
      </c>
      <c r="X782" s="129">
        <v>7.2312277137316347E-2</v>
      </c>
      <c r="Y782" s="130" t="e">
        <f t="shared" si="49"/>
        <v>#VALUE!</v>
      </c>
      <c r="Z782" s="129">
        <v>7.2312277137316347E-2</v>
      </c>
      <c r="AA782" s="130" t="e">
        <f t="shared" si="50"/>
        <v>#VALUE!</v>
      </c>
    </row>
    <row r="783" spans="1:27" x14ac:dyDescent="0.3">
      <c r="A783">
        <v>30900</v>
      </c>
      <c r="B783">
        <v>17031030900</v>
      </c>
      <c r="C783">
        <v>17031</v>
      </c>
      <c r="D783">
        <v>2010</v>
      </c>
      <c r="E783">
        <v>77</v>
      </c>
      <c r="F783">
        <v>4399704.5473625204</v>
      </c>
      <c r="G783" s="43">
        <v>0.15781768492318499</v>
      </c>
      <c r="H783" s="58" t="str">
        <f>_xlfn.IFNA(
INDEX(CA!B$2:B$78,MATCH($E783,CA!$A$2:$A$78,0)),
"")</f>
        <v>EDGEWATER</v>
      </c>
      <c r="I783" s="60" t="str">
        <f>_xlfn.IFNA(
INDEX(CA!C$2:C$78,MATCH($E783,CA!$A$2:$A$78,0)),
"")</f>
        <v>1-A</v>
      </c>
      <c r="J783" s="60">
        <f>_xlfn.IFNA(
INDEX(CA!D$2:D$78,MATCH($E783,CA!$A$2:$A$78,0)),
"")</f>
        <v>1</v>
      </c>
      <c r="K783" s="58" t="str">
        <f>_xlfn.IFNA(
INDEX(CA!E$2:E$78,MATCH($E783,CA!$A$2:$A$78,0)),
"")</f>
        <v>NORTH</v>
      </c>
      <c r="L783" s="15" t="e">
        <v>#VALUE!</v>
      </c>
      <c r="M783" s="15" t="e">
        <v>#VALUE!</v>
      </c>
      <c r="N783" s="15" t="e">
        <v>#VALUE!</v>
      </c>
      <c r="O783" s="15" t="e">
        <v>#VALUE!</v>
      </c>
      <c r="P783" s="15" t="e">
        <v>#VALUE!</v>
      </c>
      <c r="Q783" s="15" t="e">
        <v>#VALUE!</v>
      </c>
      <c r="R783" s="15" t="e">
        <v>#VALUE!</v>
      </c>
      <c r="S783" s="15" t="e">
        <v>#VALUE!</v>
      </c>
      <c r="T783" s="129">
        <v>0.1578176876018319</v>
      </c>
      <c r="U783" s="130" t="e">
        <f t="shared" si="51"/>
        <v>#VALUE!</v>
      </c>
      <c r="V783" s="129">
        <v>0.1578176876018319</v>
      </c>
      <c r="W783" s="130" t="e">
        <f t="shared" si="48"/>
        <v>#VALUE!</v>
      </c>
      <c r="X783" s="129">
        <v>0.1578176876018319</v>
      </c>
      <c r="Y783" s="130" t="e">
        <f t="shared" si="49"/>
        <v>#VALUE!</v>
      </c>
      <c r="Z783" s="129">
        <v>0.1578176876018319</v>
      </c>
      <c r="AA783" s="130" t="e">
        <f t="shared" si="50"/>
        <v>#VALUE!</v>
      </c>
    </row>
    <row r="784" spans="1:27" x14ac:dyDescent="0.3">
      <c r="A784">
        <v>30500</v>
      </c>
      <c r="B784">
        <v>17031030500</v>
      </c>
      <c r="C784">
        <v>17031</v>
      </c>
      <c r="D784">
        <v>2010</v>
      </c>
      <c r="E784">
        <v>77</v>
      </c>
      <c r="F784">
        <v>6655931.8538106997</v>
      </c>
      <c r="G784" s="43">
        <v>0.23874870343386634</v>
      </c>
      <c r="H784" s="58" t="str">
        <f>_xlfn.IFNA(
INDEX(CA!B$2:B$78,MATCH($E784,CA!$A$2:$A$78,0)),
"")</f>
        <v>EDGEWATER</v>
      </c>
      <c r="I784" s="60" t="str">
        <f>_xlfn.IFNA(
INDEX(CA!C$2:C$78,MATCH($E784,CA!$A$2:$A$78,0)),
"")</f>
        <v>1-A</v>
      </c>
      <c r="J784" s="60">
        <f>_xlfn.IFNA(
INDEX(CA!D$2:D$78,MATCH($E784,CA!$A$2:$A$78,0)),
"")</f>
        <v>1</v>
      </c>
      <c r="K784" s="58" t="str">
        <f>_xlfn.IFNA(
INDEX(CA!E$2:E$78,MATCH($E784,CA!$A$2:$A$78,0)),
"")</f>
        <v>NORTH</v>
      </c>
      <c r="L784" s="15" t="e">
        <v>#VALUE!</v>
      </c>
      <c r="M784" s="15" t="e">
        <v>#VALUE!</v>
      </c>
      <c r="N784" s="15" t="e">
        <v>#VALUE!</v>
      </c>
      <c r="O784" s="15" t="e">
        <v>#VALUE!</v>
      </c>
      <c r="P784" s="15" t="e">
        <v>#VALUE!</v>
      </c>
      <c r="Q784" s="15" t="e">
        <v>#VALUE!</v>
      </c>
      <c r="R784" s="15" t="e">
        <v>#VALUE!</v>
      </c>
      <c r="S784" s="15" t="e">
        <v>#VALUE!</v>
      </c>
      <c r="T784" s="129">
        <v>0.23874870159383393</v>
      </c>
      <c r="U784" s="130" t="e">
        <f t="shared" si="51"/>
        <v>#VALUE!</v>
      </c>
      <c r="V784" s="129">
        <v>0.23874870159383393</v>
      </c>
      <c r="W784" s="130" t="e">
        <f t="shared" si="48"/>
        <v>#VALUE!</v>
      </c>
      <c r="X784" s="129">
        <v>0.23874870159383393</v>
      </c>
      <c r="Y784" s="130" t="e">
        <f t="shared" si="49"/>
        <v>#VALUE!</v>
      </c>
      <c r="Z784" s="129">
        <v>0.23874870159383393</v>
      </c>
      <c r="AA784" s="130" t="e">
        <f t="shared" si="50"/>
        <v>#VALUE!</v>
      </c>
    </row>
    <row r="785" spans="1:27" x14ac:dyDescent="0.3">
      <c r="A785">
        <v>30102</v>
      </c>
      <c r="B785">
        <v>17031030102</v>
      </c>
      <c r="C785">
        <v>17031</v>
      </c>
      <c r="D785">
        <v>2010</v>
      </c>
      <c r="E785">
        <v>77</v>
      </c>
      <c r="F785">
        <v>1274866.51017744</v>
      </c>
      <c r="G785" s="43">
        <v>4.5729543667407023E-2</v>
      </c>
      <c r="H785" s="58" t="str">
        <f>_xlfn.IFNA(
INDEX(CA!B$2:B$78,MATCH($E785,CA!$A$2:$A$78,0)),
"")</f>
        <v>EDGEWATER</v>
      </c>
      <c r="I785" s="60" t="str">
        <f>_xlfn.IFNA(
INDEX(CA!C$2:C$78,MATCH($E785,CA!$A$2:$A$78,0)),
"")</f>
        <v>1-A</v>
      </c>
      <c r="J785" s="60">
        <f>_xlfn.IFNA(
INDEX(CA!D$2:D$78,MATCH($E785,CA!$A$2:$A$78,0)),
"")</f>
        <v>1</v>
      </c>
      <c r="K785" s="58" t="str">
        <f>_xlfn.IFNA(
INDEX(CA!E$2:E$78,MATCH($E785,CA!$A$2:$A$78,0)),
"")</f>
        <v>NORTH</v>
      </c>
      <c r="L785" s="15" t="e">
        <v>#VALUE!</v>
      </c>
      <c r="M785" s="15" t="e">
        <v>#VALUE!</v>
      </c>
      <c r="N785" s="15" t="e">
        <v>#VALUE!</v>
      </c>
      <c r="O785" s="15" t="e">
        <v>#VALUE!</v>
      </c>
      <c r="P785" s="15" t="e">
        <v>#VALUE!</v>
      </c>
      <c r="Q785" s="15" t="e">
        <v>#VALUE!</v>
      </c>
      <c r="R785" s="15" t="e">
        <v>#VALUE!</v>
      </c>
      <c r="S785" s="15" t="e">
        <v>#VALUE!</v>
      </c>
      <c r="T785" s="129">
        <v>4.5729541211377622E-2</v>
      </c>
      <c r="U785" s="130" t="e">
        <f t="shared" si="51"/>
        <v>#VALUE!</v>
      </c>
      <c r="V785" s="129">
        <v>4.5729541211377622E-2</v>
      </c>
      <c r="W785" s="130" t="e">
        <f t="shared" si="48"/>
        <v>#VALUE!</v>
      </c>
      <c r="X785" s="129">
        <v>4.5729541211377622E-2</v>
      </c>
      <c r="Y785" s="130" t="e">
        <f t="shared" si="49"/>
        <v>#VALUE!</v>
      </c>
      <c r="Z785" s="129">
        <v>4.5729541211377622E-2</v>
      </c>
      <c r="AA785" s="130" t="e">
        <f t="shared" si="50"/>
        <v>#VALUE!</v>
      </c>
    </row>
    <row r="786" spans="1:27" x14ac:dyDescent="0.3">
      <c r="A786">
        <v>30103</v>
      </c>
      <c r="B786">
        <v>17031030103</v>
      </c>
      <c r="C786">
        <v>17031</v>
      </c>
      <c r="D786">
        <v>2010</v>
      </c>
      <c r="E786">
        <v>77</v>
      </c>
      <c r="F786">
        <v>982096.87645537301</v>
      </c>
      <c r="G786" s="43">
        <v>3.5227878086811763E-2</v>
      </c>
      <c r="H786" s="58" t="str">
        <f>_xlfn.IFNA(
INDEX(CA!B$2:B$78,MATCH($E786,CA!$A$2:$A$78,0)),
"")</f>
        <v>EDGEWATER</v>
      </c>
      <c r="I786" s="60" t="str">
        <f>_xlfn.IFNA(
INDEX(CA!C$2:C$78,MATCH($E786,CA!$A$2:$A$78,0)),
"")</f>
        <v>1-A</v>
      </c>
      <c r="J786" s="60">
        <f>_xlfn.IFNA(
INDEX(CA!D$2:D$78,MATCH($E786,CA!$A$2:$A$78,0)),
"")</f>
        <v>1</v>
      </c>
      <c r="K786" s="58" t="str">
        <f>_xlfn.IFNA(
INDEX(CA!E$2:E$78,MATCH($E786,CA!$A$2:$A$78,0)),
"")</f>
        <v>NORTH</v>
      </c>
      <c r="L786" s="15" t="e">
        <v>#VALUE!</v>
      </c>
      <c r="M786" s="15" t="e">
        <v>#VALUE!</v>
      </c>
      <c r="N786" s="15" t="e">
        <v>#VALUE!</v>
      </c>
      <c r="O786" s="15" t="e">
        <v>#VALUE!</v>
      </c>
      <c r="P786" s="15" t="e">
        <v>#VALUE!</v>
      </c>
      <c r="Q786" s="15" t="e">
        <v>#VALUE!</v>
      </c>
      <c r="R786" s="15" t="e">
        <v>#VALUE!</v>
      </c>
      <c r="S786" s="15" t="e">
        <v>#VALUE!</v>
      </c>
      <c r="T786" s="129">
        <v>3.5227878251666775E-2</v>
      </c>
      <c r="U786" s="130" t="e">
        <f t="shared" si="51"/>
        <v>#VALUE!</v>
      </c>
      <c r="V786" s="129">
        <v>3.5227878251666775E-2</v>
      </c>
      <c r="W786" s="130" t="e">
        <f t="shared" si="48"/>
        <v>#VALUE!</v>
      </c>
      <c r="X786" s="129">
        <v>3.5227878251666775E-2</v>
      </c>
      <c r="Y786" s="130" t="e">
        <f t="shared" si="49"/>
        <v>#VALUE!</v>
      </c>
      <c r="Z786" s="129">
        <v>3.5227878251666775E-2</v>
      </c>
      <c r="AA786" s="130" t="e">
        <f t="shared" si="50"/>
        <v>#VALUE!</v>
      </c>
    </row>
    <row r="787" spans="1:27" x14ac:dyDescent="0.3">
      <c r="A787">
        <v>30703</v>
      </c>
      <c r="B787">
        <v>17031030703</v>
      </c>
      <c r="C787">
        <v>17031</v>
      </c>
      <c r="D787">
        <v>2010</v>
      </c>
      <c r="E787">
        <v>77</v>
      </c>
      <c r="F787">
        <v>2134239.8072881899</v>
      </c>
      <c r="G787" s="43">
        <v>7.6555319074559147E-2</v>
      </c>
      <c r="H787" s="58" t="str">
        <f>_xlfn.IFNA(
INDEX(CA!B$2:B$78,MATCH($E787,CA!$A$2:$A$78,0)),
"")</f>
        <v>EDGEWATER</v>
      </c>
      <c r="I787" s="60" t="str">
        <f>_xlfn.IFNA(
INDEX(CA!C$2:C$78,MATCH($E787,CA!$A$2:$A$78,0)),
"")</f>
        <v>1-A</v>
      </c>
      <c r="J787" s="60">
        <f>_xlfn.IFNA(
INDEX(CA!D$2:D$78,MATCH($E787,CA!$A$2:$A$78,0)),
"")</f>
        <v>1</v>
      </c>
      <c r="K787" s="58" t="str">
        <f>_xlfn.IFNA(
INDEX(CA!E$2:E$78,MATCH($E787,CA!$A$2:$A$78,0)),
"")</f>
        <v>NORTH</v>
      </c>
      <c r="L787" s="15" t="e">
        <v>#VALUE!</v>
      </c>
      <c r="M787" s="15" t="e">
        <v>#VALUE!</v>
      </c>
      <c r="N787" s="15" t="e">
        <v>#VALUE!</v>
      </c>
      <c r="O787" s="15" t="e">
        <v>#VALUE!</v>
      </c>
      <c r="P787" s="15" t="e">
        <v>#VALUE!</v>
      </c>
      <c r="Q787" s="15" t="e">
        <v>#VALUE!</v>
      </c>
      <c r="R787" s="15" t="e">
        <v>#VALUE!</v>
      </c>
      <c r="S787" s="15" t="e">
        <v>#VALUE!</v>
      </c>
      <c r="T787" s="129">
        <v>7.6555320393602203E-2</v>
      </c>
      <c r="U787" s="130" t="e">
        <f t="shared" si="51"/>
        <v>#VALUE!</v>
      </c>
      <c r="V787" s="129">
        <v>7.6555320393602203E-2</v>
      </c>
      <c r="W787" s="130" t="e">
        <f t="shared" si="48"/>
        <v>#VALUE!</v>
      </c>
      <c r="X787" s="129">
        <v>7.6555320393602203E-2</v>
      </c>
      <c r="Y787" s="130" t="e">
        <f t="shared" si="49"/>
        <v>#VALUE!</v>
      </c>
      <c r="Z787" s="129">
        <v>7.6555320393602203E-2</v>
      </c>
      <c r="AA787" s="130" t="e">
        <f t="shared" si="50"/>
        <v>#VALUE!</v>
      </c>
    </row>
    <row r="788" spans="1:27" x14ac:dyDescent="0.3">
      <c r="A788">
        <v>30706</v>
      </c>
      <c r="B788">
        <v>17031030706</v>
      </c>
      <c r="C788">
        <v>17031</v>
      </c>
      <c r="D788">
        <v>2010</v>
      </c>
      <c r="E788">
        <v>77</v>
      </c>
      <c r="F788">
        <v>4190409.6837406498</v>
      </c>
      <c r="G788" s="43">
        <v>0.15031026471177147</v>
      </c>
      <c r="H788" s="58" t="str">
        <f>_xlfn.IFNA(
INDEX(CA!B$2:B$78,MATCH($E788,CA!$A$2:$A$78,0)),
"")</f>
        <v>EDGEWATER</v>
      </c>
      <c r="I788" s="60" t="str">
        <f>_xlfn.IFNA(
INDEX(CA!C$2:C$78,MATCH($E788,CA!$A$2:$A$78,0)),
"")</f>
        <v>1-A</v>
      </c>
      <c r="J788" s="60">
        <f>_xlfn.IFNA(
INDEX(CA!D$2:D$78,MATCH($E788,CA!$A$2:$A$78,0)),
"")</f>
        <v>1</v>
      </c>
      <c r="K788" s="58" t="str">
        <f>_xlfn.IFNA(
INDEX(CA!E$2:E$78,MATCH($E788,CA!$A$2:$A$78,0)),
"")</f>
        <v>NORTH</v>
      </c>
      <c r="L788" s="15" t="e">
        <v>#VALUE!</v>
      </c>
      <c r="M788" s="15" t="e">
        <v>#VALUE!</v>
      </c>
      <c r="N788" s="15" t="e">
        <v>#VALUE!</v>
      </c>
      <c r="O788" s="15" t="e">
        <v>#VALUE!</v>
      </c>
      <c r="P788" s="15" t="e">
        <v>#VALUE!</v>
      </c>
      <c r="Q788" s="15" t="e">
        <v>#VALUE!</v>
      </c>
      <c r="R788" s="15" t="e">
        <v>#VALUE!</v>
      </c>
      <c r="S788" s="15" t="e">
        <v>#VALUE!</v>
      </c>
      <c r="T788" s="129">
        <v>0.15031026589936511</v>
      </c>
      <c r="U788" s="130" t="e">
        <f t="shared" si="51"/>
        <v>#VALUE!</v>
      </c>
      <c r="V788" s="129">
        <v>0.15031026589936511</v>
      </c>
      <c r="W788" s="130" t="e">
        <f t="shared" si="48"/>
        <v>#VALUE!</v>
      </c>
      <c r="X788" s="129">
        <v>0.15031026589936511</v>
      </c>
      <c r="Y788" s="130" t="e">
        <f t="shared" si="49"/>
        <v>#VALUE!</v>
      </c>
      <c r="Z788" s="129">
        <v>0.15031026589936511</v>
      </c>
      <c r="AA788" s="130" t="e">
        <f t="shared" si="50"/>
        <v>#VALUE!</v>
      </c>
    </row>
    <row r="789" spans="1:27" x14ac:dyDescent="0.3">
      <c r="A789">
        <v>30702</v>
      </c>
      <c r="B789">
        <v>17031030702</v>
      </c>
      <c r="C789">
        <v>17031</v>
      </c>
      <c r="D789">
        <v>2010</v>
      </c>
      <c r="E789">
        <v>77</v>
      </c>
      <c r="F789">
        <v>169224.08935583101</v>
      </c>
      <c r="G789" s="43">
        <v>6.0700789627751595E-3</v>
      </c>
      <c r="H789" s="58" t="str">
        <f>_xlfn.IFNA(
INDEX(CA!B$2:B$78,MATCH($E789,CA!$A$2:$A$78,0)),
"")</f>
        <v>EDGEWATER</v>
      </c>
      <c r="I789" s="60" t="str">
        <f>_xlfn.IFNA(
INDEX(CA!C$2:C$78,MATCH($E789,CA!$A$2:$A$78,0)),
"")</f>
        <v>1-A</v>
      </c>
      <c r="J789" s="60">
        <f>_xlfn.IFNA(
INDEX(CA!D$2:D$78,MATCH($E789,CA!$A$2:$A$78,0)),
"")</f>
        <v>1</v>
      </c>
      <c r="K789" s="58" t="str">
        <f>_xlfn.IFNA(
INDEX(CA!E$2:E$78,MATCH($E789,CA!$A$2:$A$78,0)),
"")</f>
        <v>NORTH</v>
      </c>
      <c r="L789" s="15" t="e">
        <v>#VALUE!</v>
      </c>
      <c r="M789" s="15" t="e">
        <v>#VALUE!</v>
      </c>
      <c r="N789" s="15" t="e">
        <v>#VALUE!</v>
      </c>
      <c r="O789" s="15" t="e">
        <v>#VALUE!</v>
      </c>
      <c r="P789" s="15" t="e">
        <v>#VALUE!</v>
      </c>
      <c r="Q789" s="15" t="e">
        <v>#VALUE!</v>
      </c>
      <c r="R789" s="15" t="e">
        <v>#VALUE!</v>
      </c>
      <c r="S789" s="15" t="e">
        <v>#VALUE!</v>
      </c>
      <c r="T789" s="129">
        <v>6.0700793749417824E-3</v>
      </c>
      <c r="U789" s="130" t="e">
        <f t="shared" si="51"/>
        <v>#VALUE!</v>
      </c>
      <c r="V789" s="129">
        <v>6.0700793749417824E-3</v>
      </c>
      <c r="W789" s="130" t="e">
        <f t="shared" si="48"/>
        <v>#VALUE!</v>
      </c>
      <c r="X789" s="129">
        <v>6.0700793749417824E-3</v>
      </c>
      <c r="Y789" s="130" t="e">
        <f t="shared" si="49"/>
        <v>#VALUE!</v>
      </c>
      <c r="Z789" s="129">
        <v>6.0700793749417824E-3</v>
      </c>
      <c r="AA789" s="130" t="e">
        <f t="shared" si="50"/>
        <v>#VALUE!</v>
      </c>
    </row>
    <row r="790" spans="1:27" x14ac:dyDescent="0.3">
      <c r="A790">
        <v>30603</v>
      </c>
      <c r="B790">
        <v>17031030603</v>
      </c>
      <c r="C790">
        <v>17031</v>
      </c>
      <c r="D790">
        <v>2010</v>
      </c>
      <c r="E790">
        <v>77</v>
      </c>
      <c r="F790">
        <v>1248867.25335489</v>
      </c>
      <c r="G790" s="43">
        <v>4.4796948653971894E-2</v>
      </c>
      <c r="H790" s="58" t="str">
        <f>_xlfn.IFNA(
INDEX(CA!B$2:B$78,MATCH($E790,CA!$A$2:$A$78,0)),
"")</f>
        <v>EDGEWATER</v>
      </c>
      <c r="I790" s="60" t="str">
        <f>_xlfn.IFNA(
INDEX(CA!C$2:C$78,MATCH($E790,CA!$A$2:$A$78,0)),
"")</f>
        <v>1-A</v>
      </c>
      <c r="J790" s="60">
        <f>_xlfn.IFNA(
INDEX(CA!D$2:D$78,MATCH($E790,CA!$A$2:$A$78,0)),
"")</f>
        <v>1</v>
      </c>
      <c r="K790" s="58" t="str">
        <f>_xlfn.IFNA(
INDEX(CA!E$2:E$78,MATCH($E790,CA!$A$2:$A$78,0)),
"")</f>
        <v>NORTH</v>
      </c>
      <c r="L790" s="15" t="e">
        <v>#VALUE!</v>
      </c>
      <c r="M790" s="15" t="e">
        <v>#VALUE!</v>
      </c>
      <c r="N790" s="15" t="e">
        <v>#VALUE!</v>
      </c>
      <c r="O790" s="15" t="e">
        <v>#VALUE!</v>
      </c>
      <c r="P790" s="15" t="e">
        <v>#VALUE!</v>
      </c>
      <c r="Q790" s="15" t="e">
        <v>#VALUE!</v>
      </c>
      <c r="R790" s="15" t="e">
        <v>#VALUE!</v>
      </c>
      <c r="S790" s="15" t="e">
        <v>#VALUE!</v>
      </c>
      <c r="T790" s="129">
        <v>4.4796953006734246E-2</v>
      </c>
      <c r="U790" s="130" t="e">
        <f t="shared" si="51"/>
        <v>#VALUE!</v>
      </c>
      <c r="V790" s="129">
        <v>4.4796953006734246E-2</v>
      </c>
      <c r="W790" s="130" t="e">
        <f t="shared" si="48"/>
        <v>#VALUE!</v>
      </c>
      <c r="X790" s="129">
        <v>4.4796953006734246E-2</v>
      </c>
      <c r="Y790" s="130" t="e">
        <f t="shared" si="49"/>
        <v>#VALUE!</v>
      </c>
      <c r="Z790" s="129">
        <v>4.4796953006734246E-2</v>
      </c>
      <c r="AA790" s="130" t="e">
        <f t="shared" si="50"/>
        <v>#VALUE!</v>
      </c>
    </row>
    <row r="791" spans="1:27" x14ac:dyDescent="0.3">
      <c r="A791">
        <v>90100</v>
      </c>
      <c r="B791">
        <v>17031090100</v>
      </c>
      <c r="C791">
        <v>17031</v>
      </c>
      <c r="D791">
        <v>2010</v>
      </c>
      <c r="E791">
        <v>9</v>
      </c>
      <c r="F791">
        <v>10048108.538074899</v>
      </c>
      <c r="G791" s="43">
        <v>0.36042629914467472</v>
      </c>
      <c r="H791" s="58" t="str">
        <f>_xlfn.IFNA(
INDEX(CA!B$2:B$78,MATCH($E791,CA!$A$2:$A$78,0)),
"")</f>
        <v>EDISON PARK</v>
      </c>
      <c r="I791" s="60" t="str">
        <f>_xlfn.IFNA(
INDEX(CA!C$2:C$78,MATCH($E791,CA!$A$2:$A$78,0)),
"")</f>
        <v>2-C</v>
      </c>
      <c r="J791" s="60">
        <f>_xlfn.IFNA(
INDEX(CA!D$2:D$78,MATCH($E791,CA!$A$2:$A$78,0)),
"")</f>
        <v>2</v>
      </c>
      <c r="K791" s="58" t="str">
        <f>_xlfn.IFNA(
INDEX(CA!E$2:E$78,MATCH($E791,CA!$A$2:$A$78,0)),
"")</f>
        <v>NORTHWEST</v>
      </c>
      <c r="L791" s="15" t="e">
        <v>#VALUE!</v>
      </c>
      <c r="M791" s="15" t="e">
        <v>#VALUE!</v>
      </c>
      <c r="N791" s="15" t="e">
        <v>#VALUE!</v>
      </c>
      <c r="O791" s="15" t="e">
        <v>#VALUE!</v>
      </c>
      <c r="P791" s="15" t="e">
        <v>#VALUE!</v>
      </c>
      <c r="Q791" s="15" t="e">
        <v>#VALUE!</v>
      </c>
      <c r="R791" s="15" t="e">
        <v>#VALUE!</v>
      </c>
      <c r="S791" s="15" t="e">
        <v>#VALUE!</v>
      </c>
      <c r="T791" s="129">
        <v>0</v>
      </c>
      <c r="U791" s="130" t="e">
        <f t="shared" si="51"/>
        <v>#VALUE!</v>
      </c>
      <c r="V791" s="129">
        <v>0</v>
      </c>
      <c r="W791" s="130" t="e">
        <f t="shared" si="48"/>
        <v>#VALUE!</v>
      </c>
      <c r="X791" s="129">
        <v>0</v>
      </c>
      <c r="Y791" s="130" t="e">
        <f t="shared" si="49"/>
        <v>#VALUE!</v>
      </c>
      <c r="Z791" s="129">
        <v>0</v>
      </c>
      <c r="AA791" s="130" t="e">
        <f t="shared" si="50"/>
        <v>#VALUE!</v>
      </c>
    </row>
    <row r="792" spans="1:27" x14ac:dyDescent="0.3">
      <c r="A792">
        <v>90300</v>
      </c>
      <c r="B792">
        <v>17031090300</v>
      </c>
      <c r="C792">
        <v>17031</v>
      </c>
      <c r="D792">
        <v>2010</v>
      </c>
      <c r="E792">
        <v>9</v>
      </c>
      <c r="F792">
        <v>5157947.9262242597</v>
      </c>
      <c r="G792" s="43">
        <v>0.18501592366219941</v>
      </c>
      <c r="H792" s="58" t="str">
        <f>_xlfn.IFNA(
INDEX(CA!B$2:B$78,MATCH($E792,CA!$A$2:$A$78,0)),
"")</f>
        <v>EDISON PARK</v>
      </c>
      <c r="I792" s="60" t="str">
        <f>_xlfn.IFNA(
INDEX(CA!C$2:C$78,MATCH($E792,CA!$A$2:$A$78,0)),
"")</f>
        <v>2-C</v>
      </c>
      <c r="J792" s="60">
        <f>_xlfn.IFNA(
INDEX(CA!D$2:D$78,MATCH($E792,CA!$A$2:$A$78,0)),
"")</f>
        <v>2</v>
      </c>
      <c r="K792" s="58" t="str">
        <f>_xlfn.IFNA(
INDEX(CA!E$2:E$78,MATCH($E792,CA!$A$2:$A$78,0)),
"")</f>
        <v>NORTHWEST</v>
      </c>
      <c r="L792" s="15" t="e">
        <v>#VALUE!</v>
      </c>
      <c r="M792" s="15" t="e">
        <v>#VALUE!</v>
      </c>
      <c r="N792" s="15" t="e">
        <v>#VALUE!</v>
      </c>
      <c r="O792" s="15" t="e">
        <v>#VALUE!</v>
      </c>
      <c r="P792" s="15" t="e">
        <v>#VALUE!</v>
      </c>
      <c r="Q792" s="15" t="e">
        <v>#VALUE!</v>
      </c>
      <c r="R792" s="15" t="e">
        <v>#VALUE!</v>
      </c>
      <c r="S792" s="15" t="e">
        <v>#VALUE!</v>
      </c>
      <c r="T792" s="129">
        <v>0.18313845084633623</v>
      </c>
      <c r="U792" s="130" t="e">
        <f t="shared" si="51"/>
        <v>#VALUE!</v>
      </c>
      <c r="V792" s="129">
        <v>9.1514371033797851E-2</v>
      </c>
      <c r="W792" s="130" t="e">
        <f t="shared" si="48"/>
        <v>#VALUE!</v>
      </c>
      <c r="X792" s="129">
        <v>9.1514371033797851E-2</v>
      </c>
      <c r="Y792" s="130" t="e">
        <f t="shared" si="49"/>
        <v>#VALUE!</v>
      </c>
      <c r="Z792" s="129">
        <v>9.1514371033797851E-2</v>
      </c>
      <c r="AA792" s="130" t="e">
        <f t="shared" si="50"/>
        <v>#VALUE!</v>
      </c>
    </row>
    <row r="793" spans="1:27" x14ac:dyDescent="0.3">
      <c r="A793">
        <v>90200</v>
      </c>
      <c r="B793">
        <v>17031090200</v>
      </c>
      <c r="C793">
        <v>17031</v>
      </c>
      <c r="D793">
        <v>2010</v>
      </c>
      <c r="E793">
        <v>9</v>
      </c>
      <c r="F793">
        <v>16430257.346206401</v>
      </c>
      <c r="G793" s="43">
        <v>0.58935438713148536</v>
      </c>
      <c r="H793" s="58" t="str">
        <f>_xlfn.IFNA(
INDEX(CA!B$2:B$78,MATCH($E793,CA!$A$2:$A$78,0)),
"")</f>
        <v>EDISON PARK</v>
      </c>
      <c r="I793" s="60" t="str">
        <f>_xlfn.IFNA(
INDEX(CA!C$2:C$78,MATCH($E793,CA!$A$2:$A$78,0)),
"")</f>
        <v>2-C</v>
      </c>
      <c r="J793" s="60">
        <f>_xlfn.IFNA(
INDEX(CA!D$2:D$78,MATCH($E793,CA!$A$2:$A$78,0)),
"")</f>
        <v>2</v>
      </c>
      <c r="K793" s="58" t="str">
        <f>_xlfn.IFNA(
INDEX(CA!E$2:E$78,MATCH($E793,CA!$A$2:$A$78,0)),
"")</f>
        <v>NORTHWEST</v>
      </c>
      <c r="L793" s="15" t="e">
        <v>#VALUE!</v>
      </c>
      <c r="M793" s="15" t="e">
        <v>#VALUE!</v>
      </c>
      <c r="N793" s="15" t="e">
        <v>#VALUE!</v>
      </c>
      <c r="O793" s="15" t="e">
        <v>#VALUE!</v>
      </c>
      <c r="P793" s="15" t="e">
        <v>#VALUE!</v>
      </c>
      <c r="Q793" s="15" t="e">
        <v>#VALUE!</v>
      </c>
      <c r="R793" s="15" t="e">
        <v>#VALUE!</v>
      </c>
      <c r="S793" s="15" t="e">
        <v>#VALUE!</v>
      </c>
      <c r="T793" s="129">
        <v>0.33872701061260224</v>
      </c>
      <c r="U793" s="130" t="e">
        <f t="shared" si="51"/>
        <v>#VALUE!</v>
      </c>
      <c r="V793" s="129">
        <v>0.17478255718855351</v>
      </c>
      <c r="W793" s="130" t="e">
        <f t="shared" si="48"/>
        <v>#VALUE!</v>
      </c>
      <c r="X793" s="129">
        <v>0.17478255718855351</v>
      </c>
      <c r="Y793" s="130" t="e">
        <f t="shared" si="49"/>
        <v>#VALUE!</v>
      </c>
      <c r="Z793" s="129">
        <v>0.17478255718855351</v>
      </c>
      <c r="AA793" s="130" t="e">
        <f t="shared" si="50"/>
        <v>#VALUE!</v>
      </c>
    </row>
    <row r="794" spans="1:27" x14ac:dyDescent="0.3">
      <c r="A794">
        <v>840000</v>
      </c>
      <c r="B794">
        <v>17031840000</v>
      </c>
      <c r="C794">
        <v>17031</v>
      </c>
      <c r="D794">
        <v>2010</v>
      </c>
      <c r="E794">
        <v>60</v>
      </c>
      <c r="F794">
        <v>6259256.5257758098</v>
      </c>
      <c r="G794" s="43">
        <v>0.22451993391929989</v>
      </c>
      <c r="H794" s="58" t="str">
        <f>_xlfn.IFNA(
INDEX(CA!B$2:B$78,MATCH($E794,CA!$A$2:$A$78,0)),
"")</f>
        <v>BRIDGEPORT</v>
      </c>
      <c r="I794" s="60" t="str">
        <f>_xlfn.IFNA(
INDEX(CA!C$2:C$78,MATCH($E794,CA!$A$2:$A$78,0)),
"")</f>
        <v>4-A</v>
      </c>
      <c r="J794" s="60">
        <f>_xlfn.IFNA(
INDEX(CA!D$2:D$78,MATCH($E794,CA!$A$2:$A$78,0)),
"")</f>
        <v>4</v>
      </c>
      <c r="K794" s="58" t="str">
        <f>_xlfn.IFNA(
INDEX(CA!E$2:E$78,MATCH($E794,CA!$A$2:$A$78,0)),
"")</f>
        <v>SOUTHWEST</v>
      </c>
      <c r="L794" s="15" t="e">
        <v>#VALUE!</v>
      </c>
      <c r="M794" s="15" t="e">
        <v>#VALUE!</v>
      </c>
      <c r="N794" s="15" t="e">
        <v>#VALUE!</v>
      </c>
      <c r="O794" s="15" t="e">
        <v>#VALUE!</v>
      </c>
      <c r="P794" s="15" t="e">
        <v>#VALUE!</v>
      </c>
      <c r="Q794" s="15" t="e">
        <v>#VALUE!</v>
      </c>
      <c r="R794" s="15" t="e">
        <v>#VALUE!</v>
      </c>
      <c r="S794" s="15" t="e">
        <v>#VALUE!</v>
      </c>
      <c r="T794" s="129">
        <v>0.22408751521974218</v>
      </c>
      <c r="U794" s="130" t="e">
        <f t="shared" si="51"/>
        <v>#VALUE!</v>
      </c>
      <c r="V794" s="129">
        <v>0.22408751521974218</v>
      </c>
      <c r="W794" s="130" t="e">
        <f t="shared" si="48"/>
        <v>#VALUE!</v>
      </c>
      <c r="X794" s="129">
        <v>0.22408751521974218</v>
      </c>
      <c r="Y794" s="130" t="e">
        <f t="shared" si="49"/>
        <v>#VALUE!</v>
      </c>
      <c r="Z794" s="129">
        <v>0.22408751521974218</v>
      </c>
      <c r="AA794" s="130" t="e">
        <f t="shared" si="50"/>
        <v>#VALUE!</v>
      </c>
    </row>
    <row r="795" spans="1:27" x14ac:dyDescent="0.3">
      <c r="A795">
        <v>842600</v>
      </c>
      <c r="B795">
        <v>17031842600</v>
      </c>
      <c r="C795">
        <v>17031</v>
      </c>
      <c r="D795">
        <v>2010</v>
      </c>
      <c r="E795">
        <v>61</v>
      </c>
      <c r="F795">
        <v>39613989.010543801</v>
      </c>
      <c r="G795" s="43">
        <v>1.4209563321619534</v>
      </c>
      <c r="H795" s="58" t="str">
        <f>_xlfn.IFNA(
INDEX(CA!B$2:B$78,MATCH($E795,CA!$A$2:$A$78,0)),
"")</f>
        <v>NEW CITY</v>
      </c>
      <c r="I795" s="60" t="str">
        <f>_xlfn.IFNA(
INDEX(CA!C$2:C$78,MATCH($E795,CA!$A$2:$A$78,0)),
"")</f>
        <v>4-A</v>
      </c>
      <c r="J795" s="60">
        <f>_xlfn.IFNA(
INDEX(CA!D$2:D$78,MATCH($E795,CA!$A$2:$A$78,0)),
"")</f>
        <v>4</v>
      </c>
      <c r="K795" s="58" t="str">
        <f>_xlfn.IFNA(
INDEX(CA!E$2:E$78,MATCH($E795,CA!$A$2:$A$78,0)),
"")</f>
        <v>SOUTHWEST</v>
      </c>
      <c r="L795" s="15" t="e">
        <v>#VALUE!</v>
      </c>
      <c r="M795" s="15" t="e">
        <v>#VALUE!</v>
      </c>
      <c r="N795" s="15" t="e">
        <v>#VALUE!</v>
      </c>
      <c r="O795" s="15" t="e">
        <v>#VALUE!</v>
      </c>
      <c r="P795" s="15" t="e">
        <v>#VALUE!</v>
      </c>
      <c r="Q795" s="15" t="e">
        <v>#VALUE!</v>
      </c>
      <c r="R795" s="15" t="e">
        <v>#VALUE!</v>
      </c>
      <c r="S795" s="15" t="e">
        <v>#VALUE!</v>
      </c>
      <c r="T795" s="129">
        <v>1.3091735717353399</v>
      </c>
      <c r="U795" s="130" t="e">
        <f t="shared" si="51"/>
        <v>#VALUE!</v>
      </c>
      <c r="V795" s="129">
        <v>1.3091735717353399</v>
      </c>
      <c r="W795" s="130" t="e">
        <f t="shared" si="48"/>
        <v>#VALUE!</v>
      </c>
      <c r="X795" s="129">
        <v>1.3091735717353399</v>
      </c>
      <c r="Y795" s="130" t="e">
        <f t="shared" si="49"/>
        <v>#VALUE!</v>
      </c>
      <c r="Z795" s="129">
        <v>1.3091735717353399</v>
      </c>
      <c r="AA795" s="130" t="e">
        <f t="shared" si="50"/>
        <v>#VALUE!</v>
      </c>
    </row>
    <row r="796" spans="1:27" x14ac:dyDescent="0.3">
      <c r="A796">
        <v>843900</v>
      </c>
      <c r="B796">
        <v>17031843900</v>
      </c>
      <c r="C796">
        <v>17031</v>
      </c>
      <c r="D796">
        <v>2010</v>
      </c>
      <c r="E796">
        <v>42</v>
      </c>
      <c r="F796">
        <v>16582763.574752601</v>
      </c>
      <c r="G796" s="43">
        <v>0.59482479535240906</v>
      </c>
      <c r="H796" s="58" t="str">
        <f>_xlfn.IFNA(
INDEX(CA!B$2:B$78,MATCH($E796,CA!$A$2:$A$78,0)),
"")</f>
        <v>WOODLAWN</v>
      </c>
      <c r="I796" s="60" t="str">
        <f>_xlfn.IFNA(
INDEX(CA!C$2:C$78,MATCH($E796,CA!$A$2:$A$78,0)),
"")</f>
        <v>6-B</v>
      </c>
      <c r="J796" s="60">
        <f>_xlfn.IFNA(
INDEX(CA!D$2:D$78,MATCH($E796,CA!$A$2:$A$78,0)),
"")</f>
        <v>6</v>
      </c>
      <c r="K796" s="58" t="str">
        <f>_xlfn.IFNA(
INDEX(CA!E$2:E$78,MATCH($E796,CA!$A$2:$A$78,0)),
"")</f>
        <v>SOUTH</v>
      </c>
      <c r="L796" s="15" t="e">
        <v>#VALUE!</v>
      </c>
      <c r="M796" s="15" t="e">
        <v>#VALUE!</v>
      </c>
      <c r="N796" s="15" t="e">
        <v>#VALUE!</v>
      </c>
      <c r="O796" s="15" t="e">
        <v>#VALUE!</v>
      </c>
      <c r="P796" s="15" t="e">
        <v>#VALUE!</v>
      </c>
      <c r="Q796" s="15" t="e">
        <v>#VALUE!</v>
      </c>
      <c r="R796" s="15" t="e">
        <v>#VALUE!</v>
      </c>
      <c r="S796" s="15" t="e">
        <v>#VALUE!</v>
      </c>
      <c r="T796" s="129">
        <v>0.59482479632382057</v>
      </c>
      <c r="U796" s="130" t="e">
        <f t="shared" si="51"/>
        <v>#VALUE!</v>
      </c>
      <c r="V796" s="129">
        <v>0.59482479632382057</v>
      </c>
      <c r="W796" s="130" t="e">
        <f t="shared" si="48"/>
        <v>#VALUE!</v>
      </c>
      <c r="X796" s="129">
        <v>0.59482479632382057</v>
      </c>
      <c r="Y796" s="130" t="e">
        <f t="shared" si="49"/>
        <v>#VALUE!</v>
      </c>
      <c r="Z796" s="129">
        <v>0.59482479632382057</v>
      </c>
      <c r="AA796" s="130" t="e">
        <f t="shared" si="50"/>
        <v>#VALUE!</v>
      </c>
    </row>
    <row r="797" spans="1:27" x14ac:dyDescent="0.3">
      <c r="A797">
        <v>430400</v>
      </c>
      <c r="B797">
        <v>17031430400</v>
      </c>
      <c r="C797">
        <v>17031</v>
      </c>
      <c r="D797">
        <v>2010</v>
      </c>
      <c r="E797">
        <v>43</v>
      </c>
      <c r="F797">
        <v>5774723.4992509698</v>
      </c>
      <c r="G797" s="43">
        <v>0.20713970311248026</v>
      </c>
      <c r="H797" s="58" t="str">
        <f>_xlfn.IFNA(
INDEX(CA!B$2:B$78,MATCH($E797,CA!$A$2:$A$78,0)),
"")</f>
        <v>SOUTH SHORE</v>
      </c>
      <c r="I797" s="60" t="str">
        <f>_xlfn.IFNA(
INDEX(CA!C$2:C$78,MATCH($E797,CA!$A$2:$A$78,0)),
"")</f>
        <v>6-B</v>
      </c>
      <c r="J797" s="60">
        <f>_xlfn.IFNA(
INDEX(CA!D$2:D$78,MATCH($E797,CA!$A$2:$A$78,0)),
"")</f>
        <v>6</v>
      </c>
      <c r="K797" s="58" t="str">
        <f>_xlfn.IFNA(
INDEX(CA!E$2:E$78,MATCH($E797,CA!$A$2:$A$78,0)),
"")</f>
        <v>SOUTH</v>
      </c>
      <c r="L797" s="15" t="e">
        <v>#VALUE!</v>
      </c>
      <c r="M797" s="15" t="e">
        <v>#VALUE!</v>
      </c>
      <c r="N797" s="15" t="e">
        <v>#VALUE!</v>
      </c>
      <c r="O797" s="15" t="e">
        <v>#VALUE!</v>
      </c>
      <c r="P797" s="15" t="e">
        <v>#VALUE!</v>
      </c>
      <c r="Q797" s="15" t="e">
        <v>#VALUE!</v>
      </c>
      <c r="R797" s="15" t="e">
        <v>#VALUE!</v>
      </c>
      <c r="S797" s="15" t="e">
        <v>#VALUE!</v>
      </c>
      <c r="T797" s="129">
        <v>0.20688630579579423</v>
      </c>
      <c r="U797" s="130" t="e">
        <f t="shared" si="51"/>
        <v>#VALUE!</v>
      </c>
      <c r="V797" s="129">
        <v>0.20688630579579423</v>
      </c>
      <c r="W797" s="130" t="e">
        <f t="shared" si="48"/>
        <v>#VALUE!</v>
      </c>
      <c r="X797" s="129">
        <v>0.20688630579579423</v>
      </c>
      <c r="Y797" s="130" t="e">
        <f t="shared" si="49"/>
        <v>#VALUE!</v>
      </c>
      <c r="Z797" s="129">
        <v>0.20688630579579423</v>
      </c>
      <c r="AA797" s="130" t="e">
        <f t="shared" si="50"/>
        <v>#VALUE!</v>
      </c>
    </row>
    <row r="798" spans="1:27" x14ac:dyDescent="0.3">
      <c r="A798">
        <v>841800</v>
      </c>
      <c r="B798">
        <v>17031841800</v>
      </c>
      <c r="C798">
        <v>17031</v>
      </c>
      <c r="D798">
        <v>2010</v>
      </c>
      <c r="E798">
        <v>69</v>
      </c>
      <c r="F798">
        <v>17778153.118316099</v>
      </c>
      <c r="G798" s="43">
        <v>0.63770349511866176</v>
      </c>
      <c r="H798" s="58" t="str">
        <f>_xlfn.IFNA(
INDEX(CA!B$2:B$78,MATCH($E798,CA!$A$2:$A$78,0)),
"")</f>
        <v>GREATER GRAND CROSSING</v>
      </c>
      <c r="I798" s="60" t="str">
        <f>_xlfn.IFNA(
INDEX(CA!C$2:C$78,MATCH($E798,CA!$A$2:$A$78,0)),
"")</f>
        <v>6-B</v>
      </c>
      <c r="J798" s="60">
        <f>_xlfn.IFNA(
INDEX(CA!D$2:D$78,MATCH($E798,CA!$A$2:$A$78,0)),
"")</f>
        <v>6</v>
      </c>
      <c r="K798" s="58" t="str">
        <f>_xlfn.IFNA(
INDEX(CA!E$2:E$78,MATCH($E798,CA!$A$2:$A$78,0)),
"")</f>
        <v>SOUTH</v>
      </c>
      <c r="L798" s="15" t="e">
        <v>#VALUE!</v>
      </c>
      <c r="M798" s="15" t="e">
        <v>#VALUE!</v>
      </c>
      <c r="N798" s="15" t="e">
        <v>#VALUE!</v>
      </c>
      <c r="O798" s="15" t="e">
        <v>#VALUE!</v>
      </c>
      <c r="P798" s="15" t="e">
        <v>#VALUE!</v>
      </c>
      <c r="Q798" s="15" t="e">
        <v>#VALUE!</v>
      </c>
      <c r="R798" s="15" t="e">
        <v>#VALUE!</v>
      </c>
      <c r="S798" s="15" t="e">
        <v>#VALUE!</v>
      </c>
      <c r="T798" s="129">
        <v>0.63262222195689133</v>
      </c>
      <c r="U798" s="130" t="e">
        <f t="shared" si="51"/>
        <v>#VALUE!</v>
      </c>
      <c r="V798" s="129">
        <v>0.63262222195689133</v>
      </c>
      <c r="W798" s="130" t="e">
        <f t="shared" si="48"/>
        <v>#VALUE!</v>
      </c>
      <c r="X798" s="129">
        <v>0.63262222195689133</v>
      </c>
      <c r="Y798" s="130" t="e">
        <f t="shared" si="49"/>
        <v>#VALUE!</v>
      </c>
      <c r="Z798" s="129">
        <v>0.63262222195689133</v>
      </c>
      <c r="AA798" s="130" t="e">
        <f t="shared" si="50"/>
        <v>#VALUE!</v>
      </c>
    </row>
    <row r="799" spans="1:27" x14ac:dyDescent="0.3">
      <c r="A799">
        <v>843500</v>
      </c>
      <c r="B799">
        <v>17031843500</v>
      </c>
      <c r="C799">
        <v>17031</v>
      </c>
      <c r="D799">
        <v>2010</v>
      </c>
      <c r="E799">
        <v>30</v>
      </c>
      <c r="F799">
        <v>21686969.657772802</v>
      </c>
      <c r="G799" s="43">
        <v>0.77791299564439864</v>
      </c>
      <c r="H799" s="58" t="str">
        <f>_xlfn.IFNA(
INDEX(CA!B$2:B$78,MATCH($E799,CA!$A$2:$A$78,0)),
"")</f>
        <v>SOUTH LAWNDALE</v>
      </c>
      <c r="I799" s="60" t="str">
        <f>_xlfn.IFNA(
INDEX(CA!C$2:C$78,MATCH($E799,CA!$A$2:$A$78,0)),
"")</f>
        <v>3-A</v>
      </c>
      <c r="J799" s="60">
        <f>_xlfn.IFNA(
INDEX(CA!D$2:D$78,MATCH($E799,CA!$A$2:$A$78,0)),
"")</f>
        <v>3</v>
      </c>
      <c r="K799" s="58" t="str">
        <f>_xlfn.IFNA(
INDEX(CA!E$2:E$78,MATCH($E799,CA!$A$2:$A$78,0)),
"")</f>
        <v>WEST</v>
      </c>
      <c r="L799" s="15" t="e">
        <v>#VALUE!</v>
      </c>
      <c r="M799" s="15" t="e">
        <v>#VALUE!</v>
      </c>
      <c r="N799" s="15" t="e">
        <v>#VALUE!</v>
      </c>
      <c r="O799" s="15" t="e">
        <v>#VALUE!</v>
      </c>
      <c r="P799" s="15" t="e">
        <v>#VALUE!</v>
      </c>
      <c r="Q799" s="15" t="e">
        <v>#VALUE!</v>
      </c>
      <c r="R799" s="15" t="e">
        <v>#VALUE!</v>
      </c>
      <c r="S799" s="15" t="e">
        <v>#VALUE!</v>
      </c>
      <c r="T799" s="129">
        <v>0.69597334158496904</v>
      </c>
      <c r="U799" s="130" t="e">
        <f t="shared" si="51"/>
        <v>#VALUE!</v>
      </c>
      <c r="V799" s="129">
        <v>0.68065492229662383</v>
      </c>
      <c r="W799" s="130" t="e">
        <f t="shared" si="48"/>
        <v>#VALUE!</v>
      </c>
      <c r="X799" s="129">
        <v>0.68065492229662383</v>
      </c>
      <c r="Y799" s="130" t="e">
        <f t="shared" si="49"/>
        <v>#VALUE!</v>
      </c>
      <c r="Z799" s="129">
        <v>0.68065492229662383</v>
      </c>
      <c r="AA799" s="130" t="e">
        <f t="shared" si="50"/>
        <v>#VALUE!</v>
      </c>
    </row>
    <row r="800" spans="1:27" x14ac:dyDescent="0.3">
      <c r="A800">
        <v>823304</v>
      </c>
      <c r="B800">
        <v>17031823304</v>
      </c>
      <c r="C800">
        <v>17031</v>
      </c>
      <c r="D800">
        <v>2010</v>
      </c>
      <c r="E800">
        <v>75</v>
      </c>
      <c r="F800">
        <v>7019097.8020518003</v>
      </c>
      <c r="G800" s="43">
        <v>0.25177548934127497</v>
      </c>
      <c r="H800" s="58" t="str">
        <f>_xlfn.IFNA(
INDEX(CA!B$2:B$78,MATCH($E800,CA!$A$2:$A$78,0)),
"")</f>
        <v>MORGAN PARK</v>
      </c>
      <c r="I800" s="60" t="str">
        <f>_xlfn.IFNA(
INDEX(CA!C$2:C$78,MATCH($E800,CA!$A$2:$A$78,0)),
"")</f>
        <v>5-B</v>
      </c>
      <c r="J800" s="60">
        <f>_xlfn.IFNA(
INDEX(CA!D$2:D$78,MATCH($E800,CA!$A$2:$A$78,0)),
"")</f>
        <v>5</v>
      </c>
      <c r="K800" s="58" t="str">
        <f>_xlfn.IFNA(
INDEX(CA!E$2:E$78,MATCH($E800,CA!$A$2:$A$78,0)),
"")</f>
        <v>FAR SOUTH</v>
      </c>
      <c r="L800" s="15" t="e">
        <v>#VALUE!</v>
      </c>
      <c r="M800" s="15" t="e">
        <v>#VALUE!</v>
      </c>
      <c r="N800" s="15" t="e">
        <v>#VALUE!</v>
      </c>
      <c r="O800" s="15" t="e">
        <v>#VALUE!</v>
      </c>
      <c r="P800" s="15" t="e">
        <v>#VALUE!</v>
      </c>
      <c r="Q800" s="15" t="e">
        <v>#VALUE!</v>
      </c>
      <c r="R800" s="15" t="e">
        <v>#VALUE!</v>
      </c>
      <c r="S800" s="15" t="e">
        <v>#VALUE!</v>
      </c>
      <c r="T800" s="129">
        <v>0</v>
      </c>
      <c r="U800" s="130" t="e">
        <f t="shared" si="51"/>
        <v>#VALUE!</v>
      </c>
      <c r="V800" s="129">
        <v>0</v>
      </c>
      <c r="W800" s="130" t="e">
        <f t="shared" si="48"/>
        <v>#VALUE!</v>
      </c>
      <c r="X800" s="129">
        <v>0</v>
      </c>
      <c r="Y800" s="130" t="e">
        <f t="shared" si="49"/>
        <v>#VALUE!</v>
      </c>
      <c r="Z800" s="129">
        <v>0</v>
      </c>
      <c r="AA800" s="130" t="e">
        <f t="shared" si="50"/>
        <v>#VALUE!</v>
      </c>
    </row>
    <row r="801" spans="1:27" x14ac:dyDescent="0.3">
      <c r="A801">
        <v>81402</v>
      </c>
      <c r="B801">
        <v>17031081402</v>
      </c>
      <c r="C801">
        <v>17031</v>
      </c>
      <c r="D801">
        <v>2010</v>
      </c>
      <c r="E801">
        <v>8</v>
      </c>
      <c r="F801">
        <v>6408031.0933575397</v>
      </c>
      <c r="G801" s="43">
        <v>0.22985648722156005</v>
      </c>
      <c r="H801" s="58" t="str">
        <f>_xlfn.IFNA(
INDEX(CA!B$2:B$78,MATCH($E801,CA!$A$2:$A$78,0)),
"")</f>
        <v>NEAR NORTH SIDE</v>
      </c>
      <c r="I801" s="60">
        <f>_xlfn.IFNA(
INDEX(CA!C$2:C$78,MATCH($E801,CA!$A$2:$A$78,0)),
"")</f>
        <v>7</v>
      </c>
      <c r="J801" s="60">
        <f>_xlfn.IFNA(
INDEX(CA!D$2:D$78,MATCH($E801,CA!$A$2:$A$78,0)),
"")</f>
        <v>7</v>
      </c>
      <c r="K801" s="58" t="str">
        <f>_xlfn.IFNA(
INDEX(CA!E$2:E$78,MATCH($E801,CA!$A$2:$A$78,0)),
"")</f>
        <v>CENTRAL</v>
      </c>
      <c r="L801" s="15" t="e">
        <v>#VALUE!</v>
      </c>
      <c r="M801" s="15" t="e">
        <v>#VALUE!</v>
      </c>
      <c r="N801" s="15" t="e">
        <v>#VALUE!</v>
      </c>
      <c r="O801" s="15" t="e">
        <v>#VALUE!</v>
      </c>
      <c r="P801" s="15" t="e">
        <v>#VALUE!</v>
      </c>
      <c r="Q801" s="15" t="e">
        <v>#VALUE!</v>
      </c>
      <c r="R801" s="15" t="e">
        <v>#VALUE!</v>
      </c>
      <c r="S801" s="15" t="e">
        <v>#VALUE!</v>
      </c>
      <c r="T801" s="129">
        <v>0.22518828735508925</v>
      </c>
      <c r="U801" s="130" t="e">
        <f t="shared" si="51"/>
        <v>#VALUE!</v>
      </c>
      <c r="V801" s="129">
        <v>0.22518828735508925</v>
      </c>
      <c r="W801" s="130" t="e">
        <f t="shared" si="48"/>
        <v>#VALUE!</v>
      </c>
      <c r="X801" s="129">
        <v>0.22518828735508925</v>
      </c>
      <c r="Y801" s="130" t="e">
        <f t="shared" si="49"/>
        <v>#VALUE!</v>
      </c>
      <c r="Z801" s="129">
        <v>0.22518828735508925</v>
      </c>
      <c r="AA801" s="130" t="e">
        <f t="shared" si="50"/>
        <v>#VALUE!</v>
      </c>
    </row>
    <row r="802" spans="1:27" x14ac:dyDescent="0.3">
      <c r="A802">
        <v>81403</v>
      </c>
      <c r="B802">
        <v>17031081403</v>
      </c>
      <c r="C802">
        <v>17031</v>
      </c>
      <c r="D802">
        <v>2010</v>
      </c>
      <c r="E802">
        <v>8</v>
      </c>
      <c r="F802">
        <v>6992036.5488326596</v>
      </c>
      <c r="G802" s="43">
        <v>0.25080480044882991</v>
      </c>
      <c r="H802" s="58" t="str">
        <f>_xlfn.IFNA(
INDEX(CA!B$2:B$78,MATCH($E802,CA!$A$2:$A$78,0)),
"")</f>
        <v>NEAR NORTH SIDE</v>
      </c>
      <c r="I802" s="60">
        <f>_xlfn.IFNA(
INDEX(CA!C$2:C$78,MATCH($E802,CA!$A$2:$A$78,0)),
"")</f>
        <v>7</v>
      </c>
      <c r="J802" s="60">
        <f>_xlfn.IFNA(
INDEX(CA!D$2:D$78,MATCH($E802,CA!$A$2:$A$78,0)),
"")</f>
        <v>7</v>
      </c>
      <c r="K802" s="58" t="str">
        <f>_xlfn.IFNA(
INDEX(CA!E$2:E$78,MATCH($E802,CA!$A$2:$A$78,0)),
"")</f>
        <v>CENTRAL</v>
      </c>
      <c r="L802" s="15" t="e">
        <v>#VALUE!</v>
      </c>
      <c r="M802" s="15" t="e">
        <v>#VALUE!</v>
      </c>
      <c r="N802" s="15" t="e">
        <v>#VALUE!</v>
      </c>
      <c r="O802" s="15" t="e">
        <v>#VALUE!</v>
      </c>
      <c r="P802" s="15" t="e">
        <v>#VALUE!</v>
      </c>
      <c r="Q802" s="15" t="e">
        <v>#VALUE!</v>
      </c>
      <c r="R802" s="15" t="e">
        <v>#VALUE!</v>
      </c>
      <c r="S802" s="15" t="e">
        <v>#VALUE!</v>
      </c>
      <c r="T802" s="129">
        <v>0.25080479999257455</v>
      </c>
      <c r="U802" s="130" t="e">
        <f t="shared" si="51"/>
        <v>#VALUE!</v>
      </c>
      <c r="V802" s="129">
        <v>0.25080479999257455</v>
      </c>
      <c r="W802" s="130" t="e">
        <f t="shared" si="48"/>
        <v>#VALUE!</v>
      </c>
      <c r="X802" s="129">
        <v>0.25080479999257455</v>
      </c>
      <c r="Y802" s="130" t="e">
        <f t="shared" si="49"/>
        <v>#VALUE!</v>
      </c>
      <c r="Z802" s="129">
        <v>0.25080479999257455</v>
      </c>
      <c r="AA802" s="130" t="e">
        <f t="shared" si="50"/>
        <v>#VALUE!</v>
      </c>
    </row>
    <row r="803" spans="1:27" x14ac:dyDescent="0.3">
      <c r="A803">
        <v>810400</v>
      </c>
      <c r="B803">
        <v>17031810400</v>
      </c>
      <c r="C803">
        <v>17031</v>
      </c>
      <c r="D803">
        <v>2010</v>
      </c>
      <c r="E803">
        <v>0</v>
      </c>
      <c r="F803">
        <v>9175008.6098155193</v>
      </c>
      <c r="G803" s="43">
        <v>0.32910814859588494</v>
      </c>
      <c r="H803" s="58" t="str">
        <f>_xlfn.IFNA(
INDEX(CA!B$2:B$78,MATCH($E803,CA!$A$2:$A$78,0)),
"")</f>
        <v/>
      </c>
      <c r="I803" s="60" t="str">
        <f>_xlfn.IFNA(
INDEX(CA!C$2:C$78,MATCH($E803,CA!$A$2:$A$78,0)),
"")</f>
        <v/>
      </c>
      <c r="J803" s="60" t="str">
        <f>_xlfn.IFNA(
INDEX(CA!D$2:D$78,MATCH($E803,CA!$A$2:$A$78,0)),
"")</f>
        <v/>
      </c>
      <c r="K803" s="58" t="str">
        <f>_xlfn.IFNA(
INDEX(CA!E$2:E$78,MATCH($E803,CA!$A$2:$A$78,0)),
"")</f>
        <v/>
      </c>
      <c r="L803" s="15" t="e">
        <v>#VALUE!</v>
      </c>
      <c r="M803" s="15" t="e">
        <v>#VALUE!</v>
      </c>
      <c r="N803" s="15" t="e">
        <v>#VALUE!</v>
      </c>
      <c r="O803" s="15" t="e">
        <v>#VALUE!</v>
      </c>
      <c r="P803" s="15" t="e">
        <v>#VALUE!</v>
      </c>
      <c r="Q803" s="15" t="e">
        <v>#VALUE!</v>
      </c>
      <c r="R803" s="15" t="e">
        <v>#VALUE!</v>
      </c>
      <c r="S803" s="15" t="e">
        <v>#VALUE!</v>
      </c>
      <c r="T803" s="129">
        <v>0</v>
      </c>
      <c r="U803" s="130" t="e">
        <f t="shared" si="51"/>
        <v>#VALUE!</v>
      </c>
      <c r="V803" s="129">
        <v>0</v>
      </c>
      <c r="W803" s="130" t="e">
        <f t="shared" si="48"/>
        <v>#VALUE!</v>
      </c>
      <c r="X803" s="129">
        <v>0</v>
      </c>
      <c r="Y803" s="130" t="e">
        <f t="shared" si="49"/>
        <v>#VALUE!</v>
      </c>
      <c r="Z803" s="129">
        <v>0</v>
      </c>
      <c r="AA803" s="130" t="e">
        <f t="shared" si="50"/>
        <v>#VALUE!</v>
      </c>
    </row>
    <row r="804" spans="1:27" x14ac:dyDescent="0.3">
      <c r="A804">
        <v>835100</v>
      </c>
      <c r="B804">
        <v>17031835100</v>
      </c>
      <c r="C804">
        <v>17031</v>
      </c>
      <c r="D804">
        <v>2010</v>
      </c>
      <c r="E804">
        <v>63</v>
      </c>
      <c r="F804">
        <v>10608410.9068386</v>
      </c>
      <c r="G804" s="43">
        <v>0.38052438112799153</v>
      </c>
      <c r="H804" s="58" t="str">
        <f>_xlfn.IFNA(
INDEX(CA!B$2:B$78,MATCH($E804,CA!$A$2:$A$78,0)),
"")</f>
        <v>GAGE PARK</v>
      </c>
      <c r="I804" s="60" t="str">
        <f>_xlfn.IFNA(
INDEX(CA!C$2:C$78,MATCH($E804,CA!$A$2:$A$78,0)),
"")</f>
        <v>4-B</v>
      </c>
      <c r="J804" s="60">
        <f>_xlfn.IFNA(
INDEX(CA!D$2:D$78,MATCH($E804,CA!$A$2:$A$78,0)),
"")</f>
        <v>4</v>
      </c>
      <c r="K804" s="58" t="str">
        <f>_xlfn.IFNA(
INDEX(CA!E$2:E$78,MATCH($E804,CA!$A$2:$A$78,0)),
"")</f>
        <v>SOUTHWEST</v>
      </c>
      <c r="L804" s="15" t="e">
        <v>#VALUE!</v>
      </c>
      <c r="M804" s="15" t="e">
        <v>#VALUE!</v>
      </c>
      <c r="N804" s="15" t="e">
        <v>#VALUE!</v>
      </c>
      <c r="O804" s="15" t="e">
        <v>#VALUE!</v>
      </c>
      <c r="P804" s="15" t="e">
        <v>#VALUE!</v>
      </c>
      <c r="Q804" s="15" t="e">
        <v>#VALUE!</v>
      </c>
      <c r="R804" s="15" t="e">
        <v>#VALUE!</v>
      </c>
      <c r="S804" s="15" t="e">
        <v>#VALUE!</v>
      </c>
      <c r="T804" s="129">
        <v>0.37869079410226197</v>
      </c>
      <c r="U804" s="130" t="e">
        <f t="shared" si="51"/>
        <v>#VALUE!</v>
      </c>
      <c r="V804" s="129">
        <v>0.12499985155433059</v>
      </c>
      <c r="W804" s="130" t="e">
        <f t="shared" si="48"/>
        <v>#VALUE!</v>
      </c>
      <c r="X804" s="129">
        <v>0.12499985155433059</v>
      </c>
      <c r="Y804" s="130" t="e">
        <f t="shared" si="49"/>
        <v>#VALUE!</v>
      </c>
      <c r="Z804" s="129">
        <v>0.12499985155433059</v>
      </c>
      <c r="AA804" s="130" t="e">
        <f t="shared" si="50"/>
        <v>#VALUE!</v>
      </c>
    </row>
    <row r="805" spans="1:27" x14ac:dyDescent="0.3">
      <c r="A805">
        <v>671400</v>
      </c>
      <c r="B805">
        <v>17031671400</v>
      </c>
      <c r="C805">
        <v>17031</v>
      </c>
      <c r="D805">
        <v>2010</v>
      </c>
      <c r="E805">
        <v>67</v>
      </c>
      <c r="F805">
        <v>5332639.8624109896</v>
      </c>
      <c r="G805" s="43">
        <v>0.19128213464226748</v>
      </c>
      <c r="H805" s="58" t="str">
        <f>_xlfn.IFNA(
INDEX(CA!B$2:B$78,MATCH($E805,CA!$A$2:$A$78,0)),
"")</f>
        <v>WEST ENGLEWOOD</v>
      </c>
      <c r="I805" s="60" t="str">
        <f>_xlfn.IFNA(
INDEX(CA!C$2:C$78,MATCH($E805,CA!$A$2:$A$78,0)),
"")</f>
        <v>4-A</v>
      </c>
      <c r="J805" s="60">
        <f>_xlfn.IFNA(
INDEX(CA!D$2:D$78,MATCH($E805,CA!$A$2:$A$78,0)),
"")</f>
        <v>4</v>
      </c>
      <c r="K805" s="58" t="str">
        <f>_xlfn.IFNA(
INDEX(CA!E$2:E$78,MATCH($E805,CA!$A$2:$A$78,0)),
"")</f>
        <v>SOUTHWEST</v>
      </c>
      <c r="L805" s="15" t="e">
        <v>#VALUE!</v>
      </c>
      <c r="M805" s="15" t="e">
        <v>#VALUE!</v>
      </c>
      <c r="N805" s="15" t="e">
        <v>#VALUE!</v>
      </c>
      <c r="O805" s="15" t="e">
        <v>#VALUE!</v>
      </c>
      <c r="P805" s="15" t="e">
        <v>#VALUE!</v>
      </c>
      <c r="Q805" s="15" t="e">
        <v>#VALUE!</v>
      </c>
      <c r="R805" s="15" t="e">
        <v>#VALUE!</v>
      </c>
      <c r="S805" s="15" t="e">
        <v>#VALUE!</v>
      </c>
      <c r="T805" s="129">
        <v>0.19128212900645444</v>
      </c>
      <c r="U805" s="130" t="e">
        <f t="shared" si="51"/>
        <v>#VALUE!</v>
      </c>
      <c r="V805" s="129">
        <v>0.19128212900645444</v>
      </c>
      <c r="W805" s="130" t="e">
        <f t="shared" si="48"/>
        <v>#VALUE!</v>
      </c>
      <c r="X805" s="129">
        <v>0.19128212900645444</v>
      </c>
      <c r="Y805" s="130" t="e">
        <f t="shared" si="49"/>
        <v>#VALUE!</v>
      </c>
      <c r="Z805" s="129">
        <v>0.19128212900645444</v>
      </c>
      <c r="AA805" s="130" t="e">
        <f t="shared" si="50"/>
        <v>#VALUE!</v>
      </c>
    </row>
    <row r="806" spans="1:27" x14ac:dyDescent="0.3">
      <c r="A806">
        <v>834300</v>
      </c>
      <c r="B806">
        <v>17031834300</v>
      </c>
      <c r="C806">
        <v>17031</v>
      </c>
      <c r="D806">
        <v>2010</v>
      </c>
      <c r="E806">
        <v>45</v>
      </c>
      <c r="F806">
        <v>20332582.7349324</v>
      </c>
      <c r="G806" s="43">
        <v>0.72933104966326623</v>
      </c>
      <c r="H806" s="58" t="str">
        <f>_xlfn.IFNA(
INDEX(CA!B$2:B$78,MATCH($E806,CA!$A$2:$A$78,0)),
"")</f>
        <v>AVALON PARK</v>
      </c>
      <c r="I806" s="60" t="str">
        <f>_xlfn.IFNA(
INDEX(CA!C$2:C$78,MATCH($E806,CA!$A$2:$A$78,0)),
"")</f>
        <v>6-C</v>
      </c>
      <c r="J806" s="60">
        <f>_xlfn.IFNA(
INDEX(CA!D$2:D$78,MATCH($E806,CA!$A$2:$A$78,0)),
"")</f>
        <v>6</v>
      </c>
      <c r="K806" s="58" t="str">
        <f>_xlfn.IFNA(
INDEX(CA!E$2:E$78,MATCH($E806,CA!$A$2:$A$78,0)),
"")</f>
        <v>SOUTH</v>
      </c>
      <c r="L806" s="15" t="e">
        <v>#VALUE!</v>
      </c>
      <c r="M806" s="15" t="e">
        <v>#VALUE!</v>
      </c>
      <c r="N806" s="15" t="e">
        <v>#VALUE!</v>
      </c>
      <c r="O806" s="15" t="e">
        <v>#VALUE!</v>
      </c>
      <c r="P806" s="15" t="e">
        <v>#VALUE!</v>
      </c>
      <c r="Q806" s="15" t="e">
        <v>#VALUE!</v>
      </c>
      <c r="R806" s="15" t="e">
        <v>#VALUE!</v>
      </c>
      <c r="S806" s="15" t="e">
        <v>#VALUE!</v>
      </c>
      <c r="T806" s="129">
        <v>0.72766742150642072</v>
      </c>
      <c r="U806" s="130" t="e">
        <f t="shared" si="51"/>
        <v>#VALUE!</v>
      </c>
      <c r="V806" s="129">
        <v>0.72275376235720135</v>
      </c>
      <c r="W806" s="130" t="e">
        <f t="shared" si="48"/>
        <v>#VALUE!</v>
      </c>
      <c r="X806" s="129">
        <v>0.72275376235720135</v>
      </c>
      <c r="Y806" s="130" t="e">
        <f t="shared" si="49"/>
        <v>#VALUE!</v>
      </c>
      <c r="Z806" s="129">
        <v>0.72275376235720135</v>
      </c>
      <c r="AA806" s="130" t="e">
        <f t="shared" si="50"/>
        <v>#VALUE!</v>
      </c>
    </row>
    <row r="807" spans="1:27" x14ac:dyDescent="0.3">
      <c r="A807">
        <v>350100</v>
      </c>
      <c r="B807">
        <v>17031350100</v>
      </c>
      <c r="C807">
        <v>17031</v>
      </c>
      <c r="D807">
        <v>2010</v>
      </c>
      <c r="E807">
        <v>35</v>
      </c>
      <c r="F807">
        <v>6181722.3416438801</v>
      </c>
      <c r="G807" s="43">
        <v>0.2217387777506557</v>
      </c>
      <c r="H807" s="58" t="str">
        <f>_xlfn.IFNA(
INDEX(CA!B$2:B$78,MATCH($E807,CA!$A$2:$A$78,0)),
"")</f>
        <v>DOUGLAS</v>
      </c>
      <c r="I807" s="60" t="str">
        <f>_xlfn.IFNA(
INDEX(CA!C$2:C$78,MATCH($E807,CA!$A$2:$A$78,0)),
"")</f>
        <v>6-A</v>
      </c>
      <c r="J807" s="60">
        <f>_xlfn.IFNA(
INDEX(CA!D$2:D$78,MATCH($E807,CA!$A$2:$A$78,0)),
"")</f>
        <v>6</v>
      </c>
      <c r="K807" s="58" t="str">
        <f>_xlfn.IFNA(
INDEX(CA!E$2:E$78,MATCH($E807,CA!$A$2:$A$78,0)),
"")</f>
        <v>SOUTH</v>
      </c>
      <c r="L807" s="15" t="e">
        <v>#VALUE!</v>
      </c>
      <c r="M807" s="15" t="e">
        <v>#VALUE!</v>
      </c>
      <c r="N807" s="15" t="e">
        <v>#VALUE!</v>
      </c>
      <c r="O807" s="15" t="e">
        <v>#VALUE!</v>
      </c>
      <c r="P807" s="15" t="e">
        <v>#VALUE!</v>
      </c>
      <c r="Q807" s="15" t="e">
        <v>#VALUE!</v>
      </c>
      <c r="R807" s="15" t="e">
        <v>#VALUE!</v>
      </c>
      <c r="S807" s="15" t="e">
        <v>#VALUE!</v>
      </c>
      <c r="T807" s="129">
        <v>0.22173878521231563</v>
      </c>
      <c r="U807" s="130" t="e">
        <f t="shared" si="51"/>
        <v>#VALUE!</v>
      </c>
      <c r="V807" s="129">
        <v>0.22173878521231563</v>
      </c>
      <c r="W807" s="130" t="e">
        <f t="shared" si="48"/>
        <v>#VALUE!</v>
      </c>
      <c r="X807" s="129">
        <v>0.22173878521231563</v>
      </c>
      <c r="Y807" s="130" t="e">
        <f t="shared" si="49"/>
        <v>#VALUE!</v>
      </c>
      <c r="Z807" s="129">
        <v>0.22173878521231563</v>
      </c>
      <c r="AA807" s="130" t="e">
        <f t="shared" si="50"/>
        <v>#VALUE!</v>
      </c>
    </row>
    <row r="808" spans="1:27" x14ac:dyDescent="0.3">
      <c r="A808">
        <v>980100</v>
      </c>
      <c r="B808">
        <v>17031980100</v>
      </c>
      <c r="C808">
        <v>17031</v>
      </c>
      <c r="D808">
        <v>2010</v>
      </c>
      <c r="E808">
        <v>64</v>
      </c>
      <c r="F808">
        <v>31941770.7870242</v>
      </c>
      <c r="G808" s="43">
        <v>1.1457533713205994</v>
      </c>
      <c r="H808" s="58" t="str">
        <f>_xlfn.IFNA(
INDEX(CA!B$2:B$78,MATCH($E808,CA!$A$2:$A$78,0)),
"")</f>
        <v>CLEARING</v>
      </c>
      <c r="I808" s="60" t="str">
        <f>_xlfn.IFNA(
INDEX(CA!C$2:C$78,MATCH($E808,CA!$A$2:$A$78,0)),
"")</f>
        <v>4-C</v>
      </c>
      <c r="J808" s="60">
        <f>_xlfn.IFNA(
INDEX(CA!D$2:D$78,MATCH($E808,CA!$A$2:$A$78,0)),
"")</f>
        <v>4</v>
      </c>
      <c r="K808" s="58" t="str">
        <f>_xlfn.IFNA(
INDEX(CA!E$2:E$78,MATCH($E808,CA!$A$2:$A$78,0)),
"")</f>
        <v>SOUTHWEST</v>
      </c>
      <c r="L808" s="15" t="e">
        <v>#VALUE!</v>
      </c>
      <c r="M808" s="15" t="e">
        <v>#VALUE!</v>
      </c>
      <c r="N808" s="15" t="e">
        <v>#VALUE!</v>
      </c>
      <c r="O808" s="15" t="e">
        <v>#VALUE!</v>
      </c>
      <c r="P808" s="15" t="e">
        <v>#VALUE!</v>
      </c>
      <c r="Q808" s="15" t="e">
        <v>#VALUE!</v>
      </c>
      <c r="R808" s="15" t="e">
        <v>#VALUE!</v>
      </c>
      <c r="S808" s="15" t="e">
        <v>#VALUE!</v>
      </c>
      <c r="T808" s="129">
        <v>0.46833030066333431</v>
      </c>
      <c r="U808" s="130" t="e">
        <f t="shared" si="51"/>
        <v>#VALUE!</v>
      </c>
      <c r="V808" s="129">
        <v>0</v>
      </c>
      <c r="W808" s="130" t="e">
        <f t="shared" si="48"/>
        <v>#VALUE!</v>
      </c>
      <c r="X808" s="129">
        <v>0</v>
      </c>
      <c r="Y808" s="130" t="e">
        <f t="shared" si="49"/>
        <v>#VALUE!</v>
      </c>
      <c r="Z808" s="129">
        <v>0</v>
      </c>
      <c r="AA808" s="130" t="e">
        <f t="shared" si="50"/>
        <v>#VALUE!</v>
      </c>
    </row>
    <row r="809" spans="1:27" x14ac:dyDescent="0.3">
      <c r="A809">
        <v>831000</v>
      </c>
      <c r="B809">
        <v>17031831000</v>
      </c>
      <c r="C809">
        <v>17031</v>
      </c>
      <c r="D809">
        <v>2010</v>
      </c>
      <c r="E809">
        <v>22</v>
      </c>
      <c r="F809">
        <v>3038813.8545831898</v>
      </c>
      <c r="G809" s="43">
        <v>0.10900244829628637</v>
      </c>
      <c r="H809" s="58" t="str">
        <f>_xlfn.IFNA(
INDEX(CA!B$2:B$78,MATCH($E809,CA!$A$2:$A$78,0)),
"")</f>
        <v>LOGAN SQUARE</v>
      </c>
      <c r="I809" s="60" t="str">
        <f>_xlfn.IFNA(
INDEX(CA!C$2:C$78,MATCH($E809,CA!$A$2:$A$78,0)),
"")</f>
        <v>2-B</v>
      </c>
      <c r="J809" s="60">
        <f>_xlfn.IFNA(
INDEX(CA!D$2:D$78,MATCH($E809,CA!$A$2:$A$78,0)),
"")</f>
        <v>2</v>
      </c>
      <c r="K809" s="58" t="str">
        <f>_xlfn.IFNA(
INDEX(CA!E$2:E$78,MATCH($E809,CA!$A$2:$A$78,0)),
"")</f>
        <v>NORTHWEST</v>
      </c>
      <c r="L809" s="15" t="e">
        <v>#VALUE!</v>
      </c>
      <c r="M809" s="15" t="e">
        <v>#VALUE!</v>
      </c>
      <c r="N809" s="15" t="e">
        <v>#VALUE!</v>
      </c>
      <c r="O809" s="15" t="e">
        <v>#VALUE!</v>
      </c>
      <c r="P809" s="15" t="e">
        <v>#VALUE!</v>
      </c>
      <c r="Q809" s="15" t="e">
        <v>#VALUE!</v>
      </c>
      <c r="R809" s="15" t="e">
        <v>#VALUE!</v>
      </c>
      <c r="S809" s="15" t="e">
        <v>#VALUE!</v>
      </c>
      <c r="T809" s="129">
        <v>0.10900244560473556</v>
      </c>
      <c r="U809" s="130" t="e">
        <f t="shared" si="51"/>
        <v>#VALUE!</v>
      </c>
      <c r="V809" s="129">
        <v>0.10900244560473556</v>
      </c>
      <c r="W809" s="130" t="e">
        <f t="shared" si="48"/>
        <v>#VALUE!</v>
      </c>
      <c r="X809" s="129">
        <v>0.10900244560473556</v>
      </c>
      <c r="Y809" s="130" t="e">
        <f t="shared" si="49"/>
        <v>#VALUE!</v>
      </c>
      <c r="Z809" s="129">
        <v>0.10900244560473556</v>
      </c>
      <c r="AA809" s="130" t="e">
        <f t="shared" si="50"/>
        <v>#VALUE!</v>
      </c>
    </row>
    <row r="810" spans="1:27" x14ac:dyDescent="0.3">
      <c r="G810" s="31"/>
      <c r="L810" s="3"/>
      <c r="M810" s="3"/>
    </row>
    <row r="811" spans="1:27" x14ac:dyDescent="0.3">
      <c r="A811" s="37" t="s">
        <v>233</v>
      </c>
      <c r="G811" s="38">
        <f>F811/(5280*5280)</f>
        <v>0</v>
      </c>
      <c r="H811" s="39" t="str">
        <f>_xlfn.IFNA(
INDEX(CA!B$2:B$78,MATCH($E811,CA!$A$2:$A$78,0)),
"")</f>
        <v/>
      </c>
      <c r="I811" s="40" t="str">
        <f>_xlfn.IFNA(
INDEX(CA!C$2:C$78,MATCH($E811,CA!$A$2:$A$78,0)),
"")</f>
        <v/>
      </c>
      <c r="J811" s="40" t="str">
        <f>_xlfn.IFNA(
INDEX(CA!D$2:D$78,MATCH($E811,CA!$A$2:$A$78,0)),
"")</f>
        <v/>
      </c>
      <c r="K811" s="39" t="str">
        <f>_xlfn.IFNA(
INDEX(CA!E$2:E$78,MATCH($E811,CA!$A$2:$A$78,0)),
"")</f>
        <v/>
      </c>
      <c r="L811" s="41">
        <v>0</v>
      </c>
      <c r="M811" s="41">
        <v>0</v>
      </c>
      <c r="N811" s="41">
        <v>0</v>
      </c>
      <c r="O811" s="41">
        <v>0</v>
      </c>
      <c r="P811" s="41">
        <v>0</v>
      </c>
      <c r="Q811" s="41">
        <v>0</v>
      </c>
      <c r="R811" s="41">
        <v>0</v>
      </c>
      <c r="S811" s="42">
        <f>M811-SUM(N811:R811)</f>
        <v>0</v>
      </c>
    </row>
    <row r="813" spans="1:27" x14ac:dyDescent="0.3">
      <c r="L813" s="3" t="e">
        <f>SUM(L6:L809)</f>
        <v>#VALUE!</v>
      </c>
      <c r="M813" s="3" t="e">
        <f>SUM(M6:M809)</f>
        <v>#VALUE!</v>
      </c>
      <c r="N813" s="3" t="e">
        <f t="shared" ref="N813:S813" si="52">SUM(N6:N809)</f>
        <v>#VALUE!</v>
      </c>
      <c r="O813" s="3" t="e">
        <f t="shared" si="52"/>
        <v>#VALUE!</v>
      </c>
      <c r="P813" s="3" t="e">
        <f t="shared" si="52"/>
        <v>#VALUE!</v>
      </c>
      <c r="Q813" s="3" t="e">
        <f t="shared" si="52"/>
        <v>#VALUE!</v>
      </c>
      <c r="R813" s="3" t="e">
        <f t="shared" si="52"/>
        <v>#VALUE!</v>
      </c>
      <c r="S813" s="3" t="e">
        <f t="shared" si="52"/>
        <v>#VALUE!</v>
      </c>
    </row>
    <row r="814" spans="1:27" x14ac:dyDescent="0.3">
      <c r="L814" s="3">
        <v>2739477</v>
      </c>
      <c r="M814" s="3">
        <v>1276010</v>
      </c>
      <c r="N814" s="3">
        <v>740643</v>
      </c>
      <c r="O814" s="3">
        <v>352515</v>
      </c>
      <c r="P814" s="3">
        <v>7540</v>
      </c>
      <c r="Q814" s="3">
        <v>20614</v>
      </c>
      <c r="R814" s="3">
        <v>84786</v>
      </c>
      <c r="S814" s="3">
        <v>69912</v>
      </c>
    </row>
  </sheetData>
  <mergeCells count="7">
    <mergeCell ref="L3:S3"/>
    <mergeCell ref="H3:K3"/>
    <mergeCell ref="X4:Y4"/>
    <mergeCell ref="Z4:AA4"/>
    <mergeCell ref="T3:AA3"/>
    <mergeCell ref="T4:U4"/>
    <mergeCell ref="V4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2E8B-E762-476A-94E8-8D56FAD1FADD}">
  <sheetPr codeName="Sheet5">
    <tabColor theme="8" tint="0.79998168889431442"/>
  </sheetPr>
  <dimension ref="A1"/>
  <sheetViews>
    <sheetView workbookViewId="0">
      <selection activeCell="J45" sqref="J45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623C-364B-4935-9A6D-1C157A2BEFCE}">
  <sheetPr codeName="Sheet6">
    <tabColor theme="8" tint="0.79998168889431442"/>
  </sheetPr>
  <dimension ref="A1"/>
  <sheetViews>
    <sheetView workbookViewId="0">
      <selection activeCell="J45" sqref="J45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B9BD-6209-49A9-A1FB-74A9C47F97F7}">
  <sheetPr codeName="Sheet7">
    <tabColor theme="8" tint="0.79998168889431442"/>
  </sheetPr>
  <dimension ref="A1"/>
  <sheetViews>
    <sheetView workbookViewId="0">
      <selection activeCell="J45" sqref="J45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8" tint="0.79998168889431442"/>
  </sheetPr>
  <dimension ref="A1:H78"/>
  <sheetViews>
    <sheetView topLeftCell="A9" workbookViewId="0">
      <selection activeCell="J35" sqref="J35"/>
    </sheetView>
  </sheetViews>
  <sheetFormatPr defaultColWidth="9.109375" defaultRowHeight="14.4" x14ac:dyDescent="0.3"/>
  <cols>
    <col min="1" max="1" width="16.88671875" style="9" customWidth="1"/>
    <col min="2" max="2" width="25.6640625" bestFit="1" customWidth="1"/>
    <col min="3" max="3" width="15.109375" style="9" customWidth="1"/>
    <col min="4" max="4" width="12.6640625" style="9" customWidth="1"/>
    <col min="5" max="5" width="14.44140625" customWidth="1"/>
    <col min="6" max="6" width="13.33203125" customWidth="1"/>
    <col min="7" max="7" width="13.44140625" customWidth="1"/>
    <col min="8" max="8" width="14.109375" customWidth="1"/>
  </cols>
  <sheetData>
    <row r="1" spans="1:8" x14ac:dyDescent="0.3">
      <c r="A1" s="9" t="s">
        <v>234</v>
      </c>
      <c r="B1" t="s">
        <v>235</v>
      </c>
      <c r="C1" s="9" t="s">
        <v>236</v>
      </c>
      <c r="D1" s="9" t="s">
        <v>237</v>
      </c>
      <c r="E1" t="s">
        <v>238</v>
      </c>
      <c r="F1" t="s">
        <v>239</v>
      </c>
      <c r="G1" t="s">
        <v>240</v>
      </c>
      <c r="H1" t="s">
        <v>241</v>
      </c>
    </row>
    <row r="2" spans="1:8" x14ac:dyDescent="0.3">
      <c r="A2" s="9">
        <v>1</v>
      </c>
      <c r="B2" t="s">
        <v>242</v>
      </c>
      <c r="C2" s="9" t="s">
        <v>243</v>
      </c>
      <c r="D2" s="9">
        <v>1</v>
      </c>
      <c r="E2" t="s">
        <v>244</v>
      </c>
      <c r="F2" s="193">
        <v>33.799999200000002</v>
      </c>
      <c r="G2" s="193">
        <v>44.099998499999998</v>
      </c>
      <c r="H2" s="193">
        <v>39</v>
      </c>
    </row>
    <row r="3" spans="1:8" x14ac:dyDescent="0.3">
      <c r="A3" s="9">
        <v>2</v>
      </c>
      <c r="B3" t="s">
        <v>245</v>
      </c>
      <c r="C3" s="9" t="s">
        <v>243</v>
      </c>
      <c r="D3" s="9">
        <v>1</v>
      </c>
      <c r="E3" t="s">
        <v>244</v>
      </c>
      <c r="F3" s="193">
        <v>37.5</v>
      </c>
      <c r="G3" s="193">
        <v>57.700000799999998</v>
      </c>
      <c r="H3" s="193">
        <v>47.599998499999998</v>
      </c>
    </row>
    <row r="4" spans="1:8" x14ac:dyDescent="0.3">
      <c r="A4" s="9">
        <v>3</v>
      </c>
      <c r="B4" t="s">
        <v>246</v>
      </c>
      <c r="C4" s="9" t="s">
        <v>243</v>
      </c>
      <c r="D4" s="9">
        <v>1</v>
      </c>
      <c r="E4" t="s">
        <v>244</v>
      </c>
      <c r="F4" s="193">
        <v>22.899999600000001</v>
      </c>
      <c r="G4" s="193">
        <v>34.400001500000002</v>
      </c>
      <c r="H4" s="193">
        <v>28.600000399999999</v>
      </c>
    </row>
    <row r="5" spans="1:8" x14ac:dyDescent="0.3">
      <c r="A5" s="9">
        <v>4</v>
      </c>
      <c r="B5" t="s">
        <v>247</v>
      </c>
      <c r="C5" s="9" t="s">
        <v>243</v>
      </c>
      <c r="D5" s="9">
        <v>1</v>
      </c>
      <c r="E5" t="s">
        <v>244</v>
      </c>
      <c r="F5" s="193">
        <v>19.200000800000002</v>
      </c>
      <c r="G5" s="193">
        <v>24.600000399999999</v>
      </c>
      <c r="H5" s="193">
        <v>21.899999600000001</v>
      </c>
    </row>
    <row r="6" spans="1:8" x14ac:dyDescent="0.3">
      <c r="A6" s="9">
        <v>5</v>
      </c>
      <c r="B6" t="s">
        <v>248</v>
      </c>
      <c r="C6" s="9" t="s">
        <v>249</v>
      </c>
      <c r="D6" s="9">
        <v>1</v>
      </c>
      <c r="E6" t="s">
        <v>244</v>
      </c>
      <c r="F6" s="193">
        <v>7.3000002000000004</v>
      </c>
      <c r="G6" s="193">
        <v>19.5</v>
      </c>
      <c r="H6" s="193">
        <v>13.399999599999999</v>
      </c>
    </row>
    <row r="7" spans="1:8" x14ac:dyDescent="0.3">
      <c r="A7" s="9">
        <v>6</v>
      </c>
      <c r="B7" t="s">
        <v>250</v>
      </c>
      <c r="C7" s="9" t="s">
        <v>249</v>
      </c>
      <c r="D7" s="9">
        <v>1</v>
      </c>
      <c r="E7" t="s">
        <v>244</v>
      </c>
      <c r="F7" s="193">
        <v>2.2999999999999998</v>
      </c>
      <c r="G7" s="193">
        <v>13.199999800000001</v>
      </c>
      <c r="H7" s="193">
        <v>7.6999997999999996</v>
      </c>
    </row>
    <row r="8" spans="1:8" x14ac:dyDescent="0.3">
      <c r="A8" s="9">
        <v>7</v>
      </c>
      <c r="B8" t="s">
        <v>251</v>
      </c>
      <c r="C8" s="9" t="s">
        <v>249</v>
      </c>
      <c r="D8" s="9">
        <v>1</v>
      </c>
      <c r="E8" t="s">
        <v>244</v>
      </c>
      <c r="F8" s="193">
        <v>0</v>
      </c>
      <c r="G8" s="193">
        <v>12</v>
      </c>
      <c r="H8" s="193">
        <v>6</v>
      </c>
    </row>
    <row r="9" spans="1:8" x14ac:dyDescent="0.3">
      <c r="A9" s="9">
        <v>77</v>
      </c>
      <c r="B9" t="s">
        <v>252</v>
      </c>
      <c r="C9" s="9" t="s">
        <v>243</v>
      </c>
      <c r="D9" s="9">
        <v>1</v>
      </c>
      <c r="E9" t="s">
        <v>244</v>
      </c>
      <c r="F9" s="193">
        <v>29.799999199999998</v>
      </c>
      <c r="G9" s="193">
        <v>32.5</v>
      </c>
      <c r="H9" s="193">
        <v>31.200000800000002</v>
      </c>
    </row>
    <row r="10" spans="1:8" x14ac:dyDescent="0.3">
      <c r="A10" s="9">
        <v>9</v>
      </c>
      <c r="B10" t="s">
        <v>253</v>
      </c>
      <c r="C10" s="9" t="s">
        <v>254</v>
      </c>
      <c r="D10" s="9">
        <v>2</v>
      </c>
      <c r="E10" t="s">
        <v>255</v>
      </c>
      <c r="F10" s="193">
        <v>22.600000399999999</v>
      </c>
      <c r="G10" s="193">
        <v>21.600000399999999</v>
      </c>
      <c r="H10" s="193">
        <v>22.100000399999999</v>
      </c>
    </row>
    <row r="11" spans="1:8" x14ac:dyDescent="0.3">
      <c r="A11" s="9">
        <v>10</v>
      </c>
      <c r="B11" t="s">
        <v>256</v>
      </c>
      <c r="C11" s="9" t="s">
        <v>254</v>
      </c>
      <c r="D11" s="9">
        <v>2</v>
      </c>
      <c r="E11" t="s">
        <v>255</v>
      </c>
      <c r="F11" s="193">
        <v>25.299999199999998</v>
      </c>
      <c r="G11" s="193">
        <v>29.600000399999999</v>
      </c>
      <c r="H11" s="193">
        <v>27.5</v>
      </c>
    </row>
    <row r="12" spans="1:8" x14ac:dyDescent="0.3">
      <c r="A12" s="9">
        <v>11</v>
      </c>
      <c r="B12" t="s">
        <v>257</v>
      </c>
      <c r="C12" s="9" t="s">
        <v>258</v>
      </c>
      <c r="D12" s="9">
        <v>2</v>
      </c>
      <c r="E12" t="s">
        <v>255</v>
      </c>
      <c r="F12" s="193">
        <v>30.899999600000001</v>
      </c>
      <c r="G12" s="193">
        <v>34.400001500000002</v>
      </c>
      <c r="H12" s="193">
        <v>32.599998499999998</v>
      </c>
    </row>
    <row r="13" spans="1:8" x14ac:dyDescent="0.3">
      <c r="A13" s="9">
        <v>12</v>
      </c>
      <c r="B13" t="s">
        <v>259</v>
      </c>
      <c r="C13" s="9" t="s">
        <v>258</v>
      </c>
      <c r="D13" s="9">
        <v>2</v>
      </c>
      <c r="E13" t="s">
        <v>255</v>
      </c>
      <c r="F13" s="193">
        <v>30.100000399999999</v>
      </c>
      <c r="G13" s="193">
        <v>30.299999199999998</v>
      </c>
      <c r="H13" s="193">
        <v>30.200000800000002</v>
      </c>
    </row>
    <row r="14" spans="1:8" x14ac:dyDescent="0.3">
      <c r="A14" s="9">
        <v>13</v>
      </c>
      <c r="B14" t="s">
        <v>260</v>
      </c>
      <c r="C14" s="9" t="s">
        <v>258</v>
      </c>
      <c r="D14" s="9">
        <v>2</v>
      </c>
      <c r="E14" t="s">
        <v>255</v>
      </c>
      <c r="F14" s="193">
        <v>36.299999200000002</v>
      </c>
      <c r="G14" s="193">
        <v>46.200000799999998</v>
      </c>
      <c r="H14" s="193">
        <v>41.200000799999998</v>
      </c>
    </row>
    <row r="15" spans="1:8" x14ac:dyDescent="0.3">
      <c r="A15" s="9">
        <v>14</v>
      </c>
      <c r="B15" t="s">
        <v>261</v>
      </c>
      <c r="C15" s="9" t="s">
        <v>258</v>
      </c>
      <c r="D15" s="9">
        <v>2</v>
      </c>
      <c r="E15" t="s">
        <v>255</v>
      </c>
      <c r="F15" s="193">
        <v>27.5</v>
      </c>
      <c r="G15" s="193">
        <v>48.200000799999998</v>
      </c>
      <c r="H15" s="193">
        <v>37.799999200000002</v>
      </c>
    </row>
    <row r="16" spans="1:8" x14ac:dyDescent="0.3">
      <c r="A16" s="9">
        <v>15</v>
      </c>
      <c r="B16" t="s">
        <v>262</v>
      </c>
      <c r="C16" s="9" t="s">
        <v>254</v>
      </c>
      <c r="D16" s="9">
        <v>2</v>
      </c>
      <c r="E16" t="s">
        <v>255</v>
      </c>
      <c r="F16" s="193">
        <v>35.099998499999998</v>
      </c>
      <c r="G16" s="193">
        <v>38.700000799999998</v>
      </c>
      <c r="H16" s="193">
        <v>36.900001500000002</v>
      </c>
    </row>
    <row r="17" spans="1:8" x14ac:dyDescent="0.3">
      <c r="A17" s="9">
        <v>16</v>
      </c>
      <c r="B17" t="s">
        <v>263</v>
      </c>
      <c r="C17" s="9" t="s">
        <v>258</v>
      </c>
      <c r="D17" s="9">
        <v>2</v>
      </c>
      <c r="E17" t="s">
        <v>255</v>
      </c>
      <c r="F17" s="193">
        <v>24.200000800000002</v>
      </c>
      <c r="G17" s="193">
        <v>33.099998499999998</v>
      </c>
      <c r="H17" s="193">
        <v>28.700000800000002</v>
      </c>
    </row>
    <row r="18" spans="1:8" x14ac:dyDescent="0.3">
      <c r="A18" s="9">
        <v>17</v>
      </c>
      <c r="B18" t="s">
        <v>264</v>
      </c>
      <c r="C18" s="9" t="s">
        <v>254</v>
      </c>
      <c r="D18" s="9">
        <v>2</v>
      </c>
      <c r="E18" t="s">
        <v>255</v>
      </c>
      <c r="F18" s="193">
        <v>43.099998499999998</v>
      </c>
      <c r="G18" s="193">
        <v>34.599998499999998</v>
      </c>
      <c r="H18" s="193">
        <v>38.900001500000002</v>
      </c>
    </row>
    <row r="19" spans="1:8" x14ac:dyDescent="0.3">
      <c r="A19" s="9">
        <v>18</v>
      </c>
      <c r="B19" t="s">
        <v>265</v>
      </c>
      <c r="C19" s="9" t="s">
        <v>266</v>
      </c>
      <c r="D19" s="9">
        <v>2</v>
      </c>
      <c r="E19" t="s">
        <v>255</v>
      </c>
      <c r="F19" s="193">
        <v>49.400001500000002</v>
      </c>
      <c r="G19" s="193">
        <v>42.5</v>
      </c>
      <c r="H19" s="193">
        <v>45.900001500000002</v>
      </c>
    </row>
    <row r="20" spans="1:8" x14ac:dyDescent="0.3">
      <c r="A20" s="9">
        <v>19</v>
      </c>
      <c r="B20" t="s">
        <v>267</v>
      </c>
      <c r="C20" s="9" t="s">
        <v>266</v>
      </c>
      <c r="D20" s="9">
        <v>2</v>
      </c>
      <c r="E20" t="s">
        <v>255</v>
      </c>
      <c r="F20" s="193">
        <v>54.299999200000002</v>
      </c>
      <c r="G20" s="193">
        <v>55.900001500000002</v>
      </c>
      <c r="H20" s="193">
        <v>55.099998499999998</v>
      </c>
    </row>
    <row r="21" spans="1:8" x14ac:dyDescent="0.3">
      <c r="A21" s="9">
        <v>20</v>
      </c>
      <c r="B21" t="s">
        <v>268</v>
      </c>
      <c r="C21" s="9" t="s">
        <v>266</v>
      </c>
      <c r="D21" s="9">
        <v>2</v>
      </c>
      <c r="E21" t="s">
        <v>255</v>
      </c>
      <c r="F21" s="193">
        <v>47</v>
      </c>
      <c r="G21" s="193">
        <v>55.200000799999998</v>
      </c>
      <c r="H21" s="193">
        <v>51.099998499999998</v>
      </c>
    </row>
    <row r="22" spans="1:8" x14ac:dyDescent="0.3">
      <c r="A22" s="9">
        <v>21</v>
      </c>
      <c r="B22" t="s">
        <v>269</v>
      </c>
      <c r="C22" s="9" t="s">
        <v>266</v>
      </c>
      <c r="D22" s="9">
        <v>2</v>
      </c>
      <c r="E22" t="s">
        <v>255</v>
      </c>
      <c r="F22" s="193">
        <v>27.899999600000001</v>
      </c>
      <c r="G22" s="193">
        <v>38.200000799999998</v>
      </c>
      <c r="H22" s="193">
        <v>33</v>
      </c>
    </row>
    <row r="23" spans="1:8" x14ac:dyDescent="0.3">
      <c r="A23" s="9">
        <v>22</v>
      </c>
      <c r="B23" t="s">
        <v>270</v>
      </c>
      <c r="C23" s="9" t="s">
        <v>266</v>
      </c>
      <c r="D23" s="9">
        <v>2</v>
      </c>
      <c r="E23" t="s">
        <v>255</v>
      </c>
      <c r="F23" s="193">
        <v>17</v>
      </c>
      <c r="G23" s="193">
        <v>25.5</v>
      </c>
      <c r="H23" s="193">
        <v>21.200000800000002</v>
      </c>
    </row>
    <row r="24" spans="1:8" x14ac:dyDescent="0.3">
      <c r="A24" s="9">
        <v>76</v>
      </c>
      <c r="B24" t="s">
        <v>271</v>
      </c>
      <c r="C24" s="9" t="s">
        <v>254</v>
      </c>
      <c r="D24" s="9">
        <v>2</v>
      </c>
      <c r="E24" t="s">
        <v>255</v>
      </c>
      <c r="F24" s="193">
        <v>32</v>
      </c>
      <c r="G24" s="193">
        <v>40.099998499999998</v>
      </c>
      <c r="H24" s="193">
        <v>36.099998499999998</v>
      </c>
    </row>
    <row r="25" spans="1:8" x14ac:dyDescent="0.3">
      <c r="A25" s="9">
        <v>23</v>
      </c>
      <c r="B25" t="s">
        <v>272</v>
      </c>
      <c r="C25" s="9" t="s">
        <v>273</v>
      </c>
      <c r="D25" s="9">
        <v>3</v>
      </c>
      <c r="E25" t="s">
        <v>274</v>
      </c>
      <c r="F25" s="193">
        <v>53.799999200000002</v>
      </c>
      <c r="G25" s="193">
        <v>61</v>
      </c>
      <c r="H25" s="193">
        <v>57.400001500000002</v>
      </c>
    </row>
    <row r="26" spans="1:8" x14ac:dyDescent="0.3">
      <c r="A26" s="9">
        <v>25</v>
      </c>
      <c r="B26" t="s">
        <v>275</v>
      </c>
      <c r="C26" s="9" t="s">
        <v>273</v>
      </c>
      <c r="D26" s="9">
        <v>3</v>
      </c>
      <c r="E26" t="s">
        <v>274</v>
      </c>
      <c r="F26" s="193">
        <v>72.699996900000002</v>
      </c>
      <c r="G26" s="193">
        <v>55.200000799999998</v>
      </c>
      <c r="H26" s="193">
        <v>64</v>
      </c>
    </row>
    <row r="27" spans="1:8" x14ac:dyDescent="0.3">
      <c r="A27" s="9">
        <v>26</v>
      </c>
      <c r="B27" t="s">
        <v>276</v>
      </c>
      <c r="C27" s="9" t="s">
        <v>273</v>
      </c>
      <c r="D27" s="9">
        <v>3</v>
      </c>
      <c r="E27" t="s">
        <v>274</v>
      </c>
      <c r="F27" s="193">
        <v>84.5</v>
      </c>
      <c r="G27" s="193">
        <v>74.099998499999998</v>
      </c>
      <c r="H27" s="193">
        <v>79.300003099999998</v>
      </c>
    </row>
    <row r="28" spans="1:8" x14ac:dyDescent="0.3">
      <c r="A28" s="9">
        <v>27</v>
      </c>
      <c r="B28" t="s">
        <v>277</v>
      </c>
      <c r="C28" s="9" t="s">
        <v>273</v>
      </c>
      <c r="D28" s="9">
        <v>3</v>
      </c>
      <c r="E28" t="s">
        <v>274</v>
      </c>
      <c r="F28" s="193">
        <v>69.5</v>
      </c>
      <c r="G28" s="193">
        <v>66.699996900000002</v>
      </c>
      <c r="H28" s="193">
        <v>68.099998499999998</v>
      </c>
    </row>
    <row r="29" spans="1:8" x14ac:dyDescent="0.3">
      <c r="A29" s="9">
        <v>29</v>
      </c>
      <c r="B29" t="s">
        <v>278</v>
      </c>
      <c r="C29" s="9" t="s">
        <v>273</v>
      </c>
      <c r="D29" s="9">
        <v>3</v>
      </c>
      <c r="E29" t="s">
        <v>274</v>
      </c>
      <c r="F29" s="193">
        <v>67</v>
      </c>
      <c r="G29" s="193">
        <v>61.599998499999998</v>
      </c>
      <c r="H29" s="193">
        <v>64.300003099999998</v>
      </c>
    </row>
    <row r="30" spans="1:8" x14ac:dyDescent="0.3">
      <c r="A30" s="9">
        <v>30</v>
      </c>
      <c r="B30" t="s">
        <v>279</v>
      </c>
      <c r="C30" s="9" t="s">
        <v>273</v>
      </c>
      <c r="D30" s="9">
        <v>3</v>
      </c>
      <c r="E30" t="s">
        <v>274</v>
      </c>
      <c r="F30" s="193">
        <v>56.299999200000002</v>
      </c>
      <c r="G30" s="193">
        <v>73.699996900000002</v>
      </c>
      <c r="H30" s="193">
        <v>65</v>
      </c>
    </row>
    <row r="31" spans="1:8" x14ac:dyDescent="0.3">
      <c r="A31" s="9">
        <v>56</v>
      </c>
      <c r="B31" t="s">
        <v>280</v>
      </c>
      <c r="C31" s="9" t="s">
        <v>281</v>
      </c>
      <c r="D31" s="9">
        <v>4</v>
      </c>
      <c r="E31" t="s">
        <v>282</v>
      </c>
      <c r="F31" s="193">
        <v>39.5</v>
      </c>
      <c r="G31" s="193">
        <v>43.799999200000002</v>
      </c>
      <c r="H31" s="193">
        <v>41.599998499999998</v>
      </c>
    </row>
    <row r="32" spans="1:8" x14ac:dyDescent="0.3">
      <c r="A32" s="9">
        <v>57</v>
      </c>
      <c r="B32" t="s">
        <v>283</v>
      </c>
      <c r="C32" s="9" t="s">
        <v>281</v>
      </c>
      <c r="D32" s="9">
        <v>4</v>
      </c>
      <c r="E32" t="s">
        <v>282</v>
      </c>
      <c r="F32" s="193">
        <v>38.299999200000002</v>
      </c>
      <c r="G32" s="193">
        <v>63.700000799999998</v>
      </c>
      <c r="H32" s="193">
        <v>51</v>
      </c>
    </row>
    <row r="33" spans="1:8" x14ac:dyDescent="0.3">
      <c r="A33" s="9">
        <v>58</v>
      </c>
      <c r="B33" t="s">
        <v>284</v>
      </c>
      <c r="C33" s="9" t="s">
        <v>281</v>
      </c>
      <c r="D33" s="9">
        <v>4</v>
      </c>
      <c r="E33" t="s">
        <v>282</v>
      </c>
      <c r="F33" s="193">
        <v>50.400001500000002</v>
      </c>
      <c r="G33" s="193">
        <v>68.699996900000002</v>
      </c>
      <c r="H33" s="193">
        <v>59.5</v>
      </c>
    </row>
    <row r="34" spans="1:8" x14ac:dyDescent="0.3">
      <c r="A34" s="9">
        <v>59</v>
      </c>
      <c r="B34" t="s">
        <v>285</v>
      </c>
      <c r="C34" s="9" t="s">
        <v>286</v>
      </c>
      <c r="D34" s="9">
        <v>4</v>
      </c>
      <c r="E34" t="s">
        <v>282</v>
      </c>
      <c r="F34" s="193">
        <v>44.400001500000002</v>
      </c>
      <c r="G34" s="193">
        <v>50.900001500000002</v>
      </c>
      <c r="H34" s="193">
        <v>47.700000799999998</v>
      </c>
    </row>
    <row r="35" spans="1:8" x14ac:dyDescent="0.3">
      <c r="A35" s="9">
        <v>60</v>
      </c>
      <c r="B35" t="s">
        <v>287</v>
      </c>
      <c r="C35" s="9" t="s">
        <v>286</v>
      </c>
      <c r="D35" s="9">
        <v>4</v>
      </c>
      <c r="E35" t="s">
        <v>282</v>
      </c>
      <c r="F35" s="193">
        <v>39</v>
      </c>
      <c r="G35" s="193">
        <v>42.599998499999998</v>
      </c>
      <c r="H35" s="193">
        <v>40.799999200000002</v>
      </c>
    </row>
    <row r="36" spans="1:8" x14ac:dyDescent="0.3">
      <c r="A36" s="9">
        <v>61</v>
      </c>
      <c r="B36" t="s">
        <v>288</v>
      </c>
      <c r="C36" s="9" t="s">
        <v>286</v>
      </c>
      <c r="D36" s="9">
        <v>4</v>
      </c>
      <c r="E36" t="s">
        <v>282</v>
      </c>
      <c r="F36" s="193">
        <v>62.799999200000002</v>
      </c>
      <c r="G36" s="193">
        <v>64.199996900000002</v>
      </c>
      <c r="H36" s="193">
        <v>63.5</v>
      </c>
    </row>
    <row r="37" spans="1:8" x14ac:dyDescent="0.3">
      <c r="A37" s="9">
        <v>62</v>
      </c>
      <c r="B37" t="s">
        <v>289</v>
      </c>
      <c r="C37" s="9" t="s">
        <v>281</v>
      </c>
      <c r="D37" s="9">
        <v>4</v>
      </c>
      <c r="E37" t="s">
        <v>282</v>
      </c>
      <c r="F37" s="193">
        <v>48.400001500000002</v>
      </c>
      <c r="G37" s="193">
        <v>56.200000799999998</v>
      </c>
      <c r="H37" s="193">
        <v>52.299999200000002</v>
      </c>
    </row>
    <row r="38" spans="1:8" x14ac:dyDescent="0.3">
      <c r="A38" s="9">
        <v>63</v>
      </c>
      <c r="B38" t="s">
        <v>290</v>
      </c>
      <c r="C38" s="9" t="s">
        <v>281</v>
      </c>
      <c r="D38" s="9">
        <v>4</v>
      </c>
      <c r="E38" t="s">
        <v>282</v>
      </c>
      <c r="F38" s="193">
        <v>53.700000799999998</v>
      </c>
      <c r="G38" s="193">
        <v>64.5</v>
      </c>
      <c r="H38" s="193">
        <v>59.099998499999998</v>
      </c>
    </row>
    <row r="39" spans="1:8" x14ac:dyDescent="0.3">
      <c r="A39" s="9">
        <v>64</v>
      </c>
      <c r="B39" t="s">
        <v>291</v>
      </c>
      <c r="C39" s="9" t="s">
        <v>292</v>
      </c>
      <c r="D39" s="9">
        <v>4</v>
      </c>
      <c r="E39" t="s">
        <v>282</v>
      </c>
      <c r="F39" s="193">
        <v>37.400001500000002</v>
      </c>
      <c r="G39" s="193">
        <v>41</v>
      </c>
      <c r="H39" s="193">
        <v>39.200000799999998</v>
      </c>
    </row>
    <row r="40" spans="1:8" x14ac:dyDescent="0.3">
      <c r="A40" s="9">
        <v>65</v>
      </c>
      <c r="B40" t="s">
        <v>293</v>
      </c>
      <c r="C40" s="9" t="s">
        <v>292</v>
      </c>
      <c r="D40" s="9">
        <v>4</v>
      </c>
      <c r="E40" t="s">
        <v>282</v>
      </c>
      <c r="F40" s="193">
        <v>47.299999200000002</v>
      </c>
      <c r="G40" s="193">
        <v>56.299999200000002</v>
      </c>
      <c r="H40" s="193">
        <v>51.799999200000002</v>
      </c>
    </row>
    <row r="41" spans="1:8" x14ac:dyDescent="0.3">
      <c r="A41" s="9">
        <v>66</v>
      </c>
      <c r="B41" t="s">
        <v>294</v>
      </c>
      <c r="C41" s="9" t="s">
        <v>281</v>
      </c>
      <c r="D41" s="9">
        <v>4</v>
      </c>
      <c r="E41" t="s">
        <v>282</v>
      </c>
      <c r="F41" s="193">
        <v>65</v>
      </c>
      <c r="G41" s="193">
        <v>62.700000799999998</v>
      </c>
      <c r="H41" s="193">
        <v>63.900001500000002</v>
      </c>
    </row>
    <row r="42" spans="1:8" x14ac:dyDescent="0.3">
      <c r="A42" s="9">
        <v>67</v>
      </c>
      <c r="B42" t="s">
        <v>295</v>
      </c>
      <c r="C42" s="9" t="s">
        <v>286</v>
      </c>
      <c r="D42" s="9">
        <v>4</v>
      </c>
      <c r="E42" t="s">
        <v>282</v>
      </c>
      <c r="F42" s="193">
        <v>82.699996900000002</v>
      </c>
      <c r="G42" s="193">
        <v>68.099998499999998</v>
      </c>
      <c r="H42" s="193">
        <v>75.400001500000002</v>
      </c>
    </row>
    <row r="43" spans="1:8" x14ac:dyDescent="0.3">
      <c r="A43" s="9">
        <v>68</v>
      </c>
      <c r="B43" t="s">
        <v>296</v>
      </c>
      <c r="C43" s="9" t="s">
        <v>286</v>
      </c>
      <c r="D43" s="9">
        <v>4</v>
      </c>
      <c r="E43" t="s">
        <v>282</v>
      </c>
      <c r="F43" s="193">
        <v>83</v>
      </c>
      <c r="G43" s="193">
        <v>69.099998499999998</v>
      </c>
      <c r="H43" s="193">
        <v>76</v>
      </c>
    </row>
    <row r="44" spans="1:8" x14ac:dyDescent="0.3">
      <c r="A44" s="9">
        <v>70</v>
      </c>
      <c r="B44" t="s">
        <v>297</v>
      </c>
      <c r="C44" s="9" t="s">
        <v>292</v>
      </c>
      <c r="D44" s="9">
        <v>4</v>
      </c>
      <c r="E44" t="s">
        <v>282</v>
      </c>
      <c r="F44" s="193">
        <v>46.299999200000002</v>
      </c>
      <c r="G44" s="193">
        <v>46.400001500000002</v>
      </c>
      <c r="H44" s="193">
        <v>46.400001500000002</v>
      </c>
    </row>
    <row r="45" spans="1:8" x14ac:dyDescent="0.3">
      <c r="A45" s="9">
        <v>49</v>
      </c>
      <c r="B45" t="s">
        <v>298</v>
      </c>
      <c r="C45" s="9" t="s">
        <v>299</v>
      </c>
      <c r="D45" s="9">
        <v>5</v>
      </c>
      <c r="E45" t="s">
        <v>300</v>
      </c>
      <c r="F45" s="193">
        <v>73</v>
      </c>
      <c r="G45" s="193">
        <v>54.599998499999998</v>
      </c>
      <c r="H45" s="193">
        <v>63.799999200000002</v>
      </c>
    </row>
    <row r="46" spans="1:8" x14ac:dyDescent="0.3">
      <c r="A46" s="9">
        <v>50</v>
      </c>
      <c r="B46" t="s">
        <v>301</v>
      </c>
      <c r="C46" s="9" t="s">
        <v>299</v>
      </c>
      <c r="D46" s="9">
        <v>5</v>
      </c>
      <c r="E46" t="s">
        <v>300</v>
      </c>
      <c r="F46" s="193">
        <v>57.400001500000002</v>
      </c>
      <c r="G46" s="193">
        <v>43.400001500000002</v>
      </c>
      <c r="H46" s="193">
        <v>50.400001500000002</v>
      </c>
    </row>
    <row r="47" spans="1:8" x14ac:dyDescent="0.3">
      <c r="A47" s="9">
        <v>51</v>
      </c>
      <c r="B47" t="s">
        <v>302</v>
      </c>
      <c r="C47" s="9" t="s">
        <v>303</v>
      </c>
      <c r="D47" s="9">
        <v>5</v>
      </c>
      <c r="E47" t="s">
        <v>300</v>
      </c>
      <c r="F47" s="193">
        <v>69.599998499999998</v>
      </c>
      <c r="G47" s="193">
        <v>62.900001500000002</v>
      </c>
      <c r="H47" s="193">
        <v>66.199996900000002</v>
      </c>
    </row>
    <row r="48" spans="1:8" x14ac:dyDescent="0.3">
      <c r="A48" s="9">
        <v>52</v>
      </c>
      <c r="B48" t="s">
        <v>304</v>
      </c>
      <c r="C48" s="9" t="s">
        <v>303</v>
      </c>
      <c r="D48" s="9">
        <v>5</v>
      </c>
      <c r="E48" t="s">
        <v>300</v>
      </c>
      <c r="F48" s="193">
        <v>61</v>
      </c>
      <c r="G48" s="193">
        <v>56.900001500000002</v>
      </c>
      <c r="H48" s="193">
        <v>59</v>
      </c>
    </row>
    <row r="49" spans="1:8" x14ac:dyDescent="0.3">
      <c r="A49" s="9">
        <v>53</v>
      </c>
      <c r="B49" t="s">
        <v>305</v>
      </c>
      <c r="C49" s="9" t="s">
        <v>299</v>
      </c>
      <c r="D49" s="9">
        <v>5</v>
      </c>
      <c r="E49" t="s">
        <v>300</v>
      </c>
      <c r="F49" s="193">
        <v>85</v>
      </c>
      <c r="G49" s="193">
        <v>52.400001500000002</v>
      </c>
      <c r="H49" s="193">
        <v>68.699996900000002</v>
      </c>
    </row>
    <row r="50" spans="1:8" x14ac:dyDescent="0.3">
      <c r="A50" s="9">
        <v>54</v>
      </c>
      <c r="B50" t="s">
        <v>306</v>
      </c>
      <c r="C50" s="9" t="s">
        <v>303</v>
      </c>
      <c r="D50" s="9">
        <v>5</v>
      </c>
      <c r="E50" t="s">
        <v>300</v>
      </c>
      <c r="F50" s="193">
        <v>100</v>
      </c>
      <c r="G50" s="193">
        <v>82.599998499999998</v>
      </c>
      <c r="H50" s="193">
        <v>91.300003099999998</v>
      </c>
    </row>
    <row r="51" spans="1:8" x14ac:dyDescent="0.3">
      <c r="A51" s="9">
        <v>55</v>
      </c>
      <c r="B51" t="s">
        <v>307</v>
      </c>
      <c r="C51" s="9" t="s">
        <v>303</v>
      </c>
      <c r="D51" s="9">
        <v>5</v>
      </c>
      <c r="E51" t="s">
        <v>300</v>
      </c>
      <c r="F51" s="193">
        <v>47.700000799999998</v>
      </c>
      <c r="G51" s="193">
        <v>44.299999200000002</v>
      </c>
      <c r="H51" s="193">
        <v>46</v>
      </c>
    </row>
    <row r="52" spans="1:8" x14ac:dyDescent="0.3">
      <c r="A52" s="9">
        <v>71</v>
      </c>
      <c r="B52" t="s">
        <v>308</v>
      </c>
      <c r="C52" s="9" t="s">
        <v>309</v>
      </c>
      <c r="D52" s="9">
        <v>5</v>
      </c>
      <c r="E52" t="s">
        <v>300</v>
      </c>
      <c r="F52" s="193">
        <v>74.300003099999998</v>
      </c>
      <c r="G52" s="193">
        <v>52.900001500000002</v>
      </c>
      <c r="H52" s="193">
        <v>63.599998499999998</v>
      </c>
    </row>
    <row r="53" spans="1:8" x14ac:dyDescent="0.3">
      <c r="A53" s="9">
        <v>72</v>
      </c>
      <c r="B53" t="s">
        <v>310</v>
      </c>
      <c r="C53" s="9" t="s">
        <v>309</v>
      </c>
      <c r="D53" s="9">
        <v>5</v>
      </c>
      <c r="E53" t="s">
        <v>300</v>
      </c>
      <c r="F53" s="193">
        <v>38.400001500000002</v>
      </c>
      <c r="G53" s="193">
        <v>26.899999600000001</v>
      </c>
      <c r="H53" s="193">
        <v>32.599998499999998</v>
      </c>
    </row>
    <row r="54" spans="1:8" x14ac:dyDescent="0.3">
      <c r="A54" s="9">
        <v>73</v>
      </c>
      <c r="B54" t="s">
        <v>311</v>
      </c>
      <c r="C54" s="9" t="s">
        <v>309</v>
      </c>
      <c r="D54" s="9">
        <v>5</v>
      </c>
      <c r="E54" t="s">
        <v>300</v>
      </c>
      <c r="F54" s="193">
        <v>77.699996900000002</v>
      </c>
      <c r="G54" s="193">
        <v>47</v>
      </c>
      <c r="H54" s="193">
        <v>62.400001500000002</v>
      </c>
    </row>
    <row r="55" spans="1:8" x14ac:dyDescent="0.3">
      <c r="A55" s="9">
        <v>74</v>
      </c>
      <c r="B55" t="s">
        <v>312</v>
      </c>
      <c r="C55" s="9" t="s">
        <v>309</v>
      </c>
      <c r="D55" s="9">
        <v>5</v>
      </c>
      <c r="E55" t="s">
        <v>300</v>
      </c>
      <c r="F55" s="193">
        <v>27.899999600000001</v>
      </c>
      <c r="G55" s="193">
        <v>29.5</v>
      </c>
      <c r="H55" s="193">
        <v>28.700000800000002</v>
      </c>
    </row>
    <row r="56" spans="1:8" x14ac:dyDescent="0.3">
      <c r="A56" s="9">
        <v>75</v>
      </c>
      <c r="B56" t="s">
        <v>313</v>
      </c>
      <c r="C56" s="9" t="s">
        <v>299</v>
      </c>
      <c r="D56" s="9">
        <v>5</v>
      </c>
      <c r="E56" t="s">
        <v>300</v>
      </c>
      <c r="F56" s="193">
        <v>45.099998499999998</v>
      </c>
      <c r="G56" s="193">
        <v>38.700000799999998</v>
      </c>
      <c r="H56" s="193">
        <v>41.900001500000002</v>
      </c>
    </row>
    <row r="57" spans="1:8" x14ac:dyDescent="0.3">
      <c r="A57" s="9">
        <v>34</v>
      </c>
      <c r="B57" t="s">
        <v>314</v>
      </c>
      <c r="C57" s="9" t="s">
        <v>315</v>
      </c>
      <c r="D57" s="9">
        <v>6</v>
      </c>
      <c r="E57" t="s">
        <v>316</v>
      </c>
      <c r="F57" s="193">
        <v>51.400001500000002</v>
      </c>
      <c r="G57" s="193">
        <v>67.900001500000002</v>
      </c>
      <c r="H57" s="193">
        <v>59.700000799999998</v>
      </c>
    </row>
    <row r="58" spans="1:8" x14ac:dyDescent="0.3">
      <c r="A58" s="9">
        <v>35</v>
      </c>
      <c r="B58" t="s">
        <v>317</v>
      </c>
      <c r="C58" s="9" t="s">
        <v>315</v>
      </c>
      <c r="D58" s="9">
        <v>6</v>
      </c>
      <c r="E58" t="s">
        <v>316</v>
      </c>
      <c r="F58" s="193">
        <v>66.199996900000002</v>
      </c>
      <c r="G58" s="193">
        <v>51.200000799999998</v>
      </c>
      <c r="H58" s="193">
        <v>58.700000799999998</v>
      </c>
    </row>
    <row r="59" spans="1:8" x14ac:dyDescent="0.3">
      <c r="A59" s="9">
        <v>36</v>
      </c>
      <c r="B59" t="s">
        <v>318</v>
      </c>
      <c r="C59" s="9" t="s">
        <v>315</v>
      </c>
      <c r="D59" s="9">
        <v>6</v>
      </c>
      <c r="E59" t="s">
        <v>316</v>
      </c>
      <c r="F59" s="193">
        <v>56.700000799999998</v>
      </c>
      <c r="G59" s="193">
        <v>49.900001500000002</v>
      </c>
      <c r="H59" s="193">
        <v>53.299999200000002</v>
      </c>
    </row>
    <row r="60" spans="1:8" x14ac:dyDescent="0.3">
      <c r="A60" s="9">
        <v>37</v>
      </c>
      <c r="B60" t="s">
        <v>319</v>
      </c>
      <c r="C60" s="9" t="s">
        <v>315</v>
      </c>
      <c r="D60" s="9">
        <v>6</v>
      </c>
      <c r="E60" t="s">
        <v>316</v>
      </c>
      <c r="F60" s="193">
        <v>79.5</v>
      </c>
      <c r="G60" s="193">
        <v>67.300003099999998</v>
      </c>
      <c r="H60" s="193">
        <v>73.400001500000002</v>
      </c>
    </row>
    <row r="61" spans="1:8" x14ac:dyDescent="0.3">
      <c r="A61" s="9">
        <v>38</v>
      </c>
      <c r="B61" t="s">
        <v>320</v>
      </c>
      <c r="C61" s="9" t="s">
        <v>315</v>
      </c>
      <c r="D61" s="9">
        <v>6</v>
      </c>
      <c r="E61" t="s">
        <v>316</v>
      </c>
      <c r="F61" s="193">
        <v>67.5</v>
      </c>
      <c r="G61" s="193">
        <v>49.700000799999998</v>
      </c>
      <c r="H61" s="193">
        <v>58.599998499999998</v>
      </c>
    </row>
    <row r="62" spans="1:8" x14ac:dyDescent="0.3">
      <c r="A62" s="9">
        <v>39</v>
      </c>
      <c r="B62" t="s">
        <v>321</v>
      </c>
      <c r="C62" s="9" t="s">
        <v>315</v>
      </c>
      <c r="D62" s="9">
        <v>6</v>
      </c>
      <c r="E62" t="s">
        <v>316</v>
      </c>
      <c r="F62" s="193">
        <v>40.400001500000002</v>
      </c>
      <c r="G62" s="193">
        <v>36.599998499999998</v>
      </c>
      <c r="H62" s="193">
        <v>38.5</v>
      </c>
    </row>
    <row r="63" spans="1:8" x14ac:dyDescent="0.3">
      <c r="A63" s="9">
        <v>40</v>
      </c>
      <c r="B63" t="s">
        <v>322</v>
      </c>
      <c r="C63" s="9" t="s">
        <v>323</v>
      </c>
      <c r="D63" s="9">
        <v>6</v>
      </c>
      <c r="E63" t="s">
        <v>316</v>
      </c>
      <c r="F63" s="193">
        <v>63.400001500000002</v>
      </c>
      <c r="G63" s="193">
        <v>61.200000799999998</v>
      </c>
      <c r="H63" s="193">
        <v>62.299999200000002</v>
      </c>
    </row>
    <row r="64" spans="1:8" x14ac:dyDescent="0.3">
      <c r="A64" s="9">
        <v>41</v>
      </c>
      <c r="B64" t="s">
        <v>324</v>
      </c>
      <c r="C64" s="9" t="s">
        <v>323</v>
      </c>
      <c r="D64" s="9">
        <v>6</v>
      </c>
      <c r="E64" t="s">
        <v>316</v>
      </c>
      <c r="F64" s="193">
        <v>31.100000399999999</v>
      </c>
      <c r="G64" s="193">
        <v>28.600000399999999</v>
      </c>
      <c r="H64" s="193">
        <v>29.799999199999998</v>
      </c>
    </row>
    <row r="65" spans="1:8" x14ac:dyDescent="0.3">
      <c r="A65" s="9">
        <v>42</v>
      </c>
      <c r="B65" t="s">
        <v>325</v>
      </c>
      <c r="C65" s="9" t="s">
        <v>323</v>
      </c>
      <c r="D65" s="9">
        <v>6</v>
      </c>
      <c r="E65" t="s">
        <v>316</v>
      </c>
      <c r="F65" s="193">
        <v>69.199996900000002</v>
      </c>
      <c r="G65" s="193">
        <v>56.099998499999998</v>
      </c>
      <c r="H65" s="193">
        <v>62.700000799999998</v>
      </c>
    </row>
    <row r="66" spans="1:8" x14ac:dyDescent="0.3">
      <c r="A66" s="9">
        <v>43</v>
      </c>
      <c r="B66" t="s">
        <v>326</v>
      </c>
      <c r="C66" s="9" t="s">
        <v>323</v>
      </c>
      <c r="D66" s="9">
        <v>6</v>
      </c>
      <c r="E66" t="s">
        <v>316</v>
      </c>
      <c r="F66" s="193">
        <v>69</v>
      </c>
      <c r="G66" s="193">
        <v>52.799999200000002</v>
      </c>
      <c r="H66" s="193">
        <v>60.900001500000002</v>
      </c>
    </row>
    <row r="67" spans="1:8" x14ac:dyDescent="0.3">
      <c r="A67" s="9">
        <v>44</v>
      </c>
      <c r="B67" t="s">
        <v>327</v>
      </c>
      <c r="C67" s="9" t="s">
        <v>328</v>
      </c>
      <c r="D67" s="9">
        <v>6</v>
      </c>
      <c r="E67" t="s">
        <v>316</v>
      </c>
      <c r="F67" s="193">
        <v>59.5</v>
      </c>
      <c r="G67" s="193">
        <v>49.700000799999998</v>
      </c>
      <c r="H67" s="193">
        <v>54.599998499999998</v>
      </c>
    </row>
    <row r="68" spans="1:8" x14ac:dyDescent="0.3">
      <c r="A68" s="9">
        <v>45</v>
      </c>
      <c r="B68" t="s">
        <v>329</v>
      </c>
      <c r="C68" s="9" t="s">
        <v>328</v>
      </c>
      <c r="D68" s="9">
        <v>6</v>
      </c>
      <c r="E68" t="s">
        <v>316</v>
      </c>
      <c r="F68" s="193">
        <v>69.300003099999998</v>
      </c>
      <c r="G68" s="193">
        <v>47.700000799999998</v>
      </c>
      <c r="H68" s="193">
        <v>58.5</v>
      </c>
    </row>
    <row r="69" spans="1:8" x14ac:dyDescent="0.3">
      <c r="A69" s="9">
        <v>46</v>
      </c>
      <c r="B69" t="s">
        <v>330</v>
      </c>
      <c r="C69" s="9" t="s">
        <v>328</v>
      </c>
      <c r="D69" s="9">
        <v>6</v>
      </c>
      <c r="E69" t="s">
        <v>316</v>
      </c>
      <c r="F69" s="193">
        <v>75.400001500000002</v>
      </c>
      <c r="G69" s="193">
        <v>56.400001500000002</v>
      </c>
      <c r="H69" s="193">
        <v>65.900001500000002</v>
      </c>
    </row>
    <row r="70" spans="1:8" x14ac:dyDescent="0.3">
      <c r="A70" s="9">
        <v>47</v>
      </c>
      <c r="B70" t="s">
        <v>331</v>
      </c>
      <c r="C70" s="9" t="s">
        <v>328</v>
      </c>
      <c r="D70" s="9">
        <v>6</v>
      </c>
      <c r="E70" t="s">
        <v>316</v>
      </c>
      <c r="F70" s="193">
        <v>83.900001500000002</v>
      </c>
      <c r="G70" s="193">
        <v>50</v>
      </c>
      <c r="H70" s="193">
        <v>67</v>
      </c>
    </row>
    <row r="71" spans="1:8" x14ac:dyDescent="0.3">
      <c r="A71" s="9">
        <v>48</v>
      </c>
      <c r="B71" t="s">
        <v>332</v>
      </c>
      <c r="C71" s="9" t="s">
        <v>328</v>
      </c>
      <c r="D71" s="9">
        <v>6</v>
      </c>
      <c r="E71" t="s">
        <v>316</v>
      </c>
      <c r="F71" s="193">
        <v>65.400001500000002</v>
      </c>
      <c r="G71" s="193">
        <v>41</v>
      </c>
      <c r="H71" s="193">
        <v>53.200000799999998</v>
      </c>
    </row>
    <row r="72" spans="1:8" x14ac:dyDescent="0.3">
      <c r="A72" s="9">
        <v>69</v>
      </c>
      <c r="B72" t="s">
        <v>333</v>
      </c>
      <c r="C72" s="9" t="s">
        <v>323</v>
      </c>
      <c r="D72" s="9">
        <v>6</v>
      </c>
      <c r="E72" t="s">
        <v>316</v>
      </c>
      <c r="F72" s="193">
        <v>73.599998499999998</v>
      </c>
      <c r="G72" s="193">
        <v>57.799999200000002</v>
      </c>
      <c r="H72" s="193">
        <v>65.699996900000002</v>
      </c>
    </row>
    <row r="73" spans="1:8" x14ac:dyDescent="0.3">
      <c r="A73" s="9">
        <v>8</v>
      </c>
      <c r="B73" t="s">
        <v>334</v>
      </c>
      <c r="C73" s="9">
        <v>7</v>
      </c>
      <c r="D73" s="9">
        <v>7</v>
      </c>
      <c r="E73" t="s">
        <v>335</v>
      </c>
      <c r="F73" s="193">
        <v>1.1000000000000001</v>
      </c>
      <c r="G73" s="193">
        <v>11.300000199999999</v>
      </c>
      <c r="H73" s="193">
        <v>6.1999997999999996</v>
      </c>
    </row>
    <row r="74" spans="1:8" x14ac:dyDescent="0.3">
      <c r="A74" s="9">
        <v>24</v>
      </c>
      <c r="B74" t="s">
        <v>336</v>
      </c>
      <c r="C74" s="9" t="s">
        <v>337</v>
      </c>
      <c r="D74" s="9">
        <v>7</v>
      </c>
      <c r="E74" t="s">
        <v>335</v>
      </c>
      <c r="F74" s="193">
        <v>5.5</v>
      </c>
      <c r="G74" s="193">
        <v>16.799999199999998</v>
      </c>
      <c r="H74" s="193">
        <v>11.199999800000001</v>
      </c>
    </row>
    <row r="75" spans="1:8" x14ac:dyDescent="0.3">
      <c r="A75" s="9">
        <v>28</v>
      </c>
      <c r="B75" t="s">
        <v>338</v>
      </c>
      <c r="C75" s="9" t="s">
        <v>337</v>
      </c>
      <c r="D75" s="9">
        <v>7</v>
      </c>
      <c r="E75" t="s">
        <v>335</v>
      </c>
      <c r="F75" s="193">
        <v>14.5</v>
      </c>
      <c r="G75" s="193">
        <v>29.399999600000001</v>
      </c>
      <c r="H75" s="193">
        <v>21.899999600000001</v>
      </c>
    </row>
    <row r="76" spans="1:8" x14ac:dyDescent="0.3">
      <c r="A76" s="9">
        <v>31</v>
      </c>
      <c r="B76" t="s">
        <v>339</v>
      </c>
      <c r="C76" s="9" t="s">
        <v>337</v>
      </c>
      <c r="D76" s="9">
        <v>7</v>
      </c>
      <c r="E76" t="s">
        <v>335</v>
      </c>
      <c r="F76" s="193">
        <v>41.599998499999998</v>
      </c>
      <c r="G76" s="193">
        <v>45.099998499999998</v>
      </c>
      <c r="H76" s="193">
        <v>43.299999200000002</v>
      </c>
    </row>
    <row r="77" spans="1:8" x14ac:dyDescent="0.3">
      <c r="A77" s="9">
        <v>32</v>
      </c>
      <c r="B77" t="s">
        <v>340</v>
      </c>
      <c r="C77" s="9">
        <v>7</v>
      </c>
      <c r="D77" s="9">
        <v>7</v>
      </c>
      <c r="E77" t="s">
        <v>335</v>
      </c>
      <c r="F77" s="193">
        <v>2.2000000000000002</v>
      </c>
      <c r="G77" s="193">
        <v>14.100000400000001</v>
      </c>
      <c r="H77" s="193">
        <v>8.1000004000000008</v>
      </c>
    </row>
    <row r="78" spans="1:8" x14ac:dyDescent="0.3">
      <c r="A78" s="9">
        <v>33</v>
      </c>
      <c r="B78" t="s">
        <v>341</v>
      </c>
      <c r="C78" s="9">
        <v>7</v>
      </c>
      <c r="D78" s="9">
        <v>7</v>
      </c>
      <c r="E78" t="s">
        <v>335</v>
      </c>
      <c r="F78" s="193">
        <v>13.399999599999999</v>
      </c>
      <c r="G78" s="193">
        <v>10.300000199999999</v>
      </c>
      <c r="H78" s="193">
        <v>11.800000199999999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C447-586F-4FF1-9E17-E0DD108AB6C2}">
  <sheetPr codeName="Sheet9"/>
  <dimension ref="A1"/>
  <sheetViews>
    <sheetView workbookViewId="0">
      <selection activeCell="J21" sqref="J2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1844-6E0F-4AA8-84AE-3A8A613CE018}">
  <sheetPr codeName="Sheet10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4AD7-93D0-4D7F-93C2-163F94A95825}">
  <sheetPr codeName="Sheet11"/>
  <dimension ref="A1"/>
  <sheetViews>
    <sheetView workbookViewId="0">
      <selection activeCell="M42" sqref="M42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AEBE-CDD6-4D19-A83A-34E2B5EAE25D}">
  <sheetPr codeName="Sheet12"/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B175-6645-46C3-84D1-BA9FC2F41F55}">
  <sheetPr codeName="Sheet1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8E26-4CD0-4ED5-94B4-9F061B059BC7}">
  <sheetPr codeName="Sheet14"/>
  <dimension ref="A1"/>
  <sheetViews>
    <sheetView workbookViewId="0">
      <selection activeCell="V22" sqref="V22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tabColor theme="4" tint="0.79998168889431442"/>
  </sheetPr>
  <dimension ref="A1:AZ1011"/>
  <sheetViews>
    <sheetView zoomScale="70" zoomScaleNormal="70" workbookViewId="0">
      <pane xSplit="3" ySplit="10" topLeftCell="D653" activePane="bottomRight" state="frozen"/>
      <selection pane="topRight" activeCell="D1" sqref="D1"/>
      <selection pane="bottomLeft" activeCell="A11" sqref="A11"/>
      <selection pane="bottomRight" activeCell="H684" sqref="H684"/>
    </sheetView>
  </sheetViews>
  <sheetFormatPr defaultColWidth="9.109375" defaultRowHeight="14.4" x14ac:dyDescent="0.3"/>
  <cols>
    <col min="1" max="1" width="26.6640625" bestFit="1" customWidth="1"/>
    <col min="2" max="2" width="25.88671875" style="62" customWidth="1"/>
    <col min="3" max="3" width="20.5546875" bestFit="1" customWidth="1"/>
    <col min="4" max="4" width="53" bestFit="1" customWidth="1"/>
    <col min="5" max="5" width="15.6640625" bestFit="1" customWidth="1"/>
    <col min="6" max="6" width="20.6640625" bestFit="1" customWidth="1"/>
    <col min="7" max="7" width="17.33203125" bestFit="1" customWidth="1"/>
    <col min="8" max="8" width="17.44140625" bestFit="1" customWidth="1"/>
    <col min="9" max="9" width="34.5546875" bestFit="1" customWidth="1"/>
    <col min="10" max="10" width="17.33203125" bestFit="1" customWidth="1"/>
    <col min="11" max="11" width="17.44140625" bestFit="1" customWidth="1"/>
    <col min="12" max="12" width="34.5546875" bestFit="1" customWidth="1"/>
    <col min="13" max="13" width="13" bestFit="1" customWidth="1"/>
    <col min="14" max="14" width="30.6640625" bestFit="1" customWidth="1"/>
    <col min="15" max="15" width="24.5546875" bestFit="1" customWidth="1"/>
    <col min="16" max="16" width="17.88671875" bestFit="1" customWidth="1"/>
    <col min="17" max="17" width="19.6640625" bestFit="1" customWidth="1"/>
    <col min="18" max="18" width="42.109375" bestFit="1" customWidth="1"/>
    <col min="19" max="19" width="15" bestFit="1" customWidth="1"/>
    <col min="20" max="20" width="15.44140625" bestFit="1" customWidth="1"/>
    <col min="21" max="21" width="128.5546875" bestFit="1" customWidth="1"/>
    <col min="22" max="22" width="53.5546875" bestFit="1" customWidth="1"/>
    <col min="23" max="23" width="15.44140625" bestFit="1" customWidth="1"/>
    <col min="24" max="24" width="15.88671875" bestFit="1" customWidth="1"/>
    <col min="25" max="25" width="97.33203125" bestFit="1" customWidth="1"/>
    <col min="26" max="26" width="18.109375" bestFit="1" customWidth="1"/>
    <col min="27" max="27" width="21" bestFit="1" customWidth="1"/>
    <col min="28" max="28" width="18.6640625" bestFit="1" customWidth="1"/>
    <col min="29" max="29" width="15" bestFit="1" customWidth="1"/>
    <col min="30" max="30" width="33.5546875" bestFit="1" customWidth="1"/>
    <col min="31" max="31" width="23.109375" bestFit="1" customWidth="1"/>
    <col min="32" max="32" width="18.88671875" bestFit="1" customWidth="1"/>
    <col min="33" max="33" width="21.6640625" bestFit="1" customWidth="1"/>
    <col min="34" max="34" width="20.6640625" bestFit="1" customWidth="1"/>
    <col min="35" max="35" width="26.109375" customWidth="1"/>
    <col min="36" max="36" width="15.6640625" bestFit="1" customWidth="1"/>
    <col min="37" max="37" width="20" bestFit="1" customWidth="1"/>
    <col min="38" max="38" width="16.44140625" bestFit="1" customWidth="1"/>
    <col min="39" max="39" width="16.6640625" bestFit="1" customWidth="1"/>
    <col min="40" max="40" width="18.6640625" bestFit="1" customWidth="1"/>
    <col min="41" max="41" width="17.109375" bestFit="1" customWidth="1"/>
    <col min="42" max="42" width="16.6640625" bestFit="1" customWidth="1"/>
    <col min="43" max="43" width="18.6640625" bestFit="1" customWidth="1"/>
    <col min="44" max="44" width="18.109375" bestFit="1" customWidth="1"/>
    <col min="45" max="45" width="16.6640625" bestFit="1" customWidth="1"/>
    <col min="46" max="46" width="22.44140625" bestFit="1" customWidth="1"/>
    <col min="47" max="47" width="19.109375" bestFit="1" customWidth="1"/>
    <col min="48" max="49" width="15" bestFit="1" customWidth="1"/>
    <col min="50" max="50" width="21.5546875" bestFit="1" customWidth="1"/>
    <col min="51" max="51" width="20.6640625" bestFit="1" customWidth="1"/>
    <col min="52" max="52" width="15.44140625" bestFit="1" customWidth="1"/>
  </cols>
  <sheetData>
    <row r="1" spans="1:52" ht="18" x14ac:dyDescent="0.35">
      <c r="A1" s="6" t="s">
        <v>342</v>
      </c>
    </row>
    <row r="2" spans="1:52" x14ac:dyDescent="0.3">
      <c r="A2" t="s">
        <v>146</v>
      </c>
    </row>
    <row r="4" spans="1:52" x14ac:dyDescent="0.3">
      <c r="A4" s="54"/>
      <c r="B4" s="63">
        <v>44893</v>
      </c>
      <c r="C4" s="55" t="s">
        <v>343</v>
      </c>
    </row>
    <row r="5" spans="1:52" x14ac:dyDescent="0.3">
      <c r="A5" s="54"/>
      <c r="B5" s="64"/>
      <c r="C5" s="55"/>
      <c r="AD5" s="58"/>
    </row>
    <row r="6" spans="1:52" x14ac:dyDescent="0.3">
      <c r="A6" s="54"/>
      <c r="B6" s="64"/>
      <c r="C6" s="55"/>
      <c r="AU6" s="58"/>
    </row>
    <row r="7" spans="1:52" x14ac:dyDescent="0.3">
      <c r="B7"/>
    </row>
    <row r="8" spans="1:52" x14ac:dyDescent="0.3">
      <c r="A8" s="54"/>
      <c r="B8" s="64"/>
      <c r="C8" s="55"/>
      <c r="AD8" s="67"/>
      <c r="AE8" s="68" t="s">
        <v>344</v>
      </c>
      <c r="AW8" s="76"/>
    </row>
    <row r="9" spans="1:52" x14ac:dyDescent="0.3">
      <c r="A9" t="s">
        <v>345</v>
      </c>
      <c r="B9" t="s">
        <v>346</v>
      </c>
      <c r="C9" t="s">
        <v>347</v>
      </c>
      <c r="D9" t="s">
        <v>348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355</v>
      </c>
      <c r="L9" t="s">
        <v>356</v>
      </c>
      <c r="M9" t="s">
        <v>357</v>
      </c>
      <c r="O9" t="s">
        <v>358</v>
      </c>
      <c r="P9" t="s">
        <v>359</v>
      </c>
      <c r="Q9" t="s">
        <v>360</v>
      </c>
      <c r="R9" t="s">
        <v>361</v>
      </c>
      <c r="S9" t="s">
        <v>362</v>
      </c>
      <c r="T9" t="s">
        <v>363</v>
      </c>
      <c r="U9" t="s">
        <v>364</v>
      </c>
      <c r="V9" t="s">
        <v>365</v>
      </c>
      <c r="W9" t="s">
        <v>366</v>
      </c>
      <c r="X9" t="s">
        <v>367</v>
      </c>
      <c r="Y9" t="s">
        <v>368</v>
      </c>
      <c r="Z9" t="s">
        <v>369</v>
      </c>
      <c r="AA9" t="s">
        <v>370</v>
      </c>
      <c r="AB9" t="s">
        <v>371</v>
      </c>
      <c r="AC9" s="76" t="s">
        <v>372</v>
      </c>
      <c r="AD9" t="s">
        <v>373</v>
      </c>
      <c r="AE9" t="s">
        <v>374</v>
      </c>
      <c r="AF9" t="s">
        <v>375</v>
      </c>
      <c r="AG9" t="s">
        <v>376</v>
      </c>
      <c r="AH9" t="s">
        <v>377</v>
      </c>
      <c r="AI9" t="s">
        <v>378</v>
      </c>
      <c r="AJ9" t="s">
        <v>379</v>
      </c>
      <c r="AK9" t="s">
        <v>380</v>
      </c>
      <c r="AL9" t="s">
        <v>381</v>
      </c>
      <c r="AM9" t="s">
        <v>382</v>
      </c>
      <c r="AN9" t="s">
        <v>383</v>
      </c>
      <c r="AO9" t="s">
        <v>384</v>
      </c>
      <c r="AP9" t="s">
        <v>385</v>
      </c>
      <c r="AQ9" t="s">
        <v>386</v>
      </c>
      <c r="AR9" t="s">
        <v>387</v>
      </c>
      <c r="AS9" t="s">
        <v>388</v>
      </c>
    </row>
    <row r="10" spans="1:52" s="7" customFormat="1" ht="16.2" x14ac:dyDescent="0.45">
      <c r="A10" s="66" t="s">
        <v>345</v>
      </c>
      <c r="B10" s="66" t="s">
        <v>346</v>
      </c>
      <c r="C10" s="66" t="s">
        <v>347</v>
      </c>
      <c r="D10" s="66" t="s">
        <v>348</v>
      </c>
      <c r="E10" s="66" t="s">
        <v>349</v>
      </c>
      <c r="F10" s="66" t="s">
        <v>350</v>
      </c>
      <c r="G10" s="66" t="s">
        <v>351</v>
      </c>
      <c r="H10" s="66" t="s">
        <v>352</v>
      </c>
      <c r="I10" s="66" t="s">
        <v>353</v>
      </c>
      <c r="J10" s="66" t="s">
        <v>354</v>
      </c>
      <c r="K10" s="66" t="s">
        <v>355</v>
      </c>
      <c r="L10" s="66" t="s">
        <v>356</v>
      </c>
      <c r="M10" s="66" t="s">
        <v>357</v>
      </c>
      <c r="N10" s="66" t="s">
        <v>389</v>
      </c>
      <c r="O10" s="66" t="s">
        <v>358</v>
      </c>
      <c r="P10" s="66" t="s">
        <v>359</v>
      </c>
      <c r="Q10" s="66" t="s">
        <v>360</v>
      </c>
      <c r="R10" s="66" t="s">
        <v>361</v>
      </c>
      <c r="S10" s="66" t="s">
        <v>362</v>
      </c>
      <c r="T10" s="66" t="s">
        <v>363</v>
      </c>
      <c r="U10" s="66" t="s">
        <v>364</v>
      </c>
      <c r="V10" s="66" t="s">
        <v>365</v>
      </c>
      <c r="W10" s="66" t="s">
        <v>366</v>
      </c>
      <c r="X10" s="66" t="s">
        <v>367</v>
      </c>
      <c r="Y10" s="66" t="s">
        <v>368</v>
      </c>
      <c r="Z10" s="66" t="s">
        <v>369</v>
      </c>
      <c r="AA10" s="66" t="s">
        <v>370</v>
      </c>
      <c r="AB10" s="66" t="s">
        <v>371</v>
      </c>
      <c r="AC10" s="66" t="s">
        <v>372</v>
      </c>
      <c r="AD10" s="66" t="s">
        <v>373</v>
      </c>
      <c r="AE10" s="66" t="s">
        <v>374</v>
      </c>
      <c r="AF10" s="66" t="s">
        <v>375</v>
      </c>
      <c r="AG10" s="66" t="s">
        <v>376</v>
      </c>
      <c r="AH10" s="66" t="s">
        <v>377</v>
      </c>
      <c r="AI10" s="66" t="s">
        <v>378</v>
      </c>
      <c r="AJ10" s="66" t="s">
        <v>379</v>
      </c>
      <c r="AK10" s="66" t="s">
        <v>380</v>
      </c>
      <c r="AL10" s="66" t="s">
        <v>381</v>
      </c>
      <c r="AM10" s="66" t="s">
        <v>382</v>
      </c>
      <c r="AN10" s="66" t="s">
        <v>383</v>
      </c>
      <c r="AO10" s="66" t="s">
        <v>384</v>
      </c>
      <c r="AP10" s="66" t="s">
        <v>385</v>
      </c>
      <c r="AQ10" s="66" t="s">
        <v>386</v>
      </c>
      <c r="AR10" s="66" t="s">
        <v>387</v>
      </c>
      <c r="AS10" s="66" t="s">
        <v>388</v>
      </c>
      <c r="AT10" s="77" t="s">
        <v>390</v>
      </c>
      <c r="AU10" s="66" t="s">
        <v>391</v>
      </c>
      <c r="AV10" s="66" t="s">
        <v>392</v>
      </c>
      <c r="AW10" s="66" t="s">
        <v>393</v>
      </c>
      <c r="AX10" s="66" t="s">
        <v>394</v>
      </c>
      <c r="AY10" s="66" t="s">
        <v>395</v>
      </c>
      <c r="AZ10" s="66" t="s">
        <v>396</v>
      </c>
    </row>
    <row r="11" spans="1:52" x14ac:dyDescent="0.3">
      <c r="A11">
        <v>0</v>
      </c>
      <c r="B11" t="s">
        <v>397</v>
      </c>
      <c r="C11" t="s">
        <v>154</v>
      </c>
      <c r="D11" t="s">
        <v>398</v>
      </c>
      <c r="E11" t="s">
        <v>399</v>
      </c>
      <c r="F11" t="s">
        <v>400</v>
      </c>
      <c r="G11">
        <v>3201</v>
      </c>
      <c r="H11">
        <v>3200</v>
      </c>
      <c r="I11" t="s">
        <v>401</v>
      </c>
      <c r="J11">
        <v>3557</v>
      </c>
      <c r="K11">
        <v>3556</v>
      </c>
      <c r="L11" t="s">
        <v>402</v>
      </c>
      <c r="M11">
        <v>3</v>
      </c>
      <c r="N11" t="s">
        <v>165</v>
      </c>
      <c r="O11" t="s">
        <v>165</v>
      </c>
      <c r="P11" t="s">
        <v>403</v>
      </c>
      <c r="Q11" t="s">
        <v>404</v>
      </c>
      <c r="R11" t="s">
        <v>405</v>
      </c>
      <c r="S11">
        <v>2019</v>
      </c>
      <c r="T11">
        <v>0</v>
      </c>
      <c r="U11" t="s">
        <v>406</v>
      </c>
      <c r="V11" t="s">
        <v>407</v>
      </c>
      <c r="W11">
        <v>2020</v>
      </c>
      <c r="X11">
        <v>0</v>
      </c>
      <c r="Y11" t="s">
        <v>408</v>
      </c>
      <c r="Z11">
        <v>2020</v>
      </c>
      <c r="AA11">
        <v>2019</v>
      </c>
      <c r="AB11" s="5">
        <v>0.49516973340199999</v>
      </c>
      <c r="AC11" s="5">
        <v>0.99033946680399998</v>
      </c>
      <c r="AD11" t="s">
        <v>400</v>
      </c>
      <c r="AE11" t="s">
        <v>152</v>
      </c>
      <c r="AF11" t="s">
        <v>400</v>
      </c>
      <c r="AG11" t="s">
        <v>400</v>
      </c>
      <c r="AH11" t="s">
        <v>400</v>
      </c>
      <c r="AI11" t="s">
        <v>400</v>
      </c>
      <c r="AJ11" t="s">
        <v>400</v>
      </c>
      <c r="AK11" t="s">
        <v>400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 s="58">
        <f t="shared" ref="AT11:AT74" si="0">SUM(AM11:AS11)</f>
        <v>1</v>
      </c>
      <c r="AU11" s="79" t="s">
        <v>409</v>
      </c>
      <c r="AV11" s="78" t="s">
        <v>410</v>
      </c>
      <c r="AW11" t="s">
        <v>411</v>
      </c>
      <c r="AX11">
        <v>2</v>
      </c>
      <c r="AY11" t="s">
        <v>412</v>
      </c>
      <c r="AZ11" t="s">
        <v>408</v>
      </c>
    </row>
    <row r="12" spans="1:52" x14ac:dyDescent="0.3">
      <c r="A12">
        <v>1</v>
      </c>
      <c r="B12" t="s">
        <v>397</v>
      </c>
      <c r="C12" t="s">
        <v>154</v>
      </c>
      <c r="D12" t="s">
        <v>398</v>
      </c>
      <c r="E12" t="s">
        <v>399</v>
      </c>
      <c r="F12" t="s">
        <v>400</v>
      </c>
      <c r="G12">
        <v>3159</v>
      </c>
      <c r="H12">
        <v>3158</v>
      </c>
      <c r="I12" t="s">
        <v>402</v>
      </c>
      <c r="J12">
        <v>3001</v>
      </c>
      <c r="K12">
        <v>3000</v>
      </c>
      <c r="L12" t="s">
        <v>413</v>
      </c>
      <c r="M12">
        <v>3</v>
      </c>
      <c r="N12" t="s">
        <v>170</v>
      </c>
      <c r="O12" t="s">
        <v>170</v>
      </c>
      <c r="P12" t="s">
        <v>414</v>
      </c>
      <c r="Q12" t="s">
        <v>404</v>
      </c>
      <c r="R12" t="s">
        <v>405</v>
      </c>
      <c r="S12">
        <v>2019</v>
      </c>
      <c r="T12">
        <v>0</v>
      </c>
      <c r="U12" t="s">
        <v>408</v>
      </c>
      <c r="V12" t="s">
        <v>407</v>
      </c>
      <c r="W12">
        <v>2020</v>
      </c>
      <c r="X12">
        <v>0</v>
      </c>
      <c r="Y12" t="s">
        <v>408</v>
      </c>
      <c r="Z12">
        <v>2020</v>
      </c>
      <c r="AA12">
        <v>2019</v>
      </c>
      <c r="AB12" s="5">
        <v>0.25240305589500001</v>
      </c>
      <c r="AC12" s="5">
        <v>0.50480611179000001</v>
      </c>
      <c r="AD12" t="s">
        <v>400</v>
      </c>
      <c r="AE12" t="s">
        <v>152</v>
      </c>
      <c r="AF12" t="s">
        <v>400</v>
      </c>
      <c r="AG12" t="s">
        <v>400</v>
      </c>
      <c r="AH12" t="s">
        <v>400</v>
      </c>
      <c r="AI12" t="s">
        <v>400</v>
      </c>
      <c r="AJ12" t="s">
        <v>400</v>
      </c>
      <c r="AK12" t="s">
        <v>400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 s="58">
        <f t="shared" si="0"/>
        <v>1</v>
      </c>
      <c r="AU12" s="79">
        <v>44658</v>
      </c>
      <c r="AV12" s="78" t="s">
        <v>410</v>
      </c>
      <c r="AW12" t="s">
        <v>400</v>
      </c>
      <c r="AX12">
        <v>2</v>
      </c>
      <c r="AY12" t="s">
        <v>412</v>
      </c>
      <c r="AZ12" t="s">
        <v>400</v>
      </c>
    </row>
    <row r="13" spans="1:52" x14ac:dyDescent="0.3">
      <c r="A13">
        <v>2</v>
      </c>
      <c r="B13" t="s">
        <v>415</v>
      </c>
      <c r="C13" t="s">
        <v>154</v>
      </c>
      <c r="D13" t="s">
        <v>416</v>
      </c>
      <c r="E13" t="s">
        <v>417</v>
      </c>
      <c r="F13" t="s">
        <v>408</v>
      </c>
      <c r="G13">
        <v>1901</v>
      </c>
      <c r="H13">
        <v>1900</v>
      </c>
      <c r="I13" t="s">
        <v>418</v>
      </c>
      <c r="J13">
        <v>1401</v>
      </c>
      <c r="K13">
        <v>1400</v>
      </c>
      <c r="L13" t="s">
        <v>419</v>
      </c>
      <c r="M13">
        <v>3</v>
      </c>
      <c r="N13" t="s">
        <v>167</v>
      </c>
      <c r="O13" t="s">
        <v>167</v>
      </c>
      <c r="P13" t="s">
        <v>420</v>
      </c>
      <c r="Q13" t="s">
        <v>421</v>
      </c>
      <c r="R13" t="s">
        <v>422</v>
      </c>
      <c r="S13">
        <v>2011</v>
      </c>
      <c r="T13">
        <v>6</v>
      </c>
      <c r="U13" t="s">
        <v>408</v>
      </c>
      <c r="V13" t="s">
        <v>423</v>
      </c>
      <c r="W13">
        <v>2018</v>
      </c>
      <c r="X13">
        <v>7</v>
      </c>
      <c r="Y13" t="s">
        <v>408</v>
      </c>
      <c r="Z13">
        <v>2018</v>
      </c>
      <c r="AA13">
        <v>0</v>
      </c>
      <c r="AB13" s="5">
        <v>0.757320648958</v>
      </c>
      <c r="AC13" s="5">
        <v>1.5146412979199999</v>
      </c>
      <c r="AD13" t="s">
        <v>408</v>
      </c>
      <c r="AE13" t="s">
        <v>152</v>
      </c>
      <c r="AF13" t="s">
        <v>408</v>
      </c>
      <c r="AG13" t="s">
        <v>408</v>
      </c>
      <c r="AH13" t="s">
        <v>408</v>
      </c>
      <c r="AI13" t="s">
        <v>408</v>
      </c>
      <c r="AJ13" t="s">
        <v>408</v>
      </c>
      <c r="AK13" t="s">
        <v>408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 s="58">
        <f t="shared" si="0"/>
        <v>1</v>
      </c>
      <c r="AU13" s="79">
        <v>43322</v>
      </c>
      <c r="AV13" s="78" t="s">
        <v>410</v>
      </c>
      <c r="AW13" t="s">
        <v>408</v>
      </c>
      <c r="AX13">
        <v>2</v>
      </c>
      <c r="AY13" t="s">
        <v>412</v>
      </c>
      <c r="AZ13" t="s">
        <v>408</v>
      </c>
    </row>
    <row r="14" spans="1:52" x14ac:dyDescent="0.3">
      <c r="A14">
        <v>3</v>
      </c>
      <c r="B14" t="s">
        <v>424</v>
      </c>
      <c r="C14" t="s">
        <v>155</v>
      </c>
      <c r="D14" t="s">
        <v>425</v>
      </c>
      <c r="E14" t="s">
        <v>426</v>
      </c>
      <c r="F14" t="s">
        <v>408</v>
      </c>
      <c r="G14">
        <v>8100</v>
      </c>
      <c r="H14">
        <v>8101</v>
      </c>
      <c r="I14" t="s">
        <v>427</v>
      </c>
      <c r="J14">
        <v>8700</v>
      </c>
      <c r="K14">
        <v>8701</v>
      </c>
      <c r="L14" t="s">
        <v>428</v>
      </c>
      <c r="M14">
        <v>2</v>
      </c>
      <c r="N14" t="s">
        <v>165</v>
      </c>
      <c r="O14" t="s">
        <v>165</v>
      </c>
      <c r="P14" t="s">
        <v>420</v>
      </c>
      <c r="Q14" t="s">
        <v>429</v>
      </c>
      <c r="R14" t="s">
        <v>430</v>
      </c>
      <c r="S14">
        <v>2013</v>
      </c>
      <c r="T14">
        <v>10</v>
      </c>
      <c r="U14" t="s">
        <v>370</v>
      </c>
      <c r="V14" t="s">
        <v>408</v>
      </c>
      <c r="W14">
        <v>0</v>
      </c>
      <c r="X14">
        <v>0</v>
      </c>
      <c r="Y14" t="s">
        <v>408</v>
      </c>
      <c r="Z14">
        <v>2013</v>
      </c>
      <c r="AA14">
        <v>2013</v>
      </c>
      <c r="AB14" s="5">
        <v>0.75430900693500003</v>
      </c>
      <c r="AC14" s="5">
        <v>1.5086180138700001</v>
      </c>
      <c r="AD14" t="s">
        <v>408</v>
      </c>
      <c r="AE14" t="s">
        <v>152</v>
      </c>
      <c r="AF14" t="s">
        <v>408</v>
      </c>
      <c r="AG14" t="s">
        <v>408</v>
      </c>
      <c r="AH14" t="s">
        <v>408</v>
      </c>
      <c r="AI14" t="s">
        <v>408</v>
      </c>
      <c r="AJ14" t="s">
        <v>408</v>
      </c>
      <c r="AK14" t="s">
        <v>408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 s="58">
        <f t="shared" si="0"/>
        <v>1</v>
      </c>
      <c r="AU14" s="79" t="s">
        <v>431</v>
      </c>
      <c r="AV14" s="78" t="s">
        <v>410</v>
      </c>
      <c r="AW14" t="s">
        <v>152</v>
      </c>
      <c r="AX14">
        <v>2</v>
      </c>
      <c r="AY14" t="s">
        <v>412</v>
      </c>
      <c r="AZ14" t="s">
        <v>408</v>
      </c>
    </row>
    <row r="15" spans="1:52" x14ac:dyDescent="0.3">
      <c r="A15">
        <v>4</v>
      </c>
      <c r="B15" t="s">
        <v>432</v>
      </c>
      <c r="C15" t="s">
        <v>154</v>
      </c>
      <c r="D15" t="s">
        <v>433</v>
      </c>
      <c r="E15" t="s">
        <v>417</v>
      </c>
      <c r="F15" t="s">
        <v>400</v>
      </c>
      <c r="G15">
        <v>3200</v>
      </c>
      <c r="H15">
        <v>3201</v>
      </c>
      <c r="I15" t="s">
        <v>434</v>
      </c>
      <c r="J15">
        <v>2000</v>
      </c>
      <c r="K15">
        <v>2001</v>
      </c>
      <c r="L15" t="s">
        <v>435</v>
      </c>
      <c r="M15">
        <v>3</v>
      </c>
      <c r="N15" t="s">
        <v>163</v>
      </c>
      <c r="O15" t="s">
        <v>163</v>
      </c>
      <c r="P15" t="s">
        <v>403</v>
      </c>
      <c r="Q15" t="s">
        <v>436</v>
      </c>
      <c r="R15" t="s">
        <v>437</v>
      </c>
      <c r="S15">
        <v>2022</v>
      </c>
      <c r="T15">
        <v>11</v>
      </c>
      <c r="U15" t="s">
        <v>408</v>
      </c>
      <c r="V15" t="s">
        <v>408</v>
      </c>
      <c r="W15">
        <v>0</v>
      </c>
      <c r="X15">
        <v>0</v>
      </c>
      <c r="Y15" t="s">
        <v>408</v>
      </c>
      <c r="Z15">
        <v>2022</v>
      </c>
      <c r="AA15">
        <v>2022</v>
      </c>
      <c r="AB15" s="5">
        <v>1.52276829318</v>
      </c>
      <c r="AC15" s="5">
        <v>3.0455365863599999</v>
      </c>
      <c r="AD15" t="s">
        <v>400</v>
      </c>
      <c r="AE15" t="s">
        <v>152</v>
      </c>
      <c r="AF15" t="s">
        <v>400</v>
      </c>
      <c r="AG15" t="s">
        <v>400</v>
      </c>
      <c r="AH15" t="s">
        <v>152</v>
      </c>
      <c r="AI15" t="s">
        <v>438</v>
      </c>
      <c r="AJ15" t="s">
        <v>400</v>
      </c>
      <c r="AK15" t="s">
        <v>400</v>
      </c>
      <c r="AL15">
        <v>0</v>
      </c>
      <c r="AM15">
        <v>0</v>
      </c>
      <c r="AN15">
        <v>0</v>
      </c>
      <c r="AO15">
        <v>0.5</v>
      </c>
      <c r="AP15">
        <v>0</v>
      </c>
      <c r="AQ15">
        <v>0</v>
      </c>
      <c r="AR15">
        <v>0</v>
      </c>
      <c r="AS15">
        <v>0.5</v>
      </c>
      <c r="AT15" s="58">
        <f t="shared" si="0"/>
        <v>1</v>
      </c>
      <c r="AU15" s="79" t="s">
        <v>439</v>
      </c>
      <c r="AV15" s="78" t="s">
        <v>410</v>
      </c>
      <c r="AW15" t="s">
        <v>411</v>
      </c>
      <c r="AX15">
        <v>1</v>
      </c>
      <c r="AY15" t="s">
        <v>412</v>
      </c>
      <c r="AZ15">
        <v>30</v>
      </c>
    </row>
    <row r="16" spans="1:52" x14ac:dyDescent="0.3">
      <c r="A16">
        <v>5</v>
      </c>
      <c r="B16" t="s">
        <v>440</v>
      </c>
      <c r="C16" t="s">
        <v>155</v>
      </c>
      <c r="D16" t="s">
        <v>441</v>
      </c>
      <c r="E16" t="s">
        <v>417</v>
      </c>
      <c r="F16" t="s">
        <v>155</v>
      </c>
      <c r="G16">
        <v>351</v>
      </c>
      <c r="H16">
        <v>350</v>
      </c>
      <c r="I16" t="s">
        <v>442</v>
      </c>
      <c r="J16">
        <v>151</v>
      </c>
      <c r="K16">
        <v>150</v>
      </c>
      <c r="L16" t="s">
        <v>443</v>
      </c>
      <c r="M16">
        <v>4</v>
      </c>
      <c r="N16" t="s">
        <v>170</v>
      </c>
      <c r="O16" t="s">
        <v>170</v>
      </c>
      <c r="P16" t="s">
        <v>420</v>
      </c>
      <c r="Q16" t="s">
        <v>444</v>
      </c>
      <c r="R16" t="s">
        <v>445</v>
      </c>
      <c r="S16">
        <v>2012</v>
      </c>
      <c r="T16">
        <v>6</v>
      </c>
      <c r="U16" t="s">
        <v>408</v>
      </c>
      <c r="V16" t="s">
        <v>408</v>
      </c>
      <c r="W16">
        <v>0</v>
      </c>
      <c r="X16">
        <v>0</v>
      </c>
      <c r="Y16" t="s">
        <v>408</v>
      </c>
      <c r="Z16">
        <v>2012</v>
      </c>
      <c r="AA16">
        <v>0</v>
      </c>
      <c r="AB16" s="5">
        <v>0.30683475014900002</v>
      </c>
      <c r="AC16" s="5">
        <v>0.30683475014900002</v>
      </c>
      <c r="AD16" t="s">
        <v>408</v>
      </c>
      <c r="AE16" t="s">
        <v>411</v>
      </c>
      <c r="AF16" t="s">
        <v>155</v>
      </c>
      <c r="AG16" t="s">
        <v>152</v>
      </c>
      <c r="AH16" t="s">
        <v>408</v>
      </c>
      <c r="AI16" t="s">
        <v>408</v>
      </c>
      <c r="AJ16" t="s">
        <v>408</v>
      </c>
      <c r="AK16" t="s">
        <v>408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 s="58">
        <f t="shared" si="0"/>
        <v>1</v>
      </c>
      <c r="AU16" s="79">
        <v>43328</v>
      </c>
      <c r="AV16" s="78" t="s">
        <v>410</v>
      </c>
      <c r="AW16" t="s">
        <v>408</v>
      </c>
      <c r="AX16">
        <v>2</v>
      </c>
      <c r="AY16" t="s">
        <v>412</v>
      </c>
      <c r="AZ16" t="s">
        <v>408</v>
      </c>
    </row>
    <row r="17" spans="1:52" x14ac:dyDescent="0.3">
      <c r="A17">
        <v>6</v>
      </c>
      <c r="B17" t="s">
        <v>446</v>
      </c>
      <c r="C17" t="s">
        <v>447</v>
      </c>
      <c r="D17" t="s">
        <v>448</v>
      </c>
      <c r="E17" t="s">
        <v>449</v>
      </c>
      <c r="F17" t="s">
        <v>154</v>
      </c>
      <c r="G17">
        <v>1400</v>
      </c>
      <c r="H17">
        <v>1401</v>
      </c>
      <c r="I17" t="s">
        <v>450</v>
      </c>
      <c r="J17">
        <v>1464</v>
      </c>
      <c r="K17">
        <v>1463</v>
      </c>
      <c r="L17" t="s">
        <v>451</v>
      </c>
      <c r="M17">
        <v>2</v>
      </c>
      <c r="N17" t="s">
        <v>165</v>
      </c>
      <c r="O17" t="s">
        <v>165</v>
      </c>
      <c r="P17" t="s">
        <v>420</v>
      </c>
      <c r="Q17" t="s">
        <v>408</v>
      </c>
      <c r="R17" t="s">
        <v>445</v>
      </c>
      <c r="S17">
        <v>2012</v>
      </c>
      <c r="T17">
        <v>7</v>
      </c>
      <c r="U17" t="s">
        <v>452</v>
      </c>
      <c r="V17" t="s">
        <v>453</v>
      </c>
      <c r="W17">
        <v>2017</v>
      </c>
      <c r="X17">
        <v>6</v>
      </c>
      <c r="Y17" t="s">
        <v>408</v>
      </c>
      <c r="Z17">
        <v>2017</v>
      </c>
      <c r="AA17">
        <v>0</v>
      </c>
      <c r="AB17" s="5">
        <v>0.140520395258</v>
      </c>
      <c r="AC17" s="5">
        <v>0.140520395258</v>
      </c>
      <c r="AD17" t="s">
        <v>408</v>
      </c>
      <c r="AE17" t="s">
        <v>411</v>
      </c>
      <c r="AF17" t="s">
        <v>154</v>
      </c>
      <c r="AG17" t="s">
        <v>152</v>
      </c>
      <c r="AH17" t="s">
        <v>408</v>
      </c>
      <c r="AI17" t="s">
        <v>408</v>
      </c>
      <c r="AJ17" t="s">
        <v>408</v>
      </c>
      <c r="AK17" t="s">
        <v>408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 s="58">
        <f t="shared" si="0"/>
        <v>1</v>
      </c>
      <c r="AU17" s="79">
        <v>43328</v>
      </c>
      <c r="AV17" t="s">
        <v>410</v>
      </c>
      <c r="AW17" t="s">
        <v>152</v>
      </c>
      <c r="AX17">
        <v>2</v>
      </c>
      <c r="AY17" t="s">
        <v>412</v>
      </c>
      <c r="AZ17" t="s">
        <v>408</v>
      </c>
    </row>
    <row r="18" spans="1:52" x14ac:dyDescent="0.3">
      <c r="A18">
        <v>7</v>
      </c>
      <c r="B18" t="s">
        <v>446</v>
      </c>
      <c r="C18" t="s">
        <v>447</v>
      </c>
      <c r="D18" t="s">
        <v>448</v>
      </c>
      <c r="E18" t="s">
        <v>449</v>
      </c>
      <c r="F18" t="s">
        <v>447</v>
      </c>
      <c r="G18">
        <v>1366</v>
      </c>
      <c r="H18">
        <v>1351</v>
      </c>
      <c r="I18" t="s">
        <v>451</v>
      </c>
      <c r="J18">
        <v>1390</v>
      </c>
      <c r="K18">
        <v>1391</v>
      </c>
      <c r="L18" t="s">
        <v>450</v>
      </c>
      <c r="M18">
        <v>2</v>
      </c>
      <c r="N18" t="s">
        <v>163</v>
      </c>
      <c r="O18" t="s">
        <v>163</v>
      </c>
      <c r="P18" t="s">
        <v>403</v>
      </c>
      <c r="Q18" t="s">
        <v>408</v>
      </c>
      <c r="R18" t="s">
        <v>454</v>
      </c>
      <c r="S18">
        <v>2019</v>
      </c>
      <c r="T18">
        <v>5</v>
      </c>
      <c r="U18" t="s">
        <v>455</v>
      </c>
      <c r="V18" t="s">
        <v>408</v>
      </c>
      <c r="W18">
        <v>0</v>
      </c>
      <c r="X18">
        <v>0</v>
      </c>
      <c r="Y18" t="s">
        <v>408</v>
      </c>
      <c r="Z18">
        <v>2019</v>
      </c>
      <c r="AA18">
        <v>2019</v>
      </c>
      <c r="AB18" s="5">
        <v>4.5695079931599998E-2</v>
      </c>
      <c r="AC18" s="5">
        <v>4.5695079931599998E-2</v>
      </c>
      <c r="AD18" t="s">
        <v>408</v>
      </c>
      <c r="AE18" t="s">
        <v>411</v>
      </c>
      <c r="AF18" t="s">
        <v>447</v>
      </c>
      <c r="AG18" t="s">
        <v>152</v>
      </c>
      <c r="AH18" t="s">
        <v>408</v>
      </c>
      <c r="AI18" t="s">
        <v>456</v>
      </c>
      <c r="AJ18" t="s">
        <v>400</v>
      </c>
      <c r="AK18" t="s">
        <v>408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 s="58">
        <f t="shared" si="0"/>
        <v>1</v>
      </c>
      <c r="AU18" s="79" t="s">
        <v>457</v>
      </c>
      <c r="AV18" t="s">
        <v>410</v>
      </c>
      <c r="AW18" t="s">
        <v>400</v>
      </c>
      <c r="AX18">
        <v>1</v>
      </c>
      <c r="AY18" t="s">
        <v>412</v>
      </c>
      <c r="AZ18" t="s">
        <v>408</v>
      </c>
    </row>
    <row r="19" spans="1:52" x14ac:dyDescent="0.3">
      <c r="A19">
        <v>8</v>
      </c>
      <c r="B19" t="s">
        <v>458</v>
      </c>
      <c r="C19" t="s">
        <v>155</v>
      </c>
      <c r="D19" t="s">
        <v>459</v>
      </c>
      <c r="E19" t="s">
        <v>460</v>
      </c>
      <c r="F19" t="s">
        <v>408</v>
      </c>
      <c r="G19">
        <v>898</v>
      </c>
      <c r="H19">
        <v>899</v>
      </c>
      <c r="I19" t="s">
        <v>461</v>
      </c>
      <c r="J19">
        <v>601</v>
      </c>
      <c r="K19">
        <v>600</v>
      </c>
      <c r="L19" t="s">
        <v>462</v>
      </c>
      <c r="M19">
        <v>4</v>
      </c>
      <c r="N19" t="s">
        <v>165</v>
      </c>
      <c r="O19" t="s">
        <v>165</v>
      </c>
      <c r="P19" t="s">
        <v>420</v>
      </c>
      <c r="Q19" t="s">
        <v>463</v>
      </c>
      <c r="R19" t="s">
        <v>445</v>
      </c>
      <c r="S19">
        <v>2012</v>
      </c>
      <c r="T19">
        <v>7</v>
      </c>
      <c r="U19" t="s">
        <v>452</v>
      </c>
      <c r="V19" t="s">
        <v>407</v>
      </c>
      <c r="W19">
        <v>2020</v>
      </c>
      <c r="X19">
        <v>0</v>
      </c>
      <c r="Y19" t="s">
        <v>408</v>
      </c>
      <c r="Z19">
        <v>2020</v>
      </c>
      <c r="AA19">
        <v>0</v>
      </c>
      <c r="AB19" s="5">
        <v>0.26595669479</v>
      </c>
      <c r="AC19" s="5">
        <v>0.53191338958000001</v>
      </c>
      <c r="AD19" t="s">
        <v>408</v>
      </c>
      <c r="AE19" t="s">
        <v>152</v>
      </c>
      <c r="AF19" t="s">
        <v>408</v>
      </c>
      <c r="AG19" t="s">
        <v>408</v>
      </c>
      <c r="AH19" t="s">
        <v>408</v>
      </c>
      <c r="AI19" t="s">
        <v>408</v>
      </c>
      <c r="AJ19" t="s">
        <v>408</v>
      </c>
      <c r="AK19" t="s">
        <v>408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 s="58">
        <f t="shared" si="0"/>
        <v>1</v>
      </c>
      <c r="AU19" s="79" t="s">
        <v>431</v>
      </c>
      <c r="AV19" s="78" t="s">
        <v>410</v>
      </c>
      <c r="AW19" t="s">
        <v>152</v>
      </c>
      <c r="AX19">
        <v>2</v>
      </c>
      <c r="AY19" t="s">
        <v>412</v>
      </c>
      <c r="AZ19" t="s">
        <v>408</v>
      </c>
    </row>
    <row r="20" spans="1:52" x14ac:dyDescent="0.3">
      <c r="A20">
        <v>9</v>
      </c>
      <c r="B20" t="s">
        <v>464</v>
      </c>
      <c r="C20" t="s">
        <v>154</v>
      </c>
      <c r="D20" t="s">
        <v>465</v>
      </c>
      <c r="E20" t="s">
        <v>466</v>
      </c>
      <c r="F20" t="s">
        <v>408</v>
      </c>
      <c r="G20">
        <v>3787</v>
      </c>
      <c r="H20">
        <v>3786</v>
      </c>
      <c r="I20" t="s">
        <v>467</v>
      </c>
      <c r="J20">
        <v>3601</v>
      </c>
      <c r="K20">
        <v>3600</v>
      </c>
      <c r="L20" t="s">
        <v>468</v>
      </c>
      <c r="M20">
        <v>4</v>
      </c>
      <c r="N20" t="s">
        <v>163</v>
      </c>
      <c r="O20" t="s">
        <v>163</v>
      </c>
      <c r="P20" t="s">
        <v>420</v>
      </c>
      <c r="Q20" t="s">
        <v>408</v>
      </c>
      <c r="R20" t="s">
        <v>445</v>
      </c>
      <c r="S20">
        <v>2012</v>
      </c>
      <c r="T20">
        <v>6</v>
      </c>
      <c r="U20" t="s">
        <v>452</v>
      </c>
      <c r="V20" t="s">
        <v>469</v>
      </c>
      <c r="W20">
        <v>2018</v>
      </c>
      <c r="X20">
        <v>5</v>
      </c>
      <c r="Y20" t="s">
        <v>408</v>
      </c>
      <c r="Z20">
        <v>2018</v>
      </c>
      <c r="AA20">
        <v>0</v>
      </c>
      <c r="AB20" s="5">
        <v>0.25049818670399998</v>
      </c>
      <c r="AC20" s="5">
        <v>0.50099637340799996</v>
      </c>
      <c r="AD20" t="s">
        <v>408</v>
      </c>
      <c r="AE20" t="s">
        <v>152</v>
      </c>
      <c r="AF20" t="s">
        <v>400</v>
      </c>
      <c r="AG20" t="s">
        <v>400</v>
      </c>
      <c r="AH20" t="s">
        <v>400</v>
      </c>
      <c r="AI20" t="s">
        <v>470</v>
      </c>
      <c r="AJ20" t="s">
        <v>400</v>
      </c>
      <c r="AK20" t="s">
        <v>411</v>
      </c>
      <c r="AL20">
        <v>2018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 s="58">
        <f t="shared" si="0"/>
        <v>1</v>
      </c>
      <c r="AU20" s="79" t="s">
        <v>471</v>
      </c>
      <c r="AV20" t="s">
        <v>410</v>
      </c>
      <c r="AW20" t="s">
        <v>411</v>
      </c>
      <c r="AX20">
        <v>1</v>
      </c>
      <c r="AY20" t="s">
        <v>412</v>
      </c>
      <c r="AZ20" t="s">
        <v>408</v>
      </c>
    </row>
    <row r="21" spans="1:52" x14ac:dyDescent="0.3">
      <c r="A21">
        <v>10</v>
      </c>
      <c r="B21" t="s">
        <v>472</v>
      </c>
      <c r="C21" t="s">
        <v>152</v>
      </c>
      <c r="D21" t="s">
        <v>473</v>
      </c>
      <c r="E21" t="s">
        <v>460</v>
      </c>
      <c r="F21" t="s">
        <v>408</v>
      </c>
      <c r="G21">
        <v>828</v>
      </c>
      <c r="H21">
        <v>825</v>
      </c>
      <c r="I21" t="s">
        <v>474</v>
      </c>
      <c r="J21">
        <v>874</v>
      </c>
      <c r="K21">
        <v>871</v>
      </c>
      <c r="L21" t="s">
        <v>475</v>
      </c>
      <c r="M21">
        <v>3</v>
      </c>
      <c r="N21" t="s">
        <v>165</v>
      </c>
      <c r="O21" t="s">
        <v>165</v>
      </c>
      <c r="P21" t="s">
        <v>403</v>
      </c>
      <c r="Q21" t="s">
        <v>408</v>
      </c>
      <c r="R21" t="s">
        <v>476</v>
      </c>
      <c r="S21">
        <v>2012</v>
      </c>
      <c r="T21">
        <v>6</v>
      </c>
      <c r="U21" t="s">
        <v>370</v>
      </c>
      <c r="V21" t="s">
        <v>408</v>
      </c>
      <c r="W21">
        <v>0</v>
      </c>
      <c r="X21">
        <v>0</v>
      </c>
      <c r="Y21" t="s">
        <v>408</v>
      </c>
      <c r="Z21">
        <v>2012</v>
      </c>
      <c r="AA21">
        <v>2012</v>
      </c>
      <c r="AB21" s="5">
        <v>9.6969646088500006E-2</v>
      </c>
      <c r="AC21" s="5">
        <v>0.19393929217700001</v>
      </c>
      <c r="AD21" t="s">
        <v>408</v>
      </c>
      <c r="AE21" t="s">
        <v>152</v>
      </c>
      <c r="AF21" t="s">
        <v>408</v>
      </c>
      <c r="AG21" t="s">
        <v>408</v>
      </c>
      <c r="AH21" t="s">
        <v>408</v>
      </c>
      <c r="AI21" t="s">
        <v>408</v>
      </c>
      <c r="AJ21" t="s">
        <v>408</v>
      </c>
      <c r="AK21" t="s">
        <v>408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s="58">
        <f t="shared" si="0"/>
        <v>1</v>
      </c>
      <c r="AU21" s="79">
        <v>43332</v>
      </c>
      <c r="AV21" t="s">
        <v>410</v>
      </c>
      <c r="AW21" t="s">
        <v>152</v>
      </c>
      <c r="AX21">
        <v>2</v>
      </c>
      <c r="AY21" t="s">
        <v>412</v>
      </c>
      <c r="AZ21" t="s">
        <v>408</v>
      </c>
    </row>
    <row r="22" spans="1:52" x14ac:dyDescent="0.3">
      <c r="A22">
        <v>11</v>
      </c>
      <c r="B22" t="s">
        <v>477</v>
      </c>
      <c r="C22" t="s">
        <v>152</v>
      </c>
      <c r="D22" t="s">
        <v>478</v>
      </c>
      <c r="E22" t="s">
        <v>417</v>
      </c>
      <c r="F22" t="s">
        <v>408</v>
      </c>
      <c r="G22">
        <v>2000</v>
      </c>
      <c r="H22">
        <v>2001</v>
      </c>
      <c r="I22" t="s">
        <v>479</v>
      </c>
      <c r="J22">
        <v>2200</v>
      </c>
      <c r="K22">
        <v>2201</v>
      </c>
      <c r="L22" t="s">
        <v>480</v>
      </c>
      <c r="M22">
        <v>2</v>
      </c>
      <c r="N22" t="s">
        <v>167</v>
      </c>
      <c r="O22" t="s">
        <v>167</v>
      </c>
      <c r="P22" t="s">
        <v>420</v>
      </c>
      <c r="Q22" t="s">
        <v>408</v>
      </c>
      <c r="R22" t="s">
        <v>481</v>
      </c>
      <c r="S22">
        <v>2000</v>
      </c>
      <c r="T22">
        <v>7</v>
      </c>
      <c r="U22" t="s">
        <v>408</v>
      </c>
      <c r="V22" t="s">
        <v>482</v>
      </c>
      <c r="W22">
        <v>2018</v>
      </c>
      <c r="X22">
        <v>9</v>
      </c>
      <c r="Y22" t="s">
        <v>370</v>
      </c>
      <c r="Z22">
        <v>2018</v>
      </c>
      <c r="AA22">
        <v>2018</v>
      </c>
      <c r="AB22" s="5">
        <v>0.25112071282800003</v>
      </c>
      <c r="AC22" s="5">
        <v>0.50224142565600005</v>
      </c>
      <c r="AD22" t="s">
        <v>408</v>
      </c>
      <c r="AE22" t="s">
        <v>152</v>
      </c>
      <c r="AF22" t="s">
        <v>408</v>
      </c>
      <c r="AG22" t="s">
        <v>408</v>
      </c>
      <c r="AH22" t="s">
        <v>408</v>
      </c>
      <c r="AI22" t="s">
        <v>408</v>
      </c>
      <c r="AJ22" t="s">
        <v>408</v>
      </c>
      <c r="AK22" t="s">
        <v>408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58">
        <f t="shared" si="0"/>
        <v>1</v>
      </c>
      <c r="AU22" s="79">
        <v>43333</v>
      </c>
      <c r="AV22" s="78" t="s">
        <v>410</v>
      </c>
      <c r="AW22" t="s">
        <v>408</v>
      </c>
      <c r="AX22">
        <v>2</v>
      </c>
      <c r="AY22" t="s">
        <v>412</v>
      </c>
      <c r="AZ22" t="s">
        <v>408</v>
      </c>
    </row>
    <row r="23" spans="1:52" x14ac:dyDescent="0.3">
      <c r="A23">
        <v>12</v>
      </c>
      <c r="B23" t="s">
        <v>477</v>
      </c>
      <c r="C23" t="s">
        <v>152</v>
      </c>
      <c r="D23" t="s">
        <v>478</v>
      </c>
      <c r="E23" t="s">
        <v>417</v>
      </c>
      <c r="F23" t="s">
        <v>408</v>
      </c>
      <c r="G23">
        <v>2800</v>
      </c>
      <c r="H23">
        <v>2801</v>
      </c>
      <c r="I23" t="s">
        <v>483</v>
      </c>
      <c r="J23">
        <v>3000</v>
      </c>
      <c r="K23">
        <v>3001</v>
      </c>
      <c r="L23" t="s">
        <v>484</v>
      </c>
      <c r="M23">
        <v>2</v>
      </c>
      <c r="N23" t="s">
        <v>165</v>
      </c>
      <c r="O23" t="s">
        <v>165</v>
      </c>
      <c r="P23" t="s">
        <v>403</v>
      </c>
      <c r="Q23" t="s">
        <v>485</v>
      </c>
      <c r="R23" t="s">
        <v>486</v>
      </c>
      <c r="S23">
        <v>2012</v>
      </c>
      <c r="T23">
        <v>7</v>
      </c>
      <c r="U23" t="s">
        <v>370</v>
      </c>
      <c r="V23" t="s">
        <v>487</v>
      </c>
      <c r="W23">
        <v>2020</v>
      </c>
      <c r="X23">
        <v>0</v>
      </c>
      <c r="Y23" t="s">
        <v>408</v>
      </c>
      <c r="Z23">
        <v>2020</v>
      </c>
      <c r="AA23">
        <v>2012</v>
      </c>
      <c r="AB23" s="5">
        <v>0.25265117418799998</v>
      </c>
      <c r="AC23" s="5">
        <v>0.50530234837599997</v>
      </c>
      <c r="AD23" t="s">
        <v>408</v>
      </c>
      <c r="AE23" t="s">
        <v>152</v>
      </c>
      <c r="AF23" t="s">
        <v>408</v>
      </c>
      <c r="AG23" t="s">
        <v>408</v>
      </c>
      <c r="AH23" t="s">
        <v>408</v>
      </c>
      <c r="AI23" t="s">
        <v>408</v>
      </c>
      <c r="AJ23" t="s">
        <v>408</v>
      </c>
      <c r="AK23" t="s">
        <v>408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58">
        <f t="shared" si="0"/>
        <v>1</v>
      </c>
      <c r="AU23" s="79" t="s">
        <v>488</v>
      </c>
      <c r="AV23" s="78" t="s">
        <v>410</v>
      </c>
      <c r="AW23" t="s">
        <v>152</v>
      </c>
      <c r="AX23">
        <v>2</v>
      </c>
      <c r="AY23" t="s">
        <v>412</v>
      </c>
      <c r="AZ23" t="s">
        <v>408</v>
      </c>
    </row>
    <row r="24" spans="1:52" x14ac:dyDescent="0.3">
      <c r="A24">
        <v>13</v>
      </c>
      <c r="B24" t="s">
        <v>489</v>
      </c>
      <c r="C24" t="s">
        <v>155</v>
      </c>
      <c r="D24" t="s">
        <v>490</v>
      </c>
      <c r="E24" t="s">
        <v>460</v>
      </c>
      <c r="F24" t="s">
        <v>408</v>
      </c>
      <c r="G24">
        <v>2411</v>
      </c>
      <c r="H24">
        <v>2412</v>
      </c>
      <c r="I24" t="s">
        <v>491</v>
      </c>
      <c r="J24">
        <v>2200</v>
      </c>
      <c r="K24">
        <v>2201</v>
      </c>
      <c r="L24" t="s">
        <v>492</v>
      </c>
      <c r="M24">
        <v>3</v>
      </c>
      <c r="N24" t="s">
        <v>167</v>
      </c>
      <c r="O24" t="s">
        <v>167</v>
      </c>
      <c r="P24" t="s">
        <v>420</v>
      </c>
      <c r="Q24" t="s">
        <v>408</v>
      </c>
      <c r="R24" t="s">
        <v>493</v>
      </c>
      <c r="S24">
        <v>2007</v>
      </c>
      <c r="T24">
        <v>10</v>
      </c>
      <c r="U24" t="s">
        <v>408</v>
      </c>
      <c r="V24" t="s">
        <v>494</v>
      </c>
      <c r="W24">
        <v>2018</v>
      </c>
      <c r="X24">
        <v>9</v>
      </c>
      <c r="Y24" t="s">
        <v>408</v>
      </c>
      <c r="Z24">
        <v>2018</v>
      </c>
      <c r="AA24">
        <v>2012</v>
      </c>
      <c r="AB24" s="5">
        <v>0.27746194657599998</v>
      </c>
      <c r="AC24" s="5">
        <v>0.55492389315199997</v>
      </c>
      <c r="AD24" t="s">
        <v>408</v>
      </c>
      <c r="AE24" t="s">
        <v>152</v>
      </c>
      <c r="AF24" t="s">
        <v>408</v>
      </c>
      <c r="AG24" t="s">
        <v>408</v>
      </c>
      <c r="AH24" t="s">
        <v>408</v>
      </c>
      <c r="AI24" t="s">
        <v>408</v>
      </c>
      <c r="AJ24" t="s">
        <v>408</v>
      </c>
      <c r="AK24" t="s">
        <v>408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 s="58">
        <f t="shared" si="0"/>
        <v>1</v>
      </c>
      <c r="AU24" s="79">
        <v>43335</v>
      </c>
      <c r="AV24" s="78" t="s">
        <v>410</v>
      </c>
      <c r="AW24" t="s">
        <v>408</v>
      </c>
      <c r="AX24">
        <v>2</v>
      </c>
      <c r="AY24" t="s">
        <v>412</v>
      </c>
      <c r="AZ24" t="s">
        <v>408</v>
      </c>
    </row>
    <row r="25" spans="1:52" x14ac:dyDescent="0.3">
      <c r="A25">
        <v>14</v>
      </c>
      <c r="B25" t="s">
        <v>397</v>
      </c>
      <c r="C25" t="s">
        <v>447</v>
      </c>
      <c r="D25" t="s">
        <v>398</v>
      </c>
      <c r="E25" t="s">
        <v>399</v>
      </c>
      <c r="F25" t="s">
        <v>408</v>
      </c>
      <c r="G25">
        <v>500</v>
      </c>
      <c r="H25">
        <v>501</v>
      </c>
      <c r="I25" t="s">
        <v>495</v>
      </c>
      <c r="J25">
        <v>800</v>
      </c>
      <c r="K25">
        <v>801</v>
      </c>
      <c r="L25" t="s">
        <v>496</v>
      </c>
      <c r="M25">
        <v>3</v>
      </c>
      <c r="N25" t="s">
        <v>167</v>
      </c>
      <c r="O25" t="s">
        <v>167</v>
      </c>
      <c r="P25" t="s">
        <v>420</v>
      </c>
      <c r="Q25" t="s">
        <v>408</v>
      </c>
      <c r="R25" t="s">
        <v>497</v>
      </c>
      <c r="S25">
        <v>2003</v>
      </c>
      <c r="T25">
        <v>7</v>
      </c>
      <c r="U25" t="s">
        <v>408</v>
      </c>
      <c r="V25" t="s">
        <v>498</v>
      </c>
      <c r="W25">
        <v>2021</v>
      </c>
      <c r="X25">
        <v>0</v>
      </c>
      <c r="Y25" t="s">
        <v>408</v>
      </c>
      <c r="Z25">
        <v>2021</v>
      </c>
      <c r="AA25">
        <v>2011</v>
      </c>
      <c r="AB25" s="5">
        <v>0.376514794752</v>
      </c>
      <c r="AC25" s="5">
        <v>0.75302958950400001</v>
      </c>
      <c r="AD25" t="s">
        <v>408</v>
      </c>
      <c r="AE25" t="s">
        <v>152</v>
      </c>
      <c r="AF25" t="s">
        <v>400</v>
      </c>
      <c r="AG25" t="s">
        <v>400</v>
      </c>
      <c r="AH25" t="s">
        <v>400</v>
      </c>
      <c r="AI25" t="s">
        <v>400</v>
      </c>
      <c r="AJ25" t="s">
        <v>400</v>
      </c>
      <c r="AK25" t="s">
        <v>400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 s="58">
        <f t="shared" si="0"/>
        <v>1</v>
      </c>
      <c r="AU25" s="79" t="s">
        <v>499</v>
      </c>
      <c r="AV25" s="78" t="s">
        <v>410</v>
      </c>
      <c r="AW25" t="s">
        <v>411</v>
      </c>
      <c r="AX25">
        <v>2</v>
      </c>
      <c r="AY25" t="s">
        <v>412</v>
      </c>
      <c r="AZ25" t="s">
        <v>408</v>
      </c>
    </row>
    <row r="26" spans="1:52" x14ac:dyDescent="0.3">
      <c r="A26">
        <v>15</v>
      </c>
      <c r="B26" t="s">
        <v>500</v>
      </c>
      <c r="C26" t="s">
        <v>154</v>
      </c>
      <c r="D26" t="s">
        <v>501</v>
      </c>
      <c r="E26" t="s">
        <v>466</v>
      </c>
      <c r="F26" t="s">
        <v>447</v>
      </c>
      <c r="G26">
        <v>725</v>
      </c>
      <c r="H26">
        <v>726</v>
      </c>
      <c r="I26" t="s">
        <v>502</v>
      </c>
      <c r="J26">
        <v>723</v>
      </c>
      <c r="K26">
        <v>724</v>
      </c>
      <c r="L26" t="s">
        <v>503</v>
      </c>
      <c r="M26">
        <v>4</v>
      </c>
      <c r="N26" t="s">
        <v>165</v>
      </c>
      <c r="O26" t="s">
        <v>165</v>
      </c>
      <c r="P26" t="s">
        <v>403</v>
      </c>
      <c r="Q26" t="s">
        <v>504</v>
      </c>
      <c r="R26" t="s">
        <v>505</v>
      </c>
      <c r="S26">
        <v>2018</v>
      </c>
      <c r="T26">
        <v>6</v>
      </c>
      <c r="U26" t="s">
        <v>408</v>
      </c>
      <c r="V26" t="s">
        <v>408</v>
      </c>
      <c r="W26">
        <v>0</v>
      </c>
      <c r="X26">
        <v>0</v>
      </c>
      <c r="Y26" t="s">
        <v>408</v>
      </c>
      <c r="Z26">
        <v>2018</v>
      </c>
      <c r="AA26">
        <v>2012</v>
      </c>
      <c r="AB26" s="5">
        <v>5.1135638018499997E-2</v>
      </c>
      <c r="AC26" s="5">
        <v>5.1135638018499997E-2</v>
      </c>
      <c r="AD26" t="s">
        <v>505</v>
      </c>
      <c r="AE26" t="s">
        <v>411</v>
      </c>
      <c r="AF26" t="s">
        <v>447</v>
      </c>
      <c r="AG26" t="s">
        <v>152</v>
      </c>
      <c r="AH26" t="s">
        <v>408</v>
      </c>
      <c r="AI26" t="s">
        <v>408</v>
      </c>
      <c r="AJ26" t="s">
        <v>408</v>
      </c>
      <c r="AK26" t="s">
        <v>408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 s="58">
        <f t="shared" si="0"/>
        <v>1</v>
      </c>
      <c r="AU26" s="79">
        <v>43335</v>
      </c>
      <c r="AV26" s="78" t="s">
        <v>410</v>
      </c>
      <c r="AW26" t="s">
        <v>152</v>
      </c>
      <c r="AX26">
        <v>2</v>
      </c>
      <c r="AY26" t="s">
        <v>412</v>
      </c>
      <c r="AZ26" t="s">
        <v>408</v>
      </c>
    </row>
    <row r="27" spans="1:52" x14ac:dyDescent="0.3">
      <c r="A27">
        <v>16</v>
      </c>
      <c r="B27" t="s">
        <v>506</v>
      </c>
      <c r="C27" t="s">
        <v>447</v>
      </c>
      <c r="D27" t="s">
        <v>507</v>
      </c>
      <c r="E27" t="s">
        <v>466</v>
      </c>
      <c r="F27" t="s">
        <v>408</v>
      </c>
      <c r="G27">
        <v>376</v>
      </c>
      <c r="H27">
        <v>377</v>
      </c>
      <c r="I27" t="s">
        <v>508</v>
      </c>
      <c r="J27">
        <v>530</v>
      </c>
      <c r="K27">
        <v>531</v>
      </c>
      <c r="L27" t="s">
        <v>509</v>
      </c>
      <c r="M27">
        <v>3</v>
      </c>
      <c r="N27" t="s">
        <v>167</v>
      </c>
      <c r="O27" t="s">
        <v>167</v>
      </c>
      <c r="P27" t="s">
        <v>420</v>
      </c>
      <c r="Q27" t="s">
        <v>408</v>
      </c>
      <c r="R27" t="s">
        <v>510</v>
      </c>
      <c r="S27">
        <v>2002</v>
      </c>
      <c r="T27">
        <v>7</v>
      </c>
      <c r="U27" t="s">
        <v>408</v>
      </c>
      <c r="V27" t="s">
        <v>511</v>
      </c>
      <c r="W27">
        <v>2018</v>
      </c>
      <c r="X27">
        <v>8</v>
      </c>
      <c r="Y27" t="s">
        <v>408</v>
      </c>
      <c r="Z27">
        <v>2018</v>
      </c>
      <c r="AA27">
        <v>2009</v>
      </c>
      <c r="AB27" s="5">
        <v>0.210071864203</v>
      </c>
      <c r="AC27" s="5">
        <v>0.42014372840600001</v>
      </c>
      <c r="AD27" t="s">
        <v>408</v>
      </c>
      <c r="AE27" t="s">
        <v>152</v>
      </c>
      <c r="AF27" t="s">
        <v>408</v>
      </c>
      <c r="AG27" t="s">
        <v>408</v>
      </c>
      <c r="AH27" t="s">
        <v>408</v>
      </c>
      <c r="AI27" t="s">
        <v>408</v>
      </c>
      <c r="AJ27" t="s">
        <v>408</v>
      </c>
      <c r="AK27" t="s">
        <v>408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 s="58">
        <f t="shared" si="0"/>
        <v>1</v>
      </c>
      <c r="AU27" s="79">
        <v>43335</v>
      </c>
      <c r="AV27" s="78" t="s">
        <v>410</v>
      </c>
      <c r="AW27" t="s">
        <v>408</v>
      </c>
      <c r="AX27">
        <v>2</v>
      </c>
      <c r="AY27" t="s">
        <v>412</v>
      </c>
      <c r="AZ27" t="s">
        <v>408</v>
      </c>
    </row>
    <row r="28" spans="1:52" x14ac:dyDescent="0.3">
      <c r="A28">
        <v>17</v>
      </c>
      <c r="B28" t="s">
        <v>506</v>
      </c>
      <c r="C28" t="s">
        <v>447</v>
      </c>
      <c r="D28" t="s">
        <v>507</v>
      </c>
      <c r="E28" t="s">
        <v>466</v>
      </c>
      <c r="F28" t="s">
        <v>408</v>
      </c>
      <c r="G28">
        <v>536</v>
      </c>
      <c r="H28">
        <v>537</v>
      </c>
      <c r="I28" t="s">
        <v>509</v>
      </c>
      <c r="J28">
        <v>650</v>
      </c>
      <c r="K28">
        <v>649</v>
      </c>
      <c r="L28" t="s">
        <v>512</v>
      </c>
      <c r="M28">
        <v>3</v>
      </c>
      <c r="N28" t="s">
        <v>167</v>
      </c>
      <c r="O28" t="s">
        <v>167</v>
      </c>
      <c r="P28" t="s">
        <v>420</v>
      </c>
      <c r="Q28" t="s">
        <v>408</v>
      </c>
      <c r="R28" t="s">
        <v>510</v>
      </c>
      <c r="S28">
        <v>2002</v>
      </c>
      <c r="T28">
        <v>7</v>
      </c>
      <c r="U28" t="s">
        <v>408</v>
      </c>
      <c r="V28" t="s">
        <v>513</v>
      </c>
      <c r="W28">
        <v>2017</v>
      </c>
      <c r="X28">
        <v>10</v>
      </c>
      <c r="Y28" t="s">
        <v>370</v>
      </c>
      <c r="Z28">
        <v>2017</v>
      </c>
      <c r="AA28">
        <v>2017</v>
      </c>
      <c r="AB28" s="5">
        <v>0.15975541286</v>
      </c>
      <c r="AC28" s="5">
        <v>0.31951082572</v>
      </c>
      <c r="AD28" t="s">
        <v>408</v>
      </c>
      <c r="AE28" t="s">
        <v>152</v>
      </c>
      <c r="AF28" t="s">
        <v>408</v>
      </c>
      <c r="AG28" t="s">
        <v>408</v>
      </c>
      <c r="AH28" t="s">
        <v>408</v>
      </c>
      <c r="AI28" t="s">
        <v>408</v>
      </c>
      <c r="AJ28" t="s">
        <v>408</v>
      </c>
      <c r="AK28" t="s">
        <v>408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 s="58">
        <f t="shared" si="0"/>
        <v>1</v>
      </c>
      <c r="AU28" s="79">
        <v>43335</v>
      </c>
      <c r="AV28" t="s">
        <v>410</v>
      </c>
      <c r="AW28" t="s">
        <v>408</v>
      </c>
      <c r="AX28">
        <v>2</v>
      </c>
      <c r="AY28" t="s">
        <v>412</v>
      </c>
      <c r="AZ28" t="s">
        <v>408</v>
      </c>
    </row>
    <row r="29" spans="1:52" x14ac:dyDescent="0.3">
      <c r="A29">
        <v>18</v>
      </c>
      <c r="B29" t="s">
        <v>506</v>
      </c>
      <c r="C29" t="s">
        <v>447</v>
      </c>
      <c r="D29" t="s">
        <v>507</v>
      </c>
      <c r="E29" t="s">
        <v>466</v>
      </c>
      <c r="F29" t="s">
        <v>408</v>
      </c>
      <c r="G29">
        <v>700</v>
      </c>
      <c r="H29">
        <v>701</v>
      </c>
      <c r="I29" t="s">
        <v>512</v>
      </c>
      <c r="J29">
        <v>768</v>
      </c>
      <c r="K29">
        <v>773</v>
      </c>
      <c r="L29" t="s">
        <v>496</v>
      </c>
      <c r="M29">
        <v>3</v>
      </c>
      <c r="N29" t="s">
        <v>167</v>
      </c>
      <c r="O29" t="s">
        <v>167</v>
      </c>
      <c r="P29" t="s">
        <v>420</v>
      </c>
      <c r="Q29" t="s">
        <v>408</v>
      </c>
      <c r="R29" t="s">
        <v>510</v>
      </c>
      <c r="S29">
        <v>2002</v>
      </c>
      <c r="T29">
        <v>7</v>
      </c>
      <c r="U29" t="s">
        <v>408</v>
      </c>
      <c r="V29" t="s">
        <v>513</v>
      </c>
      <c r="W29">
        <v>2017</v>
      </c>
      <c r="X29">
        <v>10</v>
      </c>
      <c r="Y29" t="s">
        <v>370</v>
      </c>
      <c r="Z29">
        <v>2017</v>
      </c>
      <c r="AA29">
        <v>2017</v>
      </c>
      <c r="AB29" s="5">
        <v>0.15215760153999999</v>
      </c>
      <c r="AC29" s="5">
        <v>0.30431520307999999</v>
      </c>
      <c r="AD29" t="s">
        <v>408</v>
      </c>
      <c r="AE29" t="s">
        <v>152</v>
      </c>
      <c r="AF29" t="s">
        <v>408</v>
      </c>
      <c r="AG29" t="s">
        <v>408</v>
      </c>
      <c r="AH29" t="s">
        <v>408</v>
      </c>
      <c r="AI29" t="s">
        <v>408</v>
      </c>
      <c r="AJ29" t="s">
        <v>408</v>
      </c>
      <c r="AK29" t="s">
        <v>408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 s="58">
        <f t="shared" si="0"/>
        <v>1</v>
      </c>
      <c r="AU29" s="79">
        <v>43335</v>
      </c>
      <c r="AV29" t="s">
        <v>410</v>
      </c>
      <c r="AW29" t="s">
        <v>408</v>
      </c>
      <c r="AX29">
        <v>2</v>
      </c>
      <c r="AY29" t="s">
        <v>412</v>
      </c>
      <c r="AZ29" t="s">
        <v>408</v>
      </c>
    </row>
    <row r="30" spans="1:52" x14ac:dyDescent="0.3">
      <c r="A30">
        <v>19</v>
      </c>
      <c r="B30" t="s">
        <v>514</v>
      </c>
      <c r="C30" t="s">
        <v>154</v>
      </c>
      <c r="D30" t="s">
        <v>515</v>
      </c>
      <c r="E30" t="s">
        <v>460</v>
      </c>
      <c r="F30" t="s">
        <v>447</v>
      </c>
      <c r="G30">
        <v>1253</v>
      </c>
      <c r="H30">
        <v>1252</v>
      </c>
      <c r="I30" t="s">
        <v>516</v>
      </c>
      <c r="J30">
        <v>1200</v>
      </c>
      <c r="K30">
        <v>1201</v>
      </c>
      <c r="L30" t="s">
        <v>517</v>
      </c>
      <c r="M30">
        <v>4</v>
      </c>
      <c r="N30" t="s">
        <v>168</v>
      </c>
      <c r="O30" t="s">
        <v>170</v>
      </c>
      <c r="P30" t="s">
        <v>420</v>
      </c>
      <c r="Q30" t="s">
        <v>408</v>
      </c>
      <c r="R30" t="s">
        <v>445</v>
      </c>
      <c r="S30">
        <v>2012</v>
      </c>
      <c r="T30">
        <v>7</v>
      </c>
      <c r="U30" t="s">
        <v>518</v>
      </c>
      <c r="V30" t="s">
        <v>408</v>
      </c>
      <c r="W30">
        <v>0</v>
      </c>
      <c r="X30">
        <v>0</v>
      </c>
      <c r="Y30" t="s">
        <v>408</v>
      </c>
      <c r="Z30">
        <v>2012</v>
      </c>
      <c r="AA30">
        <v>0</v>
      </c>
      <c r="AB30" s="5">
        <v>0.25067333191000002</v>
      </c>
      <c r="AC30" s="5">
        <v>0.50134666382000004</v>
      </c>
      <c r="AD30" t="s">
        <v>408</v>
      </c>
      <c r="AE30" t="s">
        <v>152</v>
      </c>
      <c r="AF30" t="s">
        <v>408</v>
      </c>
      <c r="AG30" t="s">
        <v>411</v>
      </c>
      <c r="AH30" t="s">
        <v>408</v>
      </c>
      <c r="AI30" t="s">
        <v>408</v>
      </c>
      <c r="AJ30" t="s">
        <v>408</v>
      </c>
      <c r="AK30" t="s">
        <v>408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58">
        <f t="shared" si="0"/>
        <v>1</v>
      </c>
      <c r="AU30" s="79" t="s">
        <v>488</v>
      </c>
      <c r="AV30" t="s">
        <v>410</v>
      </c>
      <c r="AW30" t="s">
        <v>408</v>
      </c>
      <c r="AX30">
        <v>3</v>
      </c>
      <c r="AY30" t="s">
        <v>17</v>
      </c>
      <c r="AZ30" t="s">
        <v>408</v>
      </c>
    </row>
    <row r="31" spans="1:52" x14ac:dyDescent="0.3">
      <c r="A31">
        <v>20</v>
      </c>
      <c r="B31" t="s">
        <v>477</v>
      </c>
      <c r="C31" t="s">
        <v>155</v>
      </c>
      <c r="D31" t="s">
        <v>478</v>
      </c>
      <c r="E31" t="s">
        <v>417</v>
      </c>
      <c r="F31" t="s">
        <v>408</v>
      </c>
      <c r="G31">
        <v>7401</v>
      </c>
      <c r="H31">
        <v>7400</v>
      </c>
      <c r="I31" t="s">
        <v>519</v>
      </c>
      <c r="J31">
        <v>6901</v>
      </c>
      <c r="K31">
        <v>6900</v>
      </c>
      <c r="L31" t="s">
        <v>520</v>
      </c>
      <c r="M31">
        <v>2</v>
      </c>
      <c r="N31" t="s">
        <v>165</v>
      </c>
      <c r="O31" t="s">
        <v>165</v>
      </c>
      <c r="P31" t="s">
        <v>420</v>
      </c>
      <c r="Q31" t="s">
        <v>521</v>
      </c>
      <c r="R31" t="s">
        <v>476</v>
      </c>
      <c r="S31">
        <v>2012</v>
      </c>
      <c r="T31">
        <v>7</v>
      </c>
      <c r="U31" t="s">
        <v>370</v>
      </c>
      <c r="V31" t="s">
        <v>408</v>
      </c>
      <c r="W31">
        <v>0</v>
      </c>
      <c r="X31">
        <v>0</v>
      </c>
      <c r="Y31" t="s">
        <v>408</v>
      </c>
      <c r="Z31">
        <v>2012</v>
      </c>
      <c r="AA31">
        <v>2012</v>
      </c>
      <c r="AB31" s="5">
        <v>0.62727998969499998</v>
      </c>
      <c r="AC31" s="5">
        <v>1.25455997939</v>
      </c>
      <c r="AD31" t="s">
        <v>408</v>
      </c>
      <c r="AE31" t="s">
        <v>152</v>
      </c>
      <c r="AF31" t="s">
        <v>408</v>
      </c>
      <c r="AG31" t="s">
        <v>408</v>
      </c>
      <c r="AH31" t="s">
        <v>408</v>
      </c>
      <c r="AI31" t="s">
        <v>408</v>
      </c>
      <c r="AJ31" t="s">
        <v>408</v>
      </c>
      <c r="AK31" t="s">
        <v>408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 s="58">
        <f t="shared" si="0"/>
        <v>1</v>
      </c>
      <c r="AU31" s="79" t="s">
        <v>488</v>
      </c>
      <c r="AV31" s="78" t="s">
        <v>410</v>
      </c>
      <c r="AW31" t="s">
        <v>152</v>
      </c>
      <c r="AX31">
        <v>2</v>
      </c>
      <c r="AY31" t="s">
        <v>412</v>
      </c>
      <c r="AZ31" t="s">
        <v>408</v>
      </c>
    </row>
    <row r="32" spans="1:52" x14ac:dyDescent="0.3">
      <c r="A32">
        <v>21</v>
      </c>
      <c r="B32" t="s">
        <v>522</v>
      </c>
      <c r="C32" t="s">
        <v>152</v>
      </c>
      <c r="D32" t="s">
        <v>523</v>
      </c>
      <c r="E32" t="s">
        <v>460</v>
      </c>
      <c r="F32" t="s">
        <v>152</v>
      </c>
      <c r="G32">
        <v>5800</v>
      </c>
      <c r="H32">
        <v>5801</v>
      </c>
      <c r="I32" t="s">
        <v>524</v>
      </c>
      <c r="J32">
        <v>5928</v>
      </c>
      <c r="K32">
        <v>5929</v>
      </c>
      <c r="L32" t="s">
        <v>525</v>
      </c>
      <c r="M32">
        <v>4</v>
      </c>
      <c r="N32" t="s">
        <v>167</v>
      </c>
      <c r="O32" t="s">
        <v>167</v>
      </c>
      <c r="P32" t="s">
        <v>414</v>
      </c>
      <c r="Q32" t="s">
        <v>408</v>
      </c>
      <c r="R32" t="s">
        <v>526</v>
      </c>
      <c r="S32">
        <v>2014</v>
      </c>
      <c r="T32">
        <v>6</v>
      </c>
      <c r="U32" t="s">
        <v>408</v>
      </c>
      <c r="V32" t="s">
        <v>408</v>
      </c>
      <c r="W32">
        <v>0</v>
      </c>
      <c r="X32">
        <v>0</v>
      </c>
      <c r="Y32" t="s">
        <v>408</v>
      </c>
      <c r="Z32">
        <v>2014</v>
      </c>
      <c r="AA32">
        <v>0</v>
      </c>
      <c r="AB32" s="5">
        <v>0.18996178275600001</v>
      </c>
      <c r="AC32" s="5">
        <v>0.18996178275600001</v>
      </c>
      <c r="AD32" t="s">
        <v>408</v>
      </c>
      <c r="AE32" t="s">
        <v>411</v>
      </c>
      <c r="AF32" t="s">
        <v>152</v>
      </c>
      <c r="AG32" t="s">
        <v>152</v>
      </c>
      <c r="AH32" t="s">
        <v>408</v>
      </c>
      <c r="AI32" t="s">
        <v>408</v>
      </c>
      <c r="AJ32" t="s">
        <v>408</v>
      </c>
      <c r="AK32" t="s">
        <v>408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58">
        <f t="shared" si="0"/>
        <v>1</v>
      </c>
      <c r="AU32" s="79">
        <v>43335</v>
      </c>
      <c r="AV32" s="78" t="s">
        <v>410</v>
      </c>
      <c r="AW32" t="s">
        <v>408</v>
      </c>
      <c r="AX32">
        <v>3</v>
      </c>
      <c r="AY32" t="s">
        <v>17</v>
      </c>
      <c r="AZ32">
        <v>20</v>
      </c>
    </row>
    <row r="33" spans="1:52" x14ac:dyDescent="0.3">
      <c r="A33">
        <v>22</v>
      </c>
      <c r="B33" t="s">
        <v>527</v>
      </c>
      <c r="C33" t="s">
        <v>447</v>
      </c>
      <c r="D33" t="s">
        <v>528</v>
      </c>
      <c r="E33" t="s">
        <v>417</v>
      </c>
      <c r="F33" t="s">
        <v>408</v>
      </c>
      <c r="G33">
        <v>3132</v>
      </c>
      <c r="H33">
        <v>3133</v>
      </c>
      <c r="I33" t="s">
        <v>529</v>
      </c>
      <c r="J33">
        <v>3358</v>
      </c>
      <c r="K33">
        <v>3359</v>
      </c>
      <c r="L33" t="s">
        <v>530</v>
      </c>
      <c r="M33">
        <v>3</v>
      </c>
      <c r="N33" t="s">
        <v>167</v>
      </c>
      <c r="O33" t="s">
        <v>167</v>
      </c>
      <c r="P33" t="s">
        <v>420</v>
      </c>
      <c r="Q33" t="s">
        <v>531</v>
      </c>
      <c r="R33" t="s">
        <v>532</v>
      </c>
      <c r="S33">
        <v>2011</v>
      </c>
      <c r="T33">
        <v>6</v>
      </c>
      <c r="U33" t="s">
        <v>370</v>
      </c>
      <c r="V33" t="s">
        <v>408</v>
      </c>
      <c r="W33">
        <v>0</v>
      </c>
      <c r="X33">
        <v>0</v>
      </c>
      <c r="Y33" t="s">
        <v>408</v>
      </c>
      <c r="Z33">
        <v>2011</v>
      </c>
      <c r="AA33">
        <v>2011</v>
      </c>
      <c r="AB33" s="5">
        <v>0.31073507860900001</v>
      </c>
      <c r="AC33" s="5">
        <v>0.62147015721800003</v>
      </c>
      <c r="AD33" t="s">
        <v>408</v>
      </c>
      <c r="AE33" t="s">
        <v>152</v>
      </c>
      <c r="AF33" t="s">
        <v>408</v>
      </c>
      <c r="AG33" t="s">
        <v>408</v>
      </c>
      <c r="AH33" t="s">
        <v>408</v>
      </c>
      <c r="AI33" t="s">
        <v>408</v>
      </c>
      <c r="AJ33" t="s">
        <v>408</v>
      </c>
      <c r="AK33" t="s">
        <v>408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 s="58">
        <f t="shared" si="0"/>
        <v>1</v>
      </c>
      <c r="AU33" s="79">
        <v>43335</v>
      </c>
      <c r="AV33" s="78" t="s">
        <v>410</v>
      </c>
      <c r="AW33" t="s">
        <v>408</v>
      </c>
      <c r="AX33">
        <v>2</v>
      </c>
      <c r="AY33" t="s">
        <v>412</v>
      </c>
      <c r="AZ33" t="s">
        <v>408</v>
      </c>
    </row>
    <row r="34" spans="1:52" x14ac:dyDescent="0.3">
      <c r="A34">
        <v>23</v>
      </c>
      <c r="B34" t="s">
        <v>533</v>
      </c>
      <c r="C34" t="s">
        <v>155</v>
      </c>
      <c r="D34" t="s">
        <v>534</v>
      </c>
      <c r="E34" t="s">
        <v>417</v>
      </c>
      <c r="F34" t="s">
        <v>155</v>
      </c>
      <c r="G34">
        <v>525</v>
      </c>
      <c r="H34">
        <v>524</v>
      </c>
      <c r="I34" t="s">
        <v>535</v>
      </c>
      <c r="J34">
        <v>1</v>
      </c>
      <c r="K34">
        <v>2</v>
      </c>
      <c r="L34" t="s">
        <v>536</v>
      </c>
      <c r="M34">
        <v>4</v>
      </c>
      <c r="N34" t="s">
        <v>163</v>
      </c>
      <c r="O34" t="s">
        <v>163</v>
      </c>
      <c r="P34" t="s">
        <v>420</v>
      </c>
      <c r="Q34" t="s">
        <v>537</v>
      </c>
      <c r="R34" t="s">
        <v>445</v>
      </c>
      <c r="S34">
        <v>2012</v>
      </c>
      <c r="T34">
        <v>11</v>
      </c>
      <c r="U34" t="s">
        <v>452</v>
      </c>
      <c r="V34" t="s">
        <v>408</v>
      </c>
      <c r="W34">
        <v>0</v>
      </c>
      <c r="X34">
        <v>0</v>
      </c>
      <c r="Y34" t="s">
        <v>408</v>
      </c>
      <c r="Z34">
        <v>2012</v>
      </c>
      <c r="AA34">
        <v>0</v>
      </c>
      <c r="AB34" s="5">
        <v>0.51544827688200001</v>
      </c>
      <c r="AC34" s="5">
        <v>0.51544827688200001</v>
      </c>
      <c r="AD34" t="s">
        <v>408</v>
      </c>
      <c r="AE34" t="s">
        <v>411</v>
      </c>
      <c r="AF34" t="s">
        <v>155</v>
      </c>
      <c r="AG34" t="s">
        <v>152</v>
      </c>
      <c r="AH34" t="s">
        <v>152</v>
      </c>
      <c r="AI34" t="s">
        <v>470</v>
      </c>
      <c r="AJ34" t="s">
        <v>400</v>
      </c>
      <c r="AK34" t="s">
        <v>400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 s="58">
        <f t="shared" si="0"/>
        <v>1</v>
      </c>
      <c r="AU34" s="79" t="s">
        <v>457</v>
      </c>
      <c r="AV34" t="s">
        <v>410</v>
      </c>
      <c r="AW34" t="s">
        <v>411</v>
      </c>
      <c r="AX34">
        <v>1</v>
      </c>
      <c r="AY34" t="s">
        <v>412</v>
      </c>
      <c r="AZ34" t="s">
        <v>408</v>
      </c>
    </row>
    <row r="35" spans="1:52" x14ac:dyDescent="0.3">
      <c r="A35">
        <v>24</v>
      </c>
      <c r="B35" t="s">
        <v>538</v>
      </c>
      <c r="C35" t="s">
        <v>152</v>
      </c>
      <c r="D35" t="s">
        <v>539</v>
      </c>
      <c r="E35" t="s">
        <v>417</v>
      </c>
      <c r="F35" t="s">
        <v>408</v>
      </c>
      <c r="G35">
        <v>1000</v>
      </c>
      <c r="H35">
        <v>1001</v>
      </c>
      <c r="I35" t="s">
        <v>540</v>
      </c>
      <c r="J35">
        <v>1556</v>
      </c>
      <c r="K35">
        <v>1557</v>
      </c>
      <c r="L35" t="s">
        <v>541</v>
      </c>
      <c r="M35">
        <v>3</v>
      </c>
      <c r="N35" t="s">
        <v>165</v>
      </c>
      <c r="O35" t="s">
        <v>165</v>
      </c>
      <c r="P35" t="s">
        <v>420</v>
      </c>
      <c r="Q35" t="s">
        <v>542</v>
      </c>
      <c r="R35" t="s">
        <v>476</v>
      </c>
      <c r="S35">
        <v>2012</v>
      </c>
      <c r="T35">
        <v>8</v>
      </c>
      <c r="U35" t="s">
        <v>370</v>
      </c>
      <c r="V35" t="s">
        <v>408</v>
      </c>
      <c r="W35">
        <v>0</v>
      </c>
      <c r="X35">
        <v>0</v>
      </c>
      <c r="Y35" t="s">
        <v>408</v>
      </c>
      <c r="Z35">
        <v>2012</v>
      </c>
      <c r="AA35">
        <v>2012</v>
      </c>
      <c r="AB35" s="5">
        <v>0.73372981846700003</v>
      </c>
      <c r="AC35" s="5">
        <v>1.4674596369299999</v>
      </c>
      <c r="AD35" t="s">
        <v>408</v>
      </c>
      <c r="AE35" t="s">
        <v>152</v>
      </c>
      <c r="AF35" t="s">
        <v>408</v>
      </c>
      <c r="AG35" t="s">
        <v>408</v>
      </c>
      <c r="AH35" t="s">
        <v>408</v>
      </c>
      <c r="AI35" t="s">
        <v>408</v>
      </c>
      <c r="AJ35" t="s">
        <v>408</v>
      </c>
      <c r="AK35" t="s">
        <v>408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 s="58">
        <f t="shared" si="0"/>
        <v>1</v>
      </c>
      <c r="AU35" s="79">
        <v>43336</v>
      </c>
      <c r="AV35" s="78" t="s">
        <v>410</v>
      </c>
      <c r="AW35" t="s">
        <v>152</v>
      </c>
      <c r="AX35">
        <v>2</v>
      </c>
      <c r="AY35" t="s">
        <v>412</v>
      </c>
      <c r="AZ35" t="s">
        <v>408</v>
      </c>
    </row>
    <row r="36" spans="1:52" x14ac:dyDescent="0.3">
      <c r="A36">
        <v>25</v>
      </c>
      <c r="B36" t="s">
        <v>543</v>
      </c>
      <c r="C36" t="s">
        <v>154</v>
      </c>
      <c r="D36" t="s">
        <v>544</v>
      </c>
      <c r="E36" t="s">
        <v>460</v>
      </c>
      <c r="F36" t="s">
        <v>408</v>
      </c>
      <c r="G36">
        <v>1923</v>
      </c>
      <c r="H36">
        <v>1924</v>
      </c>
      <c r="I36" t="s">
        <v>435</v>
      </c>
      <c r="J36">
        <v>1600</v>
      </c>
      <c r="K36">
        <v>1601</v>
      </c>
      <c r="L36" t="s">
        <v>545</v>
      </c>
      <c r="M36">
        <v>4</v>
      </c>
      <c r="N36" t="s">
        <v>168</v>
      </c>
      <c r="O36" t="s">
        <v>170</v>
      </c>
      <c r="P36" t="s">
        <v>420</v>
      </c>
      <c r="Q36" t="s">
        <v>546</v>
      </c>
      <c r="R36" t="s">
        <v>547</v>
      </c>
      <c r="S36">
        <v>2013</v>
      </c>
      <c r="T36">
        <v>10</v>
      </c>
      <c r="U36" t="s">
        <v>408</v>
      </c>
      <c r="V36" t="s">
        <v>408</v>
      </c>
      <c r="W36">
        <v>0</v>
      </c>
      <c r="X36">
        <v>0</v>
      </c>
      <c r="Y36" t="s">
        <v>408</v>
      </c>
      <c r="Z36">
        <v>2013</v>
      </c>
      <c r="AA36">
        <v>0</v>
      </c>
      <c r="AB36" s="5">
        <v>0.50047927507500001</v>
      </c>
      <c r="AC36" s="5">
        <v>1.00095855015</v>
      </c>
      <c r="AD36" t="s">
        <v>548</v>
      </c>
      <c r="AE36" t="s">
        <v>152</v>
      </c>
      <c r="AF36" t="s">
        <v>408</v>
      </c>
      <c r="AG36" t="s">
        <v>408</v>
      </c>
      <c r="AH36" t="s">
        <v>408</v>
      </c>
      <c r="AI36" t="s">
        <v>408</v>
      </c>
      <c r="AJ36" t="s">
        <v>408</v>
      </c>
      <c r="AK36" t="s">
        <v>408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58">
        <f t="shared" si="0"/>
        <v>1</v>
      </c>
      <c r="AU36" s="79">
        <v>43336</v>
      </c>
      <c r="AV36" s="78" t="s">
        <v>410</v>
      </c>
      <c r="AW36" t="s">
        <v>408</v>
      </c>
      <c r="AX36">
        <v>3</v>
      </c>
      <c r="AY36" t="s">
        <v>17</v>
      </c>
      <c r="AZ36" t="s">
        <v>408</v>
      </c>
    </row>
    <row r="37" spans="1:52" x14ac:dyDescent="0.3">
      <c r="A37">
        <v>26</v>
      </c>
      <c r="B37" t="s">
        <v>549</v>
      </c>
      <c r="C37" t="s">
        <v>155</v>
      </c>
      <c r="D37" t="s">
        <v>330</v>
      </c>
      <c r="E37" t="s">
        <v>460</v>
      </c>
      <c r="F37" t="s">
        <v>408</v>
      </c>
      <c r="G37">
        <v>9379</v>
      </c>
      <c r="H37">
        <v>9386</v>
      </c>
      <c r="I37" t="s">
        <v>550</v>
      </c>
      <c r="J37">
        <v>7901</v>
      </c>
      <c r="K37">
        <v>7900</v>
      </c>
      <c r="L37" t="s">
        <v>551</v>
      </c>
      <c r="M37">
        <v>3</v>
      </c>
      <c r="N37" t="s">
        <v>165</v>
      </c>
      <c r="O37" t="s">
        <v>165</v>
      </c>
      <c r="P37" t="s">
        <v>403</v>
      </c>
      <c r="Q37" t="s">
        <v>552</v>
      </c>
      <c r="R37" t="s">
        <v>476</v>
      </c>
      <c r="S37">
        <v>2012</v>
      </c>
      <c r="T37">
        <v>6</v>
      </c>
      <c r="U37" t="s">
        <v>553</v>
      </c>
      <c r="V37" t="s">
        <v>408</v>
      </c>
      <c r="W37">
        <v>0</v>
      </c>
      <c r="X37">
        <v>0</v>
      </c>
      <c r="Y37" t="s">
        <v>408</v>
      </c>
      <c r="Z37">
        <v>2012</v>
      </c>
      <c r="AA37">
        <v>2012</v>
      </c>
      <c r="AB37" s="5">
        <v>2.6692262375100002</v>
      </c>
      <c r="AC37" s="5">
        <v>5.3384524750200004</v>
      </c>
      <c r="AD37" t="s">
        <v>408</v>
      </c>
      <c r="AE37" t="s">
        <v>152</v>
      </c>
      <c r="AF37" t="s">
        <v>408</v>
      </c>
      <c r="AG37" t="s">
        <v>408</v>
      </c>
      <c r="AH37" t="s">
        <v>408</v>
      </c>
      <c r="AI37" t="s">
        <v>408</v>
      </c>
      <c r="AJ37" t="s">
        <v>408</v>
      </c>
      <c r="AK37" t="s">
        <v>408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 s="58">
        <f t="shared" si="0"/>
        <v>1</v>
      </c>
      <c r="AU37" s="79">
        <v>43336</v>
      </c>
      <c r="AV37" s="78" t="s">
        <v>410</v>
      </c>
      <c r="AW37" t="s">
        <v>152</v>
      </c>
      <c r="AX37">
        <v>2</v>
      </c>
      <c r="AY37" t="s">
        <v>412</v>
      </c>
      <c r="AZ37" t="s">
        <v>408</v>
      </c>
    </row>
    <row r="38" spans="1:52" x14ac:dyDescent="0.3">
      <c r="A38">
        <v>27</v>
      </c>
      <c r="B38" t="s">
        <v>440</v>
      </c>
      <c r="C38" t="s">
        <v>152</v>
      </c>
      <c r="D38" t="s">
        <v>441</v>
      </c>
      <c r="E38" t="s">
        <v>417</v>
      </c>
      <c r="F38" t="s">
        <v>408</v>
      </c>
      <c r="G38">
        <v>800</v>
      </c>
      <c r="H38">
        <v>801</v>
      </c>
      <c r="I38" t="s">
        <v>554</v>
      </c>
      <c r="J38">
        <v>1600</v>
      </c>
      <c r="K38">
        <v>1601</v>
      </c>
      <c r="L38" t="s">
        <v>541</v>
      </c>
      <c r="M38">
        <v>4</v>
      </c>
      <c r="N38" t="s">
        <v>165</v>
      </c>
      <c r="O38" t="s">
        <v>165</v>
      </c>
      <c r="P38" t="s">
        <v>414</v>
      </c>
      <c r="Q38" t="s">
        <v>555</v>
      </c>
      <c r="R38" t="s">
        <v>556</v>
      </c>
      <c r="S38">
        <v>2013</v>
      </c>
      <c r="T38">
        <v>7</v>
      </c>
      <c r="U38" t="s">
        <v>370</v>
      </c>
      <c r="V38" t="s">
        <v>487</v>
      </c>
      <c r="W38">
        <v>2020</v>
      </c>
      <c r="X38">
        <v>0</v>
      </c>
      <c r="Y38" t="s">
        <v>408</v>
      </c>
      <c r="Z38">
        <v>2020</v>
      </c>
      <c r="AA38">
        <v>2013</v>
      </c>
      <c r="AB38" s="5">
        <v>1.00563213094</v>
      </c>
      <c r="AC38" s="5">
        <v>2.0112642618800001</v>
      </c>
      <c r="AD38" t="s">
        <v>408</v>
      </c>
      <c r="AE38" t="s">
        <v>152</v>
      </c>
      <c r="AF38" t="s">
        <v>408</v>
      </c>
      <c r="AG38" t="s">
        <v>408</v>
      </c>
      <c r="AH38" t="s">
        <v>408</v>
      </c>
      <c r="AI38" t="s">
        <v>408</v>
      </c>
      <c r="AJ38" t="s">
        <v>408</v>
      </c>
      <c r="AK38" t="s">
        <v>408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 s="58">
        <f t="shared" si="0"/>
        <v>1</v>
      </c>
      <c r="AU38" s="79" t="s">
        <v>488</v>
      </c>
      <c r="AV38" s="78" t="s">
        <v>410</v>
      </c>
      <c r="AW38" t="s">
        <v>152</v>
      </c>
      <c r="AX38">
        <v>2</v>
      </c>
      <c r="AY38" t="s">
        <v>412</v>
      </c>
      <c r="AZ38" t="s">
        <v>408</v>
      </c>
    </row>
    <row r="39" spans="1:52" x14ac:dyDescent="0.3">
      <c r="A39">
        <v>28</v>
      </c>
      <c r="B39" t="s">
        <v>557</v>
      </c>
      <c r="C39" t="s">
        <v>152</v>
      </c>
      <c r="D39" t="s">
        <v>558</v>
      </c>
      <c r="E39" t="s">
        <v>460</v>
      </c>
      <c r="F39" t="s">
        <v>408</v>
      </c>
      <c r="G39">
        <v>5100</v>
      </c>
      <c r="H39">
        <v>5100</v>
      </c>
      <c r="I39" t="s">
        <v>559</v>
      </c>
      <c r="J39">
        <v>6131</v>
      </c>
      <c r="K39">
        <v>6124</v>
      </c>
      <c r="L39" t="s">
        <v>560</v>
      </c>
      <c r="M39">
        <v>3</v>
      </c>
      <c r="N39" t="s">
        <v>165</v>
      </c>
      <c r="O39" t="s">
        <v>165</v>
      </c>
      <c r="P39" t="s">
        <v>403</v>
      </c>
      <c r="Q39" t="s">
        <v>561</v>
      </c>
      <c r="R39" t="s">
        <v>562</v>
      </c>
      <c r="S39">
        <v>2015</v>
      </c>
      <c r="T39">
        <v>7</v>
      </c>
      <c r="U39" t="s">
        <v>370</v>
      </c>
      <c r="V39" t="s">
        <v>408</v>
      </c>
      <c r="W39">
        <v>0</v>
      </c>
      <c r="X39">
        <v>0</v>
      </c>
      <c r="Y39" t="s">
        <v>408</v>
      </c>
      <c r="Z39">
        <v>2015</v>
      </c>
      <c r="AA39">
        <v>2015</v>
      </c>
      <c r="AB39" s="5">
        <v>1.6753158663200001</v>
      </c>
      <c r="AC39" s="5">
        <v>3.3506317326400001</v>
      </c>
      <c r="AD39" t="s">
        <v>408</v>
      </c>
      <c r="AE39" t="s">
        <v>152</v>
      </c>
      <c r="AF39" t="s">
        <v>408</v>
      </c>
      <c r="AG39" t="s">
        <v>408</v>
      </c>
      <c r="AH39" t="s">
        <v>408</v>
      </c>
      <c r="AI39" t="s">
        <v>408</v>
      </c>
      <c r="AJ39" t="s">
        <v>408</v>
      </c>
      <c r="AK39" t="s">
        <v>408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 s="58">
        <f t="shared" si="0"/>
        <v>1</v>
      </c>
      <c r="AU39" s="79">
        <v>43336</v>
      </c>
      <c r="AV39" s="78" t="s">
        <v>410</v>
      </c>
      <c r="AW39" t="s">
        <v>152</v>
      </c>
      <c r="AX39">
        <v>2</v>
      </c>
      <c r="AY39" t="s">
        <v>412</v>
      </c>
      <c r="AZ39" t="s">
        <v>408</v>
      </c>
    </row>
    <row r="40" spans="1:52" x14ac:dyDescent="0.3">
      <c r="A40">
        <v>29</v>
      </c>
      <c r="B40" t="s">
        <v>563</v>
      </c>
      <c r="C40" t="s">
        <v>154</v>
      </c>
      <c r="D40" t="s">
        <v>564</v>
      </c>
      <c r="E40" t="s">
        <v>460</v>
      </c>
      <c r="F40" t="s">
        <v>154</v>
      </c>
      <c r="G40">
        <v>500</v>
      </c>
      <c r="H40">
        <v>501</v>
      </c>
      <c r="I40" t="s">
        <v>565</v>
      </c>
      <c r="J40">
        <v>520</v>
      </c>
      <c r="K40">
        <v>521</v>
      </c>
      <c r="L40" t="s">
        <v>566</v>
      </c>
      <c r="M40">
        <v>3</v>
      </c>
      <c r="N40" t="s">
        <v>165</v>
      </c>
      <c r="O40" t="s">
        <v>165</v>
      </c>
      <c r="P40" t="s">
        <v>414</v>
      </c>
      <c r="Q40" t="s">
        <v>567</v>
      </c>
      <c r="R40" t="s">
        <v>526</v>
      </c>
      <c r="S40">
        <v>2014</v>
      </c>
      <c r="T40">
        <v>9</v>
      </c>
      <c r="U40" t="s">
        <v>408</v>
      </c>
      <c r="V40" t="s">
        <v>487</v>
      </c>
      <c r="W40">
        <v>2020</v>
      </c>
      <c r="X40">
        <v>0</v>
      </c>
      <c r="Y40" t="s">
        <v>408</v>
      </c>
      <c r="Z40">
        <v>2020</v>
      </c>
      <c r="AA40">
        <v>0</v>
      </c>
      <c r="AB40" s="5">
        <v>8.1661266184400005E-2</v>
      </c>
      <c r="AC40" s="5">
        <v>8.1661266184400005E-2</v>
      </c>
      <c r="AD40" t="s">
        <v>408</v>
      </c>
      <c r="AE40" t="s">
        <v>411</v>
      </c>
      <c r="AF40" t="s">
        <v>154</v>
      </c>
      <c r="AG40" t="s">
        <v>152</v>
      </c>
      <c r="AH40" t="s">
        <v>408</v>
      </c>
      <c r="AI40" t="s">
        <v>408</v>
      </c>
      <c r="AJ40" t="s">
        <v>408</v>
      </c>
      <c r="AK40" t="s">
        <v>408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 s="58">
        <f t="shared" si="0"/>
        <v>1</v>
      </c>
      <c r="AU40" s="79" t="s">
        <v>488</v>
      </c>
      <c r="AV40" t="s">
        <v>410</v>
      </c>
      <c r="AW40" t="s">
        <v>152</v>
      </c>
      <c r="AX40">
        <v>2</v>
      </c>
      <c r="AY40" t="s">
        <v>412</v>
      </c>
      <c r="AZ40" t="s">
        <v>408</v>
      </c>
    </row>
    <row r="41" spans="1:52" x14ac:dyDescent="0.3">
      <c r="A41">
        <v>30</v>
      </c>
      <c r="B41" t="s">
        <v>557</v>
      </c>
      <c r="C41" t="s">
        <v>152</v>
      </c>
      <c r="D41" t="s">
        <v>558</v>
      </c>
      <c r="E41" t="s">
        <v>460</v>
      </c>
      <c r="F41" t="s">
        <v>408</v>
      </c>
      <c r="G41">
        <v>1600</v>
      </c>
      <c r="H41">
        <v>1601</v>
      </c>
      <c r="I41" t="s">
        <v>541</v>
      </c>
      <c r="J41">
        <v>1764</v>
      </c>
      <c r="K41">
        <v>1769</v>
      </c>
      <c r="L41" t="s">
        <v>568</v>
      </c>
      <c r="M41">
        <v>3</v>
      </c>
      <c r="N41" t="s">
        <v>167</v>
      </c>
      <c r="O41" t="s">
        <v>569</v>
      </c>
      <c r="P41" t="s">
        <v>403</v>
      </c>
      <c r="Q41" t="s">
        <v>570</v>
      </c>
      <c r="R41" t="s">
        <v>571</v>
      </c>
      <c r="S41">
        <v>2017</v>
      </c>
      <c r="T41">
        <v>9</v>
      </c>
      <c r="U41" t="s">
        <v>572</v>
      </c>
      <c r="V41" t="s">
        <v>408</v>
      </c>
      <c r="W41">
        <v>0</v>
      </c>
      <c r="X41">
        <v>0</v>
      </c>
      <c r="Y41" t="s">
        <v>408</v>
      </c>
      <c r="Z41">
        <v>2017</v>
      </c>
      <c r="AA41">
        <v>2005</v>
      </c>
      <c r="AB41" s="5">
        <v>0.41450980580899999</v>
      </c>
      <c r="AC41" s="5">
        <v>0.82901961161799997</v>
      </c>
      <c r="AD41" t="s">
        <v>408</v>
      </c>
      <c r="AE41" t="s">
        <v>152</v>
      </c>
      <c r="AF41" t="s">
        <v>408</v>
      </c>
      <c r="AG41" t="s">
        <v>408</v>
      </c>
      <c r="AH41" t="s">
        <v>408</v>
      </c>
      <c r="AI41" t="s">
        <v>408</v>
      </c>
      <c r="AJ41" t="s">
        <v>408</v>
      </c>
      <c r="AK41" t="s">
        <v>408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 s="58">
        <f t="shared" si="0"/>
        <v>1</v>
      </c>
      <c r="AU41" s="79">
        <v>43336</v>
      </c>
      <c r="AV41" s="78" t="s">
        <v>410</v>
      </c>
      <c r="AW41" t="s">
        <v>408</v>
      </c>
      <c r="AX41">
        <v>2</v>
      </c>
      <c r="AY41" t="s">
        <v>412</v>
      </c>
      <c r="AZ41">
        <v>20</v>
      </c>
    </row>
    <row r="42" spans="1:52" x14ac:dyDescent="0.3">
      <c r="A42">
        <v>31</v>
      </c>
      <c r="B42" t="s">
        <v>489</v>
      </c>
      <c r="C42" t="s">
        <v>152</v>
      </c>
      <c r="D42" t="s">
        <v>490</v>
      </c>
      <c r="E42" t="s">
        <v>460</v>
      </c>
      <c r="F42" t="s">
        <v>408</v>
      </c>
      <c r="G42">
        <v>3600</v>
      </c>
      <c r="H42">
        <v>3601</v>
      </c>
      <c r="I42" t="s">
        <v>573</v>
      </c>
      <c r="J42">
        <v>4401</v>
      </c>
      <c r="K42">
        <v>4400</v>
      </c>
      <c r="L42" t="s">
        <v>574</v>
      </c>
      <c r="M42">
        <v>3</v>
      </c>
      <c r="N42" t="s">
        <v>170</v>
      </c>
      <c r="O42" t="s">
        <v>170</v>
      </c>
      <c r="P42" t="s">
        <v>420</v>
      </c>
      <c r="Q42" t="s">
        <v>575</v>
      </c>
      <c r="R42" t="s">
        <v>422</v>
      </c>
      <c r="S42">
        <v>2011</v>
      </c>
      <c r="T42">
        <v>9</v>
      </c>
      <c r="U42" t="s">
        <v>408</v>
      </c>
      <c r="V42" t="s">
        <v>408</v>
      </c>
      <c r="W42">
        <v>0</v>
      </c>
      <c r="X42">
        <v>0</v>
      </c>
      <c r="Y42" t="s">
        <v>408</v>
      </c>
      <c r="Z42">
        <v>2011</v>
      </c>
      <c r="AA42">
        <v>0</v>
      </c>
      <c r="AB42" s="5">
        <v>1.0057463845800001</v>
      </c>
      <c r="AC42" s="5">
        <v>2.0114927691600002</v>
      </c>
      <c r="AD42" t="s">
        <v>408</v>
      </c>
      <c r="AE42" t="s">
        <v>152</v>
      </c>
      <c r="AF42" t="s">
        <v>408</v>
      </c>
      <c r="AG42" t="s">
        <v>408</v>
      </c>
      <c r="AH42" t="s">
        <v>408</v>
      </c>
      <c r="AI42" t="s">
        <v>408</v>
      </c>
      <c r="AJ42" t="s">
        <v>408</v>
      </c>
      <c r="AK42" t="s">
        <v>408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 s="58">
        <f t="shared" si="0"/>
        <v>1</v>
      </c>
      <c r="AU42" s="79">
        <v>43335</v>
      </c>
      <c r="AV42" s="78" t="s">
        <v>410</v>
      </c>
      <c r="AW42" t="s">
        <v>408</v>
      </c>
      <c r="AX42">
        <v>2</v>
      </c>
      <c r="AY42" t="s">
        <v>412</v>
      </c>
      <c r="AZ42" t="s">
        <v>408</v>
      </c>
    </row>
    <row r="43" spans="1:52" x14ac:dyDescent="0.3">
      <c r="A43">
        <v>32</v>
      </c>
      <c r="B43" t="s">
        <v>464</v>
      </c>
      <c r="C43" t="s">
        <v>154</v>
      </c>
      <c r="D43" t="s">
        <v>465</v>
      </c>
      <c r="E43" t="s">
        <v>466</v>
      </c>
      <c r="F43" t="s">
        <v>408</v>
      </c>
      <c r="G43">
        <v>2363</v>
      </c>
      <c r="H43">
        <v>2358</v>
      </c>
      <c r="I43" t="s">
        <v>576</v>
      </c>
      <c r="J43">
        <v>2301</v>
      </c>
      <c r="K43">
        <v>2300</v>
      </c>
      <c r="L43" t="s">
        <v>577</v>
      </c>
      <c r="M43">
        <v>4</v>
      </c>
      <c r="N43" t="s">
        <v>165</v>
      </c>
      <c r="O43" t="s">
        <v>165</v>
      </c>
      <c r="P43" t="s">
        <v>420</v>
      </c>
      <c r="Q43" t="s">
        <v>578</v>
      </c>
      <c r="R43" t="s">
        <v>579</v>
      </c>
      <c r="S43">
        <v>2011</v>
      </c>
      <c r="T43">
        <v>10</v>
      </c>
      <c r="U43" t="s">
        <v>580</v>
      </c>
      <c r="V43" t="s">
        <v>408</v>
      </c>
      <c r="W43">
        <v>0</v>
      </c>
      <c r="X43">
        <v>0</v>
      </c>
      <c r="Y43" t="s">
        <v>408</v>
      </c>
      <c r="Z43">
        <v>2011</v>
      </c>
      <c r="AA43">
        <v>2011</v>
      </c>
      <c r="AB43" s="5">
        <v>0.127562443527</v>
      </c>
      <c r="AC43" s="5">
        <v>0.25512488705399999</v>
      </c>
      <c r="AD43" t="s">
        <v>408</v>
      </c>
      <c r="AE43" t="s">
        <v>152</v>
      </c>
      <c r="AF43" t="s">
        <v>408</v>
      </c>
      <c r="AG43" t="s">
        <v>408</v>
      </c>
      <c r="AH43" t="s">
        <v>408</v>
      </c>
      <c r="AI43" t="s">
        <v>408</v>
      </c>
      <c r="AJ43" t="s">
        <v>408</v>
      </c>
      <c r="AK43" t="s">
        <v>408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 s="58">
        <f t="shared" si="0"/>
        <v>1</v>
      </c>
      <c r="AU43" s="79">
        <v>43332</v>
      </c>
      <c r="AV43" t="s">
        <v>410</v>
      </c>
      <c r="AW43" t="s">
        <v>152</v>
      </c>
      <c r="AX43">
        <v>2</v>
      </c>
      <c r="AY43" t="s">
        <v>412</v>
      </c>
      <c r="AZ43" t="s">
        <v>408</v>
      </c>
    </row>
    <row r="44" spans="1:52" x14ac:dyDescent="0.3">
      <c r="A44">
        <v>33</v>
      </c>
      <c r="B44" t="s">
        <v>464</v>
      </c>
      <c r="C44" t="s">
        <v>154</v>
      </c>
      <c r="D44" t="s">
        <v>465</v>
      </c>
      <c r="E44" t="s">
        <v>466</v>
      </c>
      <c r="F44" t="s">
        <v>408</v>
      </c>
      <c r="G44">
        <v>2057</v>
      </c>
      <c r="H44">
        <v>2058</v>
      </c>
      <c r="I44" t="s">
        <v>581</v>
      </c>
      <c r="J44">
        <v>2001</v>
      </c>
      <c r="K44">
        <v>2000</v>
      </c>
      <c r="L44" t="s">
        <v>418</v>
      </c>
      <c r="M44">
        <v>4</v>
      </c>
      <c r="N44" t="s">
        <v>165</v>
      </c>
      <c r="O44" t="s">
        <v>165</v>
      </c>
      <c r="P44" t="s">
        <v>420</v>
      </c>
      <c r="Q44" t="s">
        <v>578</v>
      </c>
      <c r="R44" t="s">
        <v>579</v>
      </c>
      <c r="S44">
        <v>2011</v>
      </c>
      <c r="T44">
        <v>10</v>
      </c>
      <c r="U44" t="s">
        <v>580</v>
      </c>
      <c r="V44" t="s">
        <v>408</v>
      </c>
      <c r="W44">
        <v>0</v>
      </c>
      <c r="X44">
        <v>0</v>
      </c>
      <c r="Y44" t="s">
        <v>408</v>
      </c>
      <c r="Z44">
        <v>2011</v>
      </c>
      <c r="AA44">
        <v>2011</v>
      </c>
      <c r="AB44" s="5">
        <v>0.12753278184299999</v>
      </c>
      <c r="AC44" s="5">
        <v>0.25506556368599997</v>
      </c>
      <c r="AD44" t="s">
        <v>408</v>
      </c>
      <c r="AE44" t="s">
        <v>152</v>
      </c>
      <c r="AF44" t="s">
        <v>408</v>
      </c>
      <c r="AG44" t="s">
        <v>408</v>
      </c>
      <c r="AH44" t="s">
        <v>408</v>
      </c>
      <c r="AI44" t="s">
        <v>408</v>
      </c>
      <c r="AJ44" t="s">
        <v>408</v>
      </c>
      <c r="AK44" t="s">
        <v>408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 s="58">
        <f t="shared" si="0"/>
        <v>1</v>
      </c>
      <c r="AU44" s="79">
        <v>43332</v>
      </c>
      <c r="AV44" t="s">
        <v>410</v>
      </c>
      <c r="AW44" t="s">
        <v>152</v>
      </c>
      <c r="AX44">
        <v>2</v>
      </c>
      <c r="AY44" t="s">
        <v>412</v>
      </c>
      <c r="AZ44" t="s">
        <v>408</v>
      </c>
    </row>
    <row r="45" spans="1:52" x14ac:dyDescent="0.3">
      <c r="A45">
        <v>34</v>
      </c>
      <c r="B45" t="s">
        <v>464</v>
      </c>
      <c r="C45" t="s">
        <v>154</v>
      </c>
      <c r="D45" t="s">
        <v>465</v>
      </c>
      <c r="E45" t="s">
        <v>466</v>
      </c>
      <c r="F45" t="s">
        <v>408</v>
      </c>
      <c r="G45">
        <v>2301</v>
      </c>
      <c r="H45">
        <v>2300</v>
      </c>
      <c r="I45" t="s">
        <v>577</v>
      </c>
      <c r="J45">
        <v>2101</v>
      </c>
      <c r="K45">
        <v>2100</v>
      </c>
      <c r="L45" t="s">
        <v>581</v>
      </c>
      <c r="M45">
        <v>4</v>
      </c>
      <c r="N45" t="s">
        <v>163</v>
      </c>
      <c r="O45" t="s">
        <v>163</v>
      </c>
      <c r="P45" t="s">
        <v>420</v>
      </c>
      <c r="Q45" t="s">
        <v>578</v>
      </c>
      <c r="R45" t="s">
        <v>579</v>
      </c>
      <c r="S45">
        <v>2011</v>
      </c>
      <c r="T45">
        <v>10</v>
      </c>
      <c r="U45" t="s">
        <v>582</v>
      </c>
      <c r="V45" t="s">
        <v>408</v>
      </c>
      <c r="W45">
        <v>0</v>
      </c>
      <c r="X45">
        <v>0</v>
      </c>
      <c r="Y45" t="s">
        <v>408</v>
      </c>
      <c r="Z45">
        <v>2011</v>
      </c>
      <c r="AA45">
        <v>2011</v>
      </c>
      <c r="AB45" s="5">
        <v>0.25262842093900001</v>
      </c>
      <c r="AC45" s="5">
        <v>0.50525684187800002</v>
      </c>
      <c r="AD45" t="s">
        <v>408</v>
      </c>
      <c r="AE45" t="s">
        <v>152</v>
      </c>
      <c r="AF45" t="s">
        <v>408</v>
      </c>
      <c r="AG45" t="s">
        <v>408</v>
      </c>
      <c r="AH45" t="s">
        <v>408</v>
      </c>
      <c r="AI45" t="s">
        <v>470</v>
      </c>
      <c r="AJ45" t="s">
        <v>400</v>
      </c>
      <c r="AK45" t="s">
        <v>408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 s="58">
        <f t="shared" si="0"/>
        <v>1</v>
      </c>
      <c r="AU45" s="79" t="s">
        <v>457</v>
      </c>
      <c r="AV45" t="s">
        <v>410</v>
      </c>
      <c r="AW45" t="s">
        <v>411</v>
      </c>
      <c r="AX45">
        <v>1</v>
      </c>
      <c r="AY45" t="s">
        <v>412</v>
      </c>
      <c r="AZ45" t="s">
        <v>408</v>
      </c>
    </row>
    <row r="46" spans="1:52" x14ac:dyDescent="0.3">
      <c r="A46">
        <v>35</v>
      </c>
      <c r="B46" t="s">
        <v>464</v>
      </c>
      <c r="C46" t="s">
        <v>154</v>
      </c>
      <c r="D46" t="s">
        <v>465</v>
      </c>
      <c r="E46" t="s">
        <v>466</v>
      </c>
      <c r="F46" t="s">
        <v>447</v>
      </c>
      <c r="G46">
        <v>2001</v>
      </c>
      <c r="H46">
        <v>2000</v>
      </c>
      <c r="I46" t="s">
        <v>418</v>
      </c>
      <c r="J46">
        <v>1751</v>
      </c>
      <c r="K46">
        <v>1750</v>
      </c>
      <c r="L46" t="s">
        <v>583</v>
      </c>
      <c r="M46">
        <v>4</v>
      </c>
      <c r="N46" t="s">
        <v>163</v>
      </c>
      <c r="O46" t="s">
        <v>163</v>
      </c>
      <c r="P46" t="s">
        <v>420</v>
      </c>
      <c r="Q46" t="s">
        <v>578</v>
      </c>
      <c r="R46" t="s">
        <v>579</v>
      </c>
      <c r="S46">
        <v>2011</v>
      </c>
      <c r="T46">
        <v>10</v>
      </c>
      <c r="U46" t="s">
        <v>452</v>
      </c>
      <c r="V46" t="s">
        <v>408</v>
      </c>
      <c r="W46">
        <v>0</v>
      </c>
      <c r="X46">
        <v>0</v>
      </c>
      <c r="Y46" t="s">
        <v>408</v>
      </c>
      <c r="Z46">
        <v>2011</v>
      </c>
      <c r="AA46">
        <v>2011</v>
      </c>
      <c r="AB46" s="5">
        <v>0.30168894853700001</v>
      </c>
      <c r="AC46" s="5">
        <v>0.30168894853700001</v>
      </c>
      <c r="AD46" t="s">
        <v>408</v>
      </c>
      <c r="AE46" t="s">
        <v>411</v>
      </c>
      <c r="AF46" t="s">
        <v>447</v>
      </c>
      <c r="AG46" t="s">
        <v>152</v>
      </c>
      <c r="AH46" t="s">
        <v>408</v>
      </c>
      <c r="AI46" t="s">
        <v>470</v>
      </c>
      <c r="AJ46" t="s">
        <v>400</v>
      </c>
      <c r="AK46" t="s">
        <v>408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 s="58">
        <f t="shared" si="0"/>
        <v>1</v>
      </c>
      <c r="AU46" s="79" t="s">
        <v>457</v>
      </c>
      <c r="AV46" s="78" t="s">
        <v>410</v>
      </c>
      <c r="AW46" t="s">
        <v>411</v>
      </c>
      <c r="AX46">
        <v>1</v>
      </c>
      <c r="AY46" t="s">
        <v>412</v>
      </c>
      <c r="AZ46" t="s">
        <v>408</v>
      </c>
    </row>
    <row r="47" spans="1:52" x14ac:dyDescent="0.3">
      <c r="A47">
        <v>36</v>
      </c>
      <c r="B47" t="s">
        <v>458</v>
      </c>
      <c r="C47" t="s">
        <v>155</v>
      </c>
      <c r="D47" t="s">
        <v>459</v>
      </c>
      <c r="E47" t="s">
        <v>460</v>
      </c>
      <c r="F47" t="s">
        <v>408</v>
      </c>
      <c r="G47">
        <v>2143</v>
      </c>
      <c r="H47">
        <v>2142</v>
      </c>
      <c r="I47" t="s">
        <v>584</v>
      </c>
      <c r="J47">
        <v>1801</v>
      </c>
      <c r="K47">
        <v>1800</v>
      </c>
      <c r="L47" t="s">
        <v>585</v>
      </c>
      <c r="M47">
        <v>4</v>
      </c>
      <c r="N47" t="s">
        <v>165</v>
      </c>
      <c r="O47" t="s">
        <v>165</v>
      </c>
      <c r="P47" t="s">
        <v>403</v>
      </c>
      <c r="Q47" t="s">
        <v>586</v>
      </c>
      <c r="R47" t="s">
        <v>579</v>
      </c>
      <c r="S47">
        <v>2012</v>
      </c>
      <c r="T47">
        <v>7</v>
      </c>
      <c r="U47" t="s">
        <v>370</v>
      </c>
      <c r="V47" t="s">
        <v>407</v>
      </c>
      <c r="W47">
        <v>2020</v>
      </c>
      <c r="X47">
        <v>0</v>
      </c>
      <c r="Y47" t="s">
        <v>408</v>
      </c>
      <c r="Z47">
        <v>2020</v>
      </c>
      <c r="AA47">
        <v>2012</v>
      </c>
      <c r="AB47" s="5">
        <v>0.34546322596700002</v>
      </c>
      <c r="AC47" s="5">
        <v>0.69092645193400004</v>
      </c>
      <c r="AD47" t="s">
        <v>408</v>
      </c>
      <c r="AE47" t="s">
        <v>152</v>
      </c>
      <c r="AF47" t="s">
        <v>408</v>
      </c>
      <c r="AG47" t="s">
        <v>408</v>
      </c>
      <c r="AH47" t="s">
        <v>408</v>
      </c>
      <c r="AI47" t="s">
        <v>408</v>
      </c>
      <c r="AJ47" t="s">
        <v>408</v>
      </c>
      <c r="AK47" t="s">
        <v>408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 s="58">
        <f t="shared" si="0"/>
        <v>1</v>
      </c>
      <c r="AU47" s="79" t="s">
        <v>431</v>
      </c>
      <c r="AV47" s="78" t="s">
        <v>410</v>
      </c>
      <c r="AW47" t="s">
        <v>152</v>
      </c>
      <c r="AX47">
        <v>2</v>
      </c>
      <c r="AY47" t="s">
        <v>412</v>
      </c>
      <c r="AZ47" t="s">
        <v>408</v>
      </c>
    </row>
    <row r="48" spans="1:52" x14ac:dyDescent="0.3">
      <c r="A48">
        <v>37</v>
      </c>
      <c r="B48" t="s">
        <v>587</v>
      </c>
      <c r="C48" t="s">
        <v>155</v>
      </c>
      <c r="D48" t="s">
        <v>588</v>
      </c>
      <c r="E48" t="s">
        <v>417</v>
      </c>
      <c r="F48" t="s">
        <v>408</v>
      </c>
      <c r="G48">
        <v>1901</v>
      </c>
      <c r="H48">
        <v>1900</v>
      </c>
      <c r="I48" t="s">
        <v>589</v>
      </c>
      <c r="J48">
        <v>1843</v>
      </c>
      <c r="K48">
        <v>1856</v>
      </c>
      <c r="L48" t="s">
        <v>590</v>
      </c>
      <c r="M48">
        <v>2</v>
      </c>
      <c r="N48" t="s">
        <v>165</v>
      </c>
      <c r="O48" t="s">
        <v>165</v>
      </c>
      <c r="P48" t="s">
        <v>420</v>
      </c>
      <c r="Q48" t="s">
        <v>591</v>
      </c>
      <c r="R48" t="s">
        <v>556</v>
      </c>
      <c r="S48">
        <v>2013</v>
      </c>
      <c r="T48">
        <v>10</v>
      </c>
      <c r="U48" t="s">
        <v>553</v>
      </c>
      <c r="V48" t="s">
        <v>487</v>
      </c>
      <c r="W48">
        <v>2020</v>
      </c>
      <c r="X48">
        <v>0</v>
      </c>
      <c r="Y48" t="s">
        <v>408</v>
      </c>
      <c r="Z48">
        <v>2020</v>
      </c>
      <c r="AA48">
        <v>2013</v>
      </c>
      <c r="AB48" s="5">
        <v>0.16315132243899999</v>
      </c>
      <c r="AC48" s="5">
        <v>0.32630264487799998</v>
      </c>
      <c r="AD48" t="s">
        <v>408</v>
      </c>
      <c r="AE48" t="s">
        <v>152</v>
      </c>
      <c r="AF48" t="s">
        <v>408</v>
      </c>
      <c r="AG48" t="s">
        <v>408</v>
      </c>
      <c r="AH48" t="s">
        <v>408</v>
      </c>
      <c r="AI48" t="s">
        <v>408</v>
      </c>
      <c r="AJ48" t="s">
        <v>408</v>
      </c>
      <c r="AK48" t="s">
        <v>408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 s="58">
        <f t="shared" si="0"/>
        <v>1</v>
      </c>
      <c r="AU48" s="79" t="s">
        <v>592</v>
      </c>
      <c r="AV48" t="s">
        <v>410</v>
      </c>
      <c r="AW48" t="s">
        <v>152</v>
      </c>
      <c r="AX48">
        <v>2</v>
      </c>
      <c r="AY48" t="s">
        <v>412</v>
      </c>
      <c r="AZ48" t="s">
        <v>408</v>
      </c>
    </row>
    <row r="49" spans="1:52" x14ac:dyDescent="0.3">
      <c r="A49">
        <v>38</v>
      </c>
      <c r="B49" t="s">
        <v>593</v>
      </c>
      <c r="C49" t="s">
        <v>155</v>
      </c>
      <c r="D49" t="s">
        <v>594</v>
      </c>
      <c r="E49" t="s">
        <v>426</v>
      </c>
      <c r="F49" t="s">
        <v>400</v>
      </c>
      <c r="G49">
        <v>5519</v>
      </c>
      <c r="H49">
        <v>5520</v>
      </c>
      <c r="I49" t="s">
        <v>595</v>
      </c>
      <c r="J49">
        <v>5501</v>
      </c>
      <c r="K49">
        <v>5500</v>
      </c>
      <c r="L49" t="s">
        <v>451</v>
      </c>
      <c r="M49">
        <v>3</v>
      </c>
      <c r="N49" t="s">
        <v>163</v>
      </c>
      <c r="O49" t="s">
        <v>163</v>
      </c>
      <c r="P49" t="s">
        <v>403</v>
      </c>
      <c r="Q49" t="s">
        <v>408</v>
      </c>
      <c r="R49" t="s">
        <v>596</v>
      </c>
      <c r="S49">
        <v>2022</v>
      </c>
      <c r="T49">
        <v>7</v>
      </c>
      <c r="U49" t="s">
        <v>408</v>
      </c>
      <c r="V49" t="s">
        <v>408</v>
      </c>
      <c r="W49">
        <v>0</v>
      </c>
      <c r="X49">
        <v>0</v>
      </c>
      <c r="Y49" t="s">
        <v>408</v>
      </c>
      <c r="Z49">
        <v>2022</v>
      </c>
      <c r="AA49">
        <v>2022</v>
      </c>
      <c r="AB49" s="5">
        <v>6.7515941811299995E-2</v>
      </c>
      <c r="AC49" s="5">
        <v>0.135031883623</v>
      </c>
      <c r="AD49" t="s">
        <v>400</v>
      </c>
      <c r="AE49" t="s">
        <v>400</v>
      </c>
      <c r="AF49" t="s">
        <v>400</v>
      </c>
      <c r="AG49" t="s">
        <v>400</v>
      </c>
      <c r="AH49" t="s">
        <v>400</v>
      </c>
      <c r="AI49" t="s">
        <v>470</v>
      </c>
      <c r="AJ49" t="s">
        <v>400</v>
      </c>
      <c r="AK49" t="s">
        <v>400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 s="58">
        <f t="shared" si="0"/>
        <v>1</v>
      </c>
      <c r="AU49" s="79" t="s">
        <v>597</v>
      </c>
      <c r="AV49" t="s">
        <v>410</v>
      </c>
      <c r="AW49" t="s">
        <v>411</v>
      </c>
      <c r="AX49">
        <v>2</v>
      </c>
      <c r="AY49" t="s">
        <v>412</v>
      </c>
      <c r="AZ49">
        <v>30</v>
      </c>
    </row>
    <row r="50" spans="1:52" x14ac:dyDescent="0.3">
      <c r="A50">
        <v>39</v>
      </c>
      <c r="B50" t="s">
        <v>598</v>
      </c>
      <c r="C50" t="s">
        <v>155</v>
      </c>
      <c r="D50" t="s">
        <v>599</v>
      </c>
      <c r="E50" t="s">
        <v>460</v>
      </c>
      <c r="F50" t="s">
        <v>408</v>
      </c>
      <c r="G50">
        <v>7559</v>
      </c>
      <c r="H50">
        <v>7559</v>
      </c>
      <c r="I50" t="s">
        <v>600</v>
      </c>
      <c r="J50">
        <v>6901</v>
      </c>
      <c r="K50">
        <v>6900</v>
      </c>
      <c r="L50" t="s">
        <v>520</v>
      </c>
      <c r="M50">
        <v>3</v>
      </c>
      <c r="N50" t="s">
        <v>165</v>
      </c>
      <c r="O50" t="s">
        <v>165</v>
      </c>
      <c r="P50" t="s">
        <v>403</v>
      </c>
      <c r="Q50" t="s">
        <v>408</v>
      </c>
      <c r="R50" t="s">
        <v>601</v>
      </c>
      <c r="S50">
        <v>2018</v>
      </c>
      <c r="T50">
        <v>8</v>
      </c>
      <c r="U50" t="s">
        <v>408</v>
      </c>
      <c r="V50" t="s">
        <v>408</v>
      </c>
      <c r="W50">
        <v>0</v>
      </c>
      <c r="X50">
        <v>0</v>
      </c>
      <c r="Y50" t="s">
        <v>408</v>
      </c>
      <c r="Z50">
        <v>2018</v>
      </c>
      <c r="AA50">
        <v>2011</v>
      </c>
      <c r="AB50" s="5">
        <v>0.93836993143699998</v>
      </c>
      <c r="AC50" s="5">
        <v>1.8767398628700001</v>
      </c>
      <c r="AD50" t="s">
        <v>408</v>
      </c>
      <c r="AE50" t="s">
        <v>152</v>
      </c>
      <c r="AF50" t="s">
        <v>408</v>
      </c>
      <c r="AG50" t="s">
        <v>408</v>
      </c>
      <c r="AH50" t="s">
        <v>408</v>
      </c>
      <c r="AI50" t="s">
        <v>408</v>
      </c>
      <c r="AJ50" t="s">
        <v>408</v>
      </c>
      <c r="AK50" t="s">
        <v>408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 s="58">
        <f t="shared" si="0"/>
        <v>1</v>
      </c>
      <c r="AU50" s="79" t="s">
        <v>602</v>
      </c>
      <c r="AV50" s="78" t="s">
        <v>410</v>
      </c>
      <c r="AW50" t="s">
        <v>152</v>
      </c>
      <c r="AX50">
        <v>2</v>
      </c>
      <c r="AY50" t="s">
        <v>412</v>
      </c>
      <c r="AZ50" t="s">
        <v>408</v>
      </c>
    </row>
    <row r="51" spans="1:52" x14ac:dyDescent="0.3">
      <c r="A51">
        <v>40</v>
      </c>
      <c r="B51" t="s">
        <v>603</v>
      </c>
      <c r="C51" t="s">
        <v>447</v>
      </c>
      <c r="D51" t="s">
        <v>604</v>
      </c>
      <c r="E51" t="s">
        <v>417</v>
      </c>
      <c r="F51" t="s">
        <v>408</v>
      </c>
      <c r="G51">
        <v>2635</v>
      </c>
      <c r="H51">
        <v>2634</v>
      </c>
      <c r="I51" t="s">
        <v>605</v>
      </c>
      <c r="J51">
        <v>3601</v>
      </c>
      <c r="K51">
        <v>3600</v>
      </c>
      <c r="L51" t="s">
        <v>606</v>
      </c>
      <c r="M51">
        <v>3</v>
      </c>
      <c r="N51" t="s">
        <v>167</v>
      </c>
      <c r="O51" t="s">
        <v>167</v>
      </c>
      <c r="P51" t="s">
        <v>420</v>
      </c>
      <c r="Q51" t="s">
        <v>607</v>
      </c>
      <c r="R51" t="s">
        <v>608</v>
      </c>
      <c r="S51">
        <v>2011</v>
      </c>
      <c r="T51">
        <v>7</v>
      </c>
      <c r="U51" t="s">
        <v>609</v>
      </c>
      <c r="V51" t="s">
        <v>407</v>
      </c>
      <c r="W51">
        <v>2020</v>
      </c>
      <c r="X51">
        <v>0</v>
      </c>
      <c r="Y51" t="s">
        <v>408</v>
      </c>
      <c r="Z51">
        <v>2020</v>
      </c>
      <c r="AA51">
        <v>2011</v>
      </c>
      <c r="AB51" s="5">
        <v>1.20696959417</v>
      </c>
      <c r="AC51" s="5">
        <v>2.4139391883400001</v>
      </c>
      <c r="AD51" t="s">
        <v>408</v>
      </c>
      <c r="AE51" t="s">
        <v>152</v>
      </c>
      <c r="AF51" t="s">
        <v>408</v>
      </c>
      <c r="AG51" t="s">
        <v>408</v>
      </c>
      <c r="AH51" t="s">
        <v>408</v>
      </c>
      <c r="AI51" t="s">
        <v>408</v>
      </c>
      <c r="AJ51" t="s">
        <v>408</v>
      </c>
      <c r="AK51" t="s">
        <v>411</v>
      </c>
      <c r="AL51">
        <v>2018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s="58">
        <f t="shared" si="0"/>
        <v>1</v>
      </c>
      <c r="AU51" s="79" t="s">
        <v>431</v>
      </c>
      <c r="AV51" s="78" t="s">
        <v>410</v>
      </c>
      <c r="AW51" t="s">
        <v>408</v>
      </c>
      <c r="AX51">
        <v>2</v>
      </c>
      <c r="AY51" t="s">
        <v>412</v>
      </c>
      <c r="AZ51" t="s">
        <v>408</v>
      </c>
    </row>
    <row r="52" spans="1:52" x14ac:dyDescent="0.3">
      <c r="A52">
        <v>41</v>
      </c>
      <c r="B52" t="s">
        <v>610</v>
      </c>
      <c r="C52" t="s">
        <v>152</v>
      </c>
      <c r="D52" t="s">
        <v>255</v>
      </c>
      <c r="E52" t="s">
        <v>611</v>
      </c>
      <c r="F52" t="s">
        <v>408</v>
      </c>
      <c r="G52">
        <v>6575</v>
      </c>
      <c r="H52">
        <v>6576</v>
      </c>
      <c r="I52" t="s">
        <v>612</v>
      </c>
      <c r="J52">
        <v>6432</v>
      </c>
      <c r="K52">
        <v>6433</v>
      </c>
      <c r="L52" t="s">
        <v>613</v>
      </c>
      <c r="M52">
        <v>3</v>
      </c>
      <c r="N52" t="s">
        <v>170</v>
      </c>
      <c r="O52" t="s">
        <v>170</v>
      </c>
      <c r="P52" t="s">
        <v>420</v>
      </c>
      <c r="Q52" t="s">
        <v>614</v>
      </c>
      <c r="R52" t="s">
        <v>608</v>
      </c>
      <c r="S52">
        <v>2011</v>
      </c>
      <c r="T52">
        <v>8</v>
      </c>
      <c r="U52" t="s">
        <v>370</v>
      </c>
      <c r="V52" t="s">
        <v>408</v>
      </c>
      <c r="W52">
        <v>0</v>
      </c>
      <c r="X52">
        <v>0</v>
      </c>
      <c r="Y52" t="s">
        <v>408</v>
      </c>
      <c r="Z52">
        <v>2011</v>
      </c>
      <c r="AA52">
        <v>2011</v>
      </c>
      <c r="AB52" s="5">
        <v>0.29999789549900002</v>
      </c>
      <c r="AC52" s="5">
        <v>0.59999579099800004</v>
      </c>
      <c r="AD52" t="s">
        <v>408</v>
      </c>
      <c r="AE52" t="s">
        <v>152</v>
      </c>
      <c r="AF52" t="s">
        <v>408</v>
      </c>
      <c r="AG52" t="s">
        <v>408</v>
      </c>
      <c r="AH52" t="s">
        <v>408</v>
      </c>
      <c r="AI52" t="s">
        <v>408</v>
      </c>
      <c r="AJ52" t="s">
        <v>408</v>
      </c>
      <c r="AK52" t="s">
        <v>408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 s="58">
        <f t="shared" si="0"/>
        <v>1</v>
      </c>
      <c r="AU52" s="79">
        <v>43339</v>
      </c>
      <c r="AV52" s="78" t="s">
        <v>410</v>
      </c>
      <c r="AW52" t="s">
        <v>408</v>
      </c>
      <c r="AX52">
        <v>2</v>
      </c>
      <c r="AY52" t="s">
        <v>412</v>
      </c>
      <c r="AZ52" t="s">
        <v>408</v>
      </c>
    </row>
    <row r="53" spans="1:52" x14ac:dyDescent="0.3">
      <c r="A53">
        <v>42</v>
      </c>
      <c r="B53" t="s">
        <v>610</v>
      </c>
      <c r="C53" t="s">
        <v>152</v>
      </c>
      <c r="D53" t="s">
        <v>255</v>
      </c>
      <c r="E53" t="s">
        <v>611</v>
      </c>
      <c r="F53" t="s">
        <v>408</v>
      </c>
      <c r="G53">
        <v>5727</v>
      </c>
      <c r="H53">
        <v>5726</v>
      </c>
      <c r="I53" t="s">
        <v>615</v>
      </c>
      <c r="J53">
        <v>6191</v>
      </c>
      <c r="K53">
        <v>6190</v>
      </c>
      <c r="L53" t="s">
        <v>616</v>
      </c>
      <c r="M53">
        <v>3</v>
      </c>
      <c r="N53" t="s">
        <v>167</v>
      </c>
      <c r="O53" t="s">
        <v>167</v>
      </c>
      <c r="P53" t="s">
        <v>420</v>
      </c>
      <c r="Q53" t="s">
        <v>614</v>
      </c>
      <c r="R53" t="s">
        <v>608</v>
      </c>
      <c r="S53">
        <v>2011</v>
      </c>
      <c r="T53">
        <v>8</v>
      </c>
      <c r="U53" t="s">
        <v>370</v>
      </c>
      <c r="V53" t="s">
        <v>407</v>
      </c>
      <c r="W53">
        <v>2020</v>
      </c>
      <c r="X53">
        <v>0</v>
      </c>
      <c r="Y53" t="s">
        <v>408</v>
      </c>
      <c r="Z53">
        <v>2020</v>
      </c>
      <c r="AA53">
        <v>2011</v>
      </c>
      <c r="AB53" s="5">
        <v>0.94913404032199999</v>
      </c>
      <c r="AC53" s="5">
        <v>1.8982680806400001</v>
      </c>
      <c r="AD53" t="s">
        <v>408</v>
      </c>
      <c r="AE53" t="s">
        <v>152</v>
      </c>
      <c r="AF53" t="s">
        <v>408</v>
      </c>
      <c r="AG53" t="s">
        <v>408</v>
      </c>
      <c r="AH53" t="s">
        <v>408</v>
      </c>
      <c r="AI53" t="s">
        <v>408</v>
      </c>
      <c r="AJ53" t="s">
        <v>408</v>
      </c>
      <c r="AK53" t="s">
        <v>408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 s="58">
        <f t="shared" si="0"/>
        <v>1</v>
      </c>
      <c r="AU53" s="79" t="s">
        <v>431</v>
      </c>
      <c r="AV53" s="78" t="s">
        <v>410</v>
      </c>
      <c r="AW53" t="s">
        <v>408</v>
      </c>
      <c r="AX53">
        <v>2</v>
      </c>
      <c r="AY53" t="s">
        <v>412</v>
      </c>
      <c r="AZ53" t="s">
        <v>408</v>
      </c>
    </row>
    <row r="54" spans="1:52" x14ac:dyDescent="0.3">
      <c r="A54">
        <v>43</v>
      </c>
      <c r="B54" t="s">
        <v>617</v>
      </c>
      <c r="C54" t="s">
        <v>154</v>
      </c>
      <c r="D54" t="s">
        <v>618</v>
      </c>
      <c r="E54" t="s">
        <v>460</v>
      </c>
      <c r="F54" t="s">
        <v>408</v>
      </c>
      <c r="G54">
        <v>2365</v>
      </c>
      <c r="H54">
        <v>2364</v>
      </c>
      <c r="I54" t="s">
        <v>619</v>
      </c>
      <c r="J54">
        <v>1301</v>
      </c>
      <c r="K54">
        <v>1300</v>
      </c>
      <c r="L54" t="s">
        <v>517</v>
      </c>
      <c r="M54">
        <v>2</v>
      </c>
      <c r="N54" t="s">
        <v>170</v>
      </c>
      <c r="O54" t="s">
        <v>170</v>
      </c>
      <c r="P54" t="s">
        <v>420</v>
      </c>
      <c r="Q54" t="s">
        <v>408</v>
      </c>
      <c r="R54" t="s">
        <v>547</v>
      </c>
      <c r="S54">
        <v>2011</v>
      </c>
      <c r="T54">
        <v>9</v>
      </c>
      <c r="U54" t="s">
        <v>408</v>
      </c>
      <c r="V54" t="s">
        <v>482</v>
      </c>
      <c r="W54">
        <v>2017</v>
      </c>
      <c r="X54">
        <v>11</v>
      </c>
      <c r="Y54" t="s">
        <v>370</v>
      </c>
      <c r="Z54">
        <v>2017</v>
      </c>
      <c r="AA54">
        <v>2017</v>
      </c>
      <c r="AB54" s="5">
        <v>1.39168791395</v>
      </c>
      <c r="AC54" s="5">
        <v>2.7833758279</v>
      </c>
      <c r="AD54" t="s">
        <v>408</v>
      </c>
      <c r="AE54" t="s">
        <v>152</v>
      </c>
      <c r="AF54" t="s">
        <v>408</v>
      </c>
      <c r="AG54" t="s">
        <v>408</v>
      </c>
      <c r="AH54" t="s">
        <v>408</v>
      </c>
      <c r="AI54" t="s">
        <v>408</v>
      </c>
      <c r="AJ54" t="s">
        <v>408</v>
      </c>
      <c r="AK54" t="s">
        <v>408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58">
        <f t="shared" si="0"/>
        <v>1</v>
      </c>
      <c r="AU54" s="79">
        <v>43339</v>
      </c>
      <c r="AV54" s="78" t="s">
        <v>410</v>
      </c>
      <c r="AW54" t="s">
        <v>408</v>
      </c>
      <c r="AX54">
        <v>2</v>
      </c>
      <c r="AY54" t="s">
        <v>412</v>
      </c>
      <c r="AZ54" t="s">
        <v>408</v>
      </c>
    </row>
    <row r="55" spans="1:52" x14ac:dyDescent="0.3">
      <c r="A55">
        <v>44</v>
      </c>
      <c r="B55" t="s">
        <v>620</v>
      </c>
      <c r="C55" t="s">
        <v>154</v>
      </c>
      <c r="D55" t="s">
        <v>621</v>
      </c>
      <c r="E55" t="s">
        <v>460</v>
      </c>
      <c r="F55" t="s">
        <v>408</v>
      </c>
      <c r="G55">
        <v>1599</v>
      </c>
      <c r="H55">
        <v>1600</v>
      </c>
      <c r="I55" t="s">
        <v>545</v>
      </c>
      <c r="J55">
        <v>1335</v>
      </c>
      <c r="K55">
        <v>1332</v>
      </c>
      <c r="L55" t="s">
        <v>622</v>
      </c>
      <c r="M55">
        <v>4</v>
      </c>
      <c r="N55" t="s">
        <v>167</v>
      </c>
      <c r="O55" t="s">
        <v>167</v>
      </c>
      <c r="P55" t="s">
        <v>420</v>
      </c>
      <c r="Q55" t="s">
        <v>623</v>
      </c>
      <c r="R55" t="s">
        <v>624</v>
      </c>
      <c r="S55">
        <v>2011</v>
      </c>
      <c r="T55">
        <v>6</v>
      </c>
      <c r="U55" t="s">
        <v>370</v>
      </c>
      <c r="V55" t="s">
        <v>408</v>
      </c>
      <c r="W55">
        <v>0</v>
      </c>
      <c r="X55">
        <v>0</v>
      </c>
      <c r="Y55" t="s">
        <v>408</v>
      </c>
      <c r="Z55">
        <v>2011</v>
      </c>
      <c r="AA55">
        <v>2011</v>
      </c>
      <c r="AB55" s="5">
        <v>0.25736586449299997</v>
      </c>
      <c r="AC55" s="5">
        <v>0.51473172898599995</v>
      </c>
      <c r="AD55" t="s">
        <v>408</v>
      </c>
      <c r="AE55" t="s">
        <v>152</v>
      </c>
      <c r="AF55" t="s">
        <v>408</v>
      </c>
      <c r="AG55" t="s">
        <v>408</v>
      </c>
      <c r="AH55" t="s">
        <v>408</v>
      </c>
      <c r="AI55" t="s">
        <v>408</v>
      </c>
      <c r="AJ55" t="s">
        <v>408</v>
      </c>
      <c r="AK55" t="s">
        <v>408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58">
        <f t="shared" si="0"/>
        <v>1</v>
      </c>
      <c r="AU55" s="79">
        <v>43339</v>
      </c>
      <c r="AV55" s="78" t="s">
        <v>410</v>
      </c>
      <c r="AW55" t="s">
        <v>408</v>
      </c>
      <c r="AX55">
        <v>2</v>
      </c>
      <c r="AY55" t="s">
        <v>412</v>
      </c>
      <c r="AZ55">
        <v>20</v>
      </c>
    </row>
    <row r="56" spans="1:52" x14ac:dyDescent="0.3">
      <c r="A56">
        <v>45</v>
      </c>
      <c r="B56" t="s">
        <v>557</v>
      </c>
      <c r="C56" t="s">
        <v>152</v>
      </c>
      <c r="D56" t="s">
        <v>558</v>
      </c>
      <c r="E56" t="s">
        <v>460</v>
      </c>
      <c r="F56" t="s">
        <v>400</v>
      </c>
      <c r="G56">
        <v>800</v>
      </c>
      <c r="H56">
        <v>801</v>
      </c>
      <c r="I56" t="s">
        <v>554</v>
      </c>
      <c r="J56">
        <v>828</v>
      </c>
      <c r="K56">
        <v>829</v>
      </c>
      <c r="L56" t="s">
        <v>625</v>
      </c>
      <c r="M56">
        <v>3</v>
      </c>
      <c r="N56" t="s">
        <v>163</v>
      </c>
      <c r="O56" t="s">
        <v>163</v>
      </c>
      <c r="P56" t="s">
        <v>403</v>
      </c>
      <c r="Q56" t="s">
        <v>408</v>
      </c>
      <c r="R56" t="s">
        <v>437</v>
      </c>
      <c r="S56">
        <v>2022</v>
      </c>
      <c r="T56">
        <v>11</v>
      </c>
      <c r="U56" t="s">
        <v>408</v>
      </c>
      <c r="V56" t="s">
        <v>408</v>
      </c>
      <c r="W56">
        <v>0</v>
      </c>
      <c r="X56">
        <v>0</v>
      </c>
      <c r="Y56" t="s">
        <v>408</v>
      </c>
      <c r="Z56">
        <v>2022</v>
      </c>
      <c r="AA56">
        <v>2022</v>
      </c>
      <c r="AB56" s="5">
        <v>7.40159013975E-2</v>
      </c>
      <c r="AC56" s="5">
        <v>0.148031802795</v>
      </c>
      <c r="AD56" t="s">
        <v>400</v>
      </c>
      <c r="AE56" t="s">
        <v>152</v>
      </c>
      <c r="AF56" t="s">
        <v>400</v>
      </c>
      <c r="AG56" t="s">
        <v>400</v>
      </c>
      <c r="AH56" t="s">
        <v>400</v>
      </c>
      <c r="AI56" t="s">
        <v>438</v>
      </c>
      <c r="AJ56" t="s">
        <v>400</v>
      </c>
      <c r="AK56" t="s">
        <v>400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s="58">
        <f t="shared" si="0"/>
        <v>1</v>
      </c>
      <c r="AU56" s="79" t="s">
        <v>439</v>
      </c>
      <c r="AV56" t="s">
        <v>410</v>
      </c>
      <c r="AW56" t="s">
        <v>411</v>
      </c>
      <c r="AX56">
        <v>2</v>
      </c>
      <c r="AY56" t="s">
        <v>412</v>
      </c>
      <c r="AZ56">
        <v>30</v>
      </c>
    </row>
    <row r="57" spans="1:52" x14ac:dyDescent="0.3">
      <c r="A57">
        <v>46</v>
      </c>
      <c r="B57" t="s">
        <v>626</v>
      </c>
      <c r="C57" t="s">
        <v>152</v>
      </c>
      <c r="D57" t="s">
        <v>627</v>
      </c>
      <c r="E57" t="s">
        <v>417</v>
      </c>
      <c r="F57" t="s">
        <v>152</v>
      </c>
      <c r="G57">
        <v>2</v>
      </c>
      <c r="H57">
        <v>1</v>
      </c>
      <c r="I57" t="s">
        <v>536</v>
      </c>
      <c r="J57">
        <v>198</v>
      </c>
      <c r="K57">
        <v>199</v>
      </c>
      <c r="L57" t="s">
        <v>628</v>
      </c>
      <c r="M57">
        <v>4</v>
      </c>
      <c r="N57" t="s">
        <v>165</v>
      </c>
      <c r="O57" t="s">
        <v>165</v>
      </c>
      <c r="P57" t="s">
        <v>420</v>
      </c>
      <c r="Q57" t="s">
        <v>408</v>
      </c>
      <c r="R57" t="s">
        <v>629</v>
      </c>
      <c r="S57">
        <v>2012</v>
      </c>
      <c r="T57">
        <v>12</v>
      </c>
      <c r="U57" t="s">
        <v>408</v>
      </c>
      <c r="V57" t="s">
        <v>513</v>
      </c>
      <c r="W57">
        <v>2015</v>
      </c>
      <c r="X57">
        <v>8</v>
      </c>
      <c r="Y57" t="s">
        <v>630</v>
      </c>
      <c r="Z57">
        <v>2015</v>
      </c>
      <c r="AA57">
        <v>2015</v>
      </c>
      <c r="AB57" s="5">
        <v>0.26239611913400002</v>
      </c>
      <c r="AC57" s="5">
        <v>0.26239611913400002</v>
      </c>
      <c r="AD57" t="s">
        <v>408</v>
      </c>
      <c r="AE57" t="s">
        <v>411</v>
      </c>
      <c r="AF57" t="s">
        <v>152</v>
      </c>
      <c r="AG57" t="s">
        <v>152</v>
      </c>
      <c r="AH57" t="s">
        <v>408</v>
      </c>
      <c r="AI57" t="s">
        <v>408</v>
      </c>
      <c r="AJ57" t="s">
        <v>408</v>
      </c>
      <c r="AK57" t="s">
        <v>408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 s="58">
        <f t="shared" si="0"/>
        <v>1</v>
      </c>
      <c r="AU57" s="79">
        <v>43339</v>
      </c>
      <c r="AV57" s="78" t="s">
        <v>410</v>
      </c>
      <c r="AW57" t="s">
        <v>152</v>
      </c>
      <c r="AX57">
        <v>2</v>
      </c>
      <c r="AY57" t="s">
        <v>412</v>
      </c>
      <c r="AZ57" t="s">
        <v>408</v>
      </c>
    </row>
    <row r="58" spans="1:52" x14ac:dyDescent="0.3">
      <c r="A58">
        <v>47</v>
      </c>
      <c r="B58" t="s">
        <v>533</v>
      </c>
      <c r="C58" t="s">
        <v>155</v>
      </c>
      <c r="D58" t="s">
        <v>534</v>
      </c>
      <c r="E58" t="s">
        <v>417</v>
      </c>
      <c r="F58" t="s">
        <v>155</v>
      </c>
      <c r="G58">
        <v>1101</v>
      </c>
      <c r="H58">
        <v>1100</v>
      </c>
      <c r="I58" t="s">
        <v>631</v>
      </c>
      <c r="J58">
        <v>825</v>
      </c>
      <c r="K58">
        <v>824</v>
      </c>
      <c r="L58" t="s">
        <v>632</v>
      </c>
      <c r="M58">
        <v>4</v>
      </c>
      <c r="N58" t="s">
        <v>165</v>
      </c>
      <c r="O58" t="s">
        <v>165</v>
      </c>
      <c r="P58" t="s">
        <v>420</v>
      </c>
      <c r="Q58" t="s">
        <v>408</v>
      </c>
      <c r="R58" t="s">
        <v>445</v>
      </c>
      <c r="S58">
        <v>2012</v>
      </c>
      <c r="T58">
        <v>11</v>
      </c>
      <c r="U58" t="s">
        <v>452</v>
      </c>
      <c r="V58" t="s">
        <v>511</v>
      </c>
      <c r="W58">
        <v>2018</v>
      </c>
      <c r="X58">
        <v>8</v>
      </c>
      <c r="Y58" t="s">
        <v>633</v>
      </c>
      <c r="Z58">
        <v>2018</v>
      </c>
      <c r="AA58">
        <v>2014</v>
      </c>
      <c r="AB58" s="5">
        <v>0.32940641966899997</v>
      </c>
      <c r="AC58" s="5">
        <v>0.32940641966899997</v>
      </c>
      <c r="AD58" t="s">
        <v>408</v>
      </c>
      <c r="AE58" t="s">
        <v>411</v>
      </c>
      <c r="AF58" t="s">
        <v>155</v>
      </c>
      <c r="AG58" t="s">
        <v>152</v>
      </c>
      <c r="AH58" t="s">
        <v>408</v>
      </c>
      <c r="AI58" t="s">
        <v>408</v>
      </c>
      <c r="AJ58" t="s">
        <v>408</v>
      </c>
      <c r="AK58" t="s">
        <v>408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s="58">
        <f t="shared" si="0"/>
        <v>1</v>
      </c>
      <c r="AU58" s="79">
        <v>43336</v>
      </c>
      <c r="AV58" s="78" t="s">
        <v>410</v>
      </c>
      <c r="AW58" t="s">
        <v>152</v>
      </c>
      <c r="AX58">
        <v>2</v>
      </c>
      <c r="AY58" t="s">
        <v>412</v>
      </c>
      <c r="AZ58" t="s">
        <v>408</v>
      </c>
    </row>
    <row r="59" spans="1:52" x14ac:dyDescent="0.3">
      <c r="A59">
        <v>48</v>
      </c>
      <c r="B59" t="s">
        <v>626</v>
      </c>
      <c r="C59" t="s">
        <v>155</v>
      </c>
      <c r="D59" t="s">
        <v>627</v>
      </c>
      <c r="E59" t="s">
        <v>417</v>
      </c>
      <c r="F59" t="s">
        <v>152</v>
      </c>
      <c r="G59">
        <v>301</v>
      </c>
      <c r="H59">
        <v>300</v>
      </c>
      <c r="I59" t="s">
        <v>442</v>
      </c>
      <c r="J59">
        <v>151</v>
      </c>
      <c r="K59">
        <v>150</v>
      </c>
      <c r="L59" t="s">
        <v>634</v>
      </c>
      <c r="M59">
        <v>4</v>
      </c>
      <c r="N59" t="s">
        <v>165</v>
      </c>
      <c r="O59" t="s">
        <v>165</v>
      </c>
      <c r="P59" t="s">
        <v>420</v>
      </c>
      <c r="Q59" t="s">
        <v>635</v>
      </c>
      <c r="R59" t="s">
        <v>629</v>
      </c>
      <c r="S59">
        <v>2012</v>
      </c>
      <c r="T59">
        <v>12</v>
      </c>
      <c r="U59" t="s">
        <v>370</v>
      </c>
      <c r="V59" t="s">
        <v>408</v>
      </c>
      <c r="W59">
        <v>0</v>
      </c>
      <c r="X59">
        <v>0</v>
      </c>
      <c r="Y59" t="s">
        <v>408</v>
      </c>
      <c r="Z59">
        <v>2012</v>
      </c>
      <c r="AA59">
        <v>2012</v>
      </c>
      <c r="AB59" s="5">
        <v>0.263335131793</v>
      </c>
      <c r="AC59" s="5">
        <v>0.263335131793</v>
      </c>
      <c r="AD59" t="s">
        <v>408</v>
      </c>
      <c r="AE59" t="s">
        <v>411</v>
      </c>
      <c r="AF59" t="s">
        <v>152</v>
      </c>
      <c r="AG59" t="s">
        <v>152</v>
      </c>
      <c r="AH59" t="s">
        <v>408</v>
      </c>
      <c r="AI59" t="s">
        <v>408</v>
      </c>
      <c r="AJ59" t="s">
        <v>408</v>
      </c>
      <c r="AK59" t="s">
        <v>408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 s="58">
        <f t="shared" si="0"/>
        <v>1</v>
      </c>
      <c r="AU59" s="79">
        <v>43339</v>
      </c>
      <c r="AV59" s="78" t="s">
        <v>410</v>
      </c>
      <c r="AW59" t="s">
        <v>152</v>
      </c>
      <c r="AX59">
        <v>2</v>
      </c>
      <c r="AY59" t="s">
        <v>412</v>
      </c>
      <c r="AZ59" t="s">
        <v>408</v>
      </c>
    </row>
    <row r="60" spans="1:52" x14ac:dyDescent="0.3">
      <c r="A60">
        <v>49</v>
      </c>
      <c r="B60" t="s">
        <v>636</v>
      </c>
      <c r="C60" t="s">
        <v>155</v>
      </c>
      <c r="D60" t="s">
        <v>637</v>
      </c>
      <c r="E60" t="s">
        <v>426</v>
      </c>
      <c r="F60" t="s">
        <v>408</v>
      </c>
      <c r="G60">
        <v>5475</v>
      </c>
      <c r="H60">
        <v>5476</v>
      </c>
      <c r="I60" t="s">
        <v>638</v>
      </c>
      <c r="J60">
        <v>5101</v>
      </c>
      <c r="K60">
        <v>5100</v>
      </c>
      <c r="L60" t="s">
        <v>639</v>
      </c>
      <c r="M60">
        <v>4</v>
      </c>
      <c r="N60" t="s">
        <v>165</v>
      </c>
      <c r="O60" t="s">
        <v>165</v>
      </c>
      <c r="P60" t="s">
        <v>420</v>
      </c>
      <c r="Q60" t="s">
        <v>640</v>
      </c>
      <c r="R60" t="s">
        <v>445</v>
      </c>
      <c r="S60">
        <v>2012</v>
      </c>
      <c r="T60">
        <v>11</v>
      </c>
      <c r="U60" t="s">
        <v>370</v>
      </c>
      <c r="V60" t="s">
        <v>407</v>
      </c>
      <c r="W60">
        <v>2020</v>
      </c>
      <c r="X60">
        <v>0</v>
      </c>
      <c r="Y60" t="s">
        <v>408</v>
      </c>
      <c r="Z60">
        <v>2020</v>
      </c>
      <c r="AA60">
        <v>2012</v>
      </c>
      <c r="AB60" s="5">
        <v>0.56384894488799997</v>
      </c>
      <c r="AC60" s="5">
        <v>1.1276978897800001</v>
      </c>
      <c r="AD60" t="s">
        <v>408</v>
      </c>
      <c r="AE60" t="s">
        <v>152</v>
      </c>
      <c r="AF60" t="s">
        <v>408</v>
      </c>
      <c r="AG60" t="s">
        <v>408</v>
      </c>
      <c r="AH60" t="s">
        <v>408</v>
      </c>
      <c r="AI60" t="s">
        <v>408</v>
      </c>
      <c r="AJ60" t="s">
        <v>408</v>
      </c>
      <c r="AK60" t="s">
        <v>408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 s="58">
        <f t="shared" si="0"/>
        <v>1</v>
      </c>
      <c r="AU60" s="79" t="s">
        <v>431</v>
      </c>
      <c r="AV60" s="78" t="s">
        <v>410</v>
      </c>
      <c r="AW60" t="s">
        <v>152</v>
      </c>
      <c r="AX60">
        <v>2</v>
      </c>
      <c r="AY60" t="s">
        <v>412</v>
      </c>
      <c r="AZ60" t="s">
        <v>408</v>
      </c>
    </row>
    <row r="61" spans="1:52" x14ac:dyDescent="0.3">
      <c r="A61">
        <v>50</v>
      </c>
      <c r="B61" t="s">
        <v>641</v>
      </c>
      <c r="C61" t="s">
        <v>152</v>
      </c>
      <c r="D61" t="s">
        <v>642</v>
      </c>
      <c r="E61" t="s">
        <v>460</v>
      </c>
      <c r="F61" t="s">
        <v>408</v>
      </c>
      <c r="G61">
        <v>1778</v>
      </c>
      <c r="H61">
        <v>1785</v>
      </c>
      <c r="I61" t="s">
        <v>643</v>
      </c>
      <c r="J61">
        <v>2160</v>
      </c>
      <c r="K61">
        <v>2167</v>
      </c>
      <c r="L61" t="s">
        <v>644</v>
      </c>
      <c r="M61">
        <v>3</v>
      </c>
      <c r="N61" t="s">
        <v>165</v>
      </c>
      <c r="O61" t="s">
        <v>165</v>
      </c>
      <c r="P61" t="s">
        <v>420</v>
      </c>
      <c r="Q61" t="s">
        <v>408</v>
      </c>
      <c r="R61" t="s">
        <v>556</v>
      </c>
      <c r="S61">
        <v>2013</v>
      </c>
      <c r="T61">
        <v>8</v>
      </c>
      <c r="U61" t="s">
        <v>370</v>
      </c>
      <c r="V61" t="s">
        <v>645</v>
      </c>
      <c r="W61">
        <v>2017</v>
      </c>
      <c r="X61">
        <v>10</v>
      </c>
      <c r="Y61" t="s">
        <v>370</v>
      </c>
      <c r="Z61">
        <v>2017</v>
      </c>
      <c r="AA61">
        <v>2013</v>
      </c>
      <c r="AB61" s="5">
        <v>0.714352599102</v>
      </c>
      <c r="AC61" s="5">
        <v>1.4287051982000001</v>
      </c>
      <c r="AD61" t="s">
        <v>408</v>
      </c>
      <c r="AE61" t="s">
        <v>152</v>
      </c>
      <c r="AF61" t="s">
        <v>408</v>
      </c>
      <c r="AG61" t="s">
        <v>408</v>
      </c>
      <c r="AH61" t="s">
        <v>408</v>
      </c>
      <c r="AI61" t="s">
        <v>408</v>
      </c>
      <c r="AJ61" t="s">
        <v>408</v>
      </c>
      <c r="AK61" t="s">
        <v>408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58">
        <f t="shared" si="0"/>
        <v>1</v>
      </c>
      <c r="AU61" s="79">
        <v>43339</v>
      </c>
      <c r="AV61" s="78" t="s">
        <v>410</v>
      </c>
      <c r="AW61" t="s">
        <v>152</v>
      </c>
      <c r="AX61">
        <v>2</v>
      </c>
      <c r="AY61" t="s">
        <v>412</v>
      </c>
      <c r="AZ61" t="s">
        <v>408</v>
      </c>
    </row>
    <row r="62" spans="1:52" x14ac:dyDescent="0.3">
      <c r="A62">
        <v>51</v>
      </c>
      <c r="B62" t="s">
        <v>557</v>
      </c>
      <c r="C62" t="s">
        <v>152</v>
      </c>
      <c r="D62" t="s">
        <v>558</v>
      </c>
      <c r="E62" t="s">
        <v>460</v>
      </c>
      <c r="F62" t="s">
        <v>408</v>
      </c>
      <c r="G62">
        <v>654</v>
      </c>
      <c r="H62">
        <v>649</v>
      </c>
      <c r="I62" t="s">
        <v>646</v>
      </c>
      <c r="J62">
        <v>770</v>
      </c>
      <c r="K62">
        <v>773</v>
      </c>
      <c r="L62" t="s">
        <v>647</v>
      </c>
      <c r="M62">
        <v>3</v>
      </c>
      <c r="N62" t="s">
        <v>163</v>
      </c>
      <c r="O62" t="s">
        <v>163</v>
      </c>
      <c r="P62" t="s">
        <v>403</v>
      </c>
      <c r="Q62" t="s">
        <v>408</v>
      </c>
      <c r="R62" t="s">
        <v>648</v>
      </c>
      <c r="S62">
        <v>2018</v>
      </c>
      <c r="T62">
        <v>8</v>
      </c>
      <c r="U62" t="s">
        <v>438</v>
      </c>
      <c r="V62" t="s">
        <v>408</v>
      </c>
      <c r="W62">
        <v>0</v>
      </c>
      <c r="X62">
        <v>0</v>
      </c>
      <c r="Y62" t="s">
        <v>408</v>
      </c>
      <c r="Z62">
        <v>2018</v>
      </c>
      <c r="AA62">
        <v>2014</v>
      </c>
      <c r="AB62" s="5">
        <v>0.27334476750199999</v>
      </c>
      <c r="AC62" s="5">
        <v>0.54668953500399997</v>
      </c>
      <c r="AD62" t="s">
        <v>408</v>
      </c>
      <c r="AE62" t="s">
        <v>152</v>
      </c>
      <c r="AF62" t="s">
        <v>408</v>
      </c>
      <c r="AG62" t="s">
        <v>408</v>
      </c>
      <c r="AH62" t="s">
        <v>152</v>
      </c>
      <c r="AI62" t="s">
        <v>438</v>
      </c>
      <c r="AJ62" t="s">
        <v>152</v>
      </c>
      <c r="AK62" t="s">
        <v>408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 s="58">
        <f t="shared" si="0"/>
        <v>1</v>
      </c>
      <c r="AU62" s="79" t="s">
        <v>457</v>
      </c>
      <c r="AV62" t="s">
        <v>410</v>
      </c>
      <c r="AW62" t="s">
        <v>411</v>
      </c>
      <c r="AX62">
        <v>1</v>
      </c>
      <c r="AY62" t="s">
        <v>412</v>
      </c>
      <c r="AZ62" t="s">
        <v>408</v>
      </c>
    </row>
    <row r="63" spans="1:52" x14ac:dyDescent="0.3">
      <c r="A63">
        <v>52</v>
      </c>
      <c r="B63" t="s">
        <v>649</v>
      </c>
      <c r="C63" t="s">
        <v>155</v>
      </c>
      <c r="D63" t="s">
        <v>650</v>
      </c>
      <c r="E63" t="s">
        <v>426</v>
      </c>
      <c r="F63" t="s">
        <v>408</v>
      </c>
      <c r="G63">
        <v>1895</v>
      </c>
      <c r="H63">
        <v>1896</v>
      </c>
      <c r="I63" t="s">
        <v>651</v>
      </c>
      <c r="J63">
        <v>1607</v>
      </c>
      <c r="K63">
        <v>1606</v>
      </c>
      <c r="L63" t="s">
        <v>583</v>
      </c>
      <c r="M63">
        <v>4</v>
      </c>
      <c r="N63" t="s">
        <v>163</v>
      </c>
      <c r="O63" t="s">
        <v>163</v>
      </c>
      <c r="P63" t="s">
        <v>420</v>
      </c>
      <c r="Q63" t="s">
        <v>652</v>
      </c>
      <c r="R63" t="s">
        <v>653</v>
      </c>
      <c r="S63">
        <v>2012</v>
      </c>
      <c r="T63">
        <v>12</v>
      </c>
      <c r="U63" t="s">
        <v>452</v>
      </c>
      <c r="V63" t="s">
        <v>511</v>
      </c>
      <c r="W63">
        <v>2018</v>
      </c>
      <c r="X63">
        <v>8</v>
      </c>
      <c r="Y63" t="s">
        <v>408</v>
      </c>
      <c r="Z63">
        <v>2018</v>
      </c>
      <c r="AA63">
        <v>0</v>
      </c>
      <c r="AB63" s="5">
        <v>0.307938757264</v>
      </c>
      <c r="AC63" s="5">
        <v>0.61587751452799999</v>
      </c>
      <c r="AD63" t="s">
        <v>408</v>
      </c>
      <c r="AE63" t="s">
        <v>152</v>
      </c>
      <c r="AF63" t="s">
        <v>408</v>
      </c>
      <c r="AG63" t="s">
        <v>408</v>
      </c>
      <c r="AH63" t="s">
        <v>152</v>
      </c>
      <c r="AI63" t="s">
        <v>470</v>
      </c>
      <c r="AJ63" t="s">
        <v>400</v>
      </c>
      <c r="AK63" t="s">
        <v>400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 s="58">
        <f t="shared" si="0"/>
        <v>1</v>
      </c>
      <c r="AU63" s="79" t="s">
        <v>602</v>
      </c>
      <c r="AV63" t="s">
        <v>410</v>
      </c>
      <c r="AW63" t="s">
        <v>411</v>
      </c>
      <c r="AX63">
        <v>1</v>
      </c>
      <c r="AY63" t="s">
        <v>412</v>
      </c>
      <c r="AZ63" t="s">
        <v>408</v>
      </c>
    </row>
    <row r="64" spans="1:52" x14ac:dyDescent="0.3">
      <c r="A64">
        <v>53</v>
      </c>
      <c r="B64" t="s">
        <v>654</v>
      </c>
      <c r="C64" t="s">
        <v>155</v>
      </c>
      <c r="D64" t="s">
        <v>655</v>
      </c>
      <c r="E64" t="s">
        <v>466</v>
      </c>
      <c r="F64" t="s">
        <v>408</v>
      </c>
      <c r="G64">
        <v>1349</v>
      </c>
      <c r="H64">
        <v>1358</v>
      </c>
      <c r="I64" t="s">
        <v>656</v>
      </c>
      <c r="J64">
        <v>601</v>
      </c>
      <c r="K64">
        <v>600</v>
      </c>
      <c r="L64" t="s">
        <v>535</v>
      </c>
      <c r="M64">
        <v>3</v>
      </c>
      <c r="N64" t="s">
        <v>163</v>
      </c>
      <c r="O64" t="s">
        <v>163</v>
      </c>
      <c r="P64" t="s">
        <v>403</v>
      </c>
      <c r="Q64" t="s">
        <v>408</v>
      </c>
      <c r="R64" t="s">
        <v>657</v>
      </c>
      <c r="S64">
        <v>2021</v>
      </c>
      <c r="T64">
        <v>11</v>
      </c>
      <c r="U64" t="s">
        <v>408</v>
      </c>
      <c r="V64" t="s">
        <v>408</v>
      </c>
      <c r="W64">
        <v>0</v>
      </c>
      <c r="X64">
        <v>0</v>
      </c>
      <c r="Y64" t="s">
        <v>408</v>
      </c>
      <c r="Z64">
        <v>2021</v>
      </c>
      <c r="AA64">
        <v>2015</v>
      </c>
      <c r="AB64" s="5">
        <v>0.72427831118999997</v>
      </c>
      <c r="AC64" s="5">
        <v>1.4485566223799999</v>
      </c>
      <c r="AD64" t="s">
        <v>408</v>
      </c>
      <c r="AE64" t="s">
        <v>152</v>
      </c>
      <c r="AF64" t="s">
        <v>400</v>
      </c>
      <c r="AG64" t="s">
        <v>400</v>
      </c>
      <c r="AH64" t="s">
        <v>400</v>
      </c>
      <c r="AI64" t="s">
        <v>470</v>
      </c>
      <c r="AJ64" t="s">
        <v>400</v>
      </c>
      <c r="AK64" t="s">
        <v>400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 s="58">
        <f t="shared" si="0"/>
        <v>1</v>
      </c>
      <c r="AU64" s="79" t="s">
        <v>658</v>
      </c>
      <c r="AV64" s="78" t="s">
        <v>410</v>
      </c>
      <c r="AW64" t="s">
        <v>411</v>
      </c>
      <c r="AX64">
        <v>2</v>
      </c>
      <c r="AY64" t="s">
        <v>412</v>
      </c>
      <c r="AZ64" t="s">
        <v>408</v>
      </c>
    </row>
    <row r="65" spans="1:52" x14ac:dyDescent="0.3">
      <c r="A65">
        <v>54</v>
      </c>
      <c r="B65" t="s">
        <v>659</v>
      </c>
      <c r="C65" t="s">
        <v>154</v>
      </c>
      <c r="D65" t="s">
        <v>317</v>
      </c>
      <c r="E65" t="s">
        <v>466</v>
      </c>
      <c r="F65" t="s">
        <v>408</v>
      </c>
      <c r="G65">
        <v>3725</v>
      </c>
      <c r="H65">
        <v>3730</v>
      </c>
      <c r="I65" t="s">
        <v>660</v>
      </c>
      <c r="J65">
        <v>3100</v>
      </c>
      <c r="K65">
        <v>3101</v>
      </c>
      <c r="L65" t="s">
        <v>661</v>
      </c>
      <c r="M65">
        <v>3</v>
      </c>
      <c r="N65" t="s">
        <v>163</v>
      </c>
      <c r="O65" t="s">
        <v>163</v>
      </c>
      <c r="P65" t="s">
        <v>403</v>
      </c>
      <c r="Q65" t="s">
        <v>408</v>
      </c>
      <c r="R65" t="s">
        <v>657</v>
      </c>
      <c r="S65">
        <v>2021</v>
      </c>
      <c r="T65">
        <v>11</v>
      </c>
      <c r="U65" t="s">
        <v>408</v>
      </c>
      <c r="V65" t="s">
        <v>662</v>
      </c>
      <c r="W65">
        <v>2015</v>
      </c>
      <c r="X65">
        <v>12</v>
      </c>
      <c r="Y65" t="s">
        <v>408</v>
      </c>
      <c r="Z65">
        <v>2021</v>
      </c>
      <c r="AA65">
        <v>2015</v>
      </c>
      <c r="AB65" s="5">
        <v>0.87530898192499995</v>
      </c>
      <c r="AC65" s="5">
        <v>1.7506179638499999</v>
      </c>
      <c r="AD65" t="s">
        <v>408</v>
      </c>
      <c r="AE65" t="s">
        <v>152</v>
      </c>
      <c r="AF65" t="s">
        <v>400</v>
      </c>
      <c r="AG65" t="s">
        <v>400</v>
      </c>
      <c r="AH65" t="s">
        <v>400</v>
      </c>
      <c r="AI65" t="s">
        <v>470</v>
      </c>
      <c r="AJ65" t="s">
        <v>400</v>
      </c>
      <c r="AK65" t="s">
        <v>400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s="58">
        <f t="shared" si="0"/>
        <v>1</v>
      </c>
      <c r="AU65" s="79" t="s">
        <v>457</v>
      </c>
      <c r="AV65" s="78" t="s">
        <v>410</v>
      </c>
      <c r="AW65" t="s">
        <v>411</v>
      </c>
      <c r="AX65">
        <v>2</v>
      </c>
      <c r="AY65" t="s">
        <v>412</v>
      </c>
      <c r="AZ65" t="s">
        <v>408</v>
      </c>
    </row>
    <row r="66" spans="1:52" x14ac:dyDescent="0.3">
      <c r="A66">
        <v>55</v>
      </c>
      <c r="B66" t="s">
        <v>557</v>
      </c>
      <c r="C66" t="s">
        <v>152</v>
      </c>
      <c r="D66" t="s">
        <v>558</v>
      </c>
      <c r="E66" t="s">
        <v>460</v>
      </c>
      <c r="F66" t="s">
        <v>400</v>
      </c>
      <c r="G66">
        <v>400</v>
      </c>
      <c r="H66">
        <v>401</v>
      </c>
      <c r="I66" t="s">
        <v>663</v>
      </c>
      <c r="J66">
        <v>446</v>
      </c>
      <c r="K66">
        <v>439</v>
      </c>
      <c r="L66" t="s">
        <v>664</v>
      </c>
      <c r="M66">
        <v>3</v>
      </c>
      <c r="N66" t="s">
        <v>163</v>
      </c>
      <c r="O66" t="s">
        <v>163</v>
      </c>
      <c r="P66" t="s">
        <v>403</v>
      </c>
      <c r="Q66" t="s">
        <v>408</v>
      </c>
      <c r="R66" t="s">
        <v>665</v>
      </c>
      <c r="S66">
        <v>0</v>
      </c>
      <c r="T66">
        <v>0</v>
      </c>
      <c r="U66" t="s">
        <v>408</v>
      </c>
      <c r="V66" t="s">
        <v>408</v>
      </c>
      <c r="W66">
        <v>0</v>
      </c>
      <c r="X66">
        <v>0</v>
      </c>
      <c r="Y66" t="s">
        <v>408</v>
      </c>
      <c r="Z66">
        <v>0</v>
      </c>
      <c r="AA66">
        <v>0</v>
      </c>
      <c r="AB66" s="5">
        <v>0.11058282541800001</v>
      </c>
      <c r="AC66" s="5">
        <v>0.22116565083600001</v>
      </c>
      <c r="AD66" t="s">
        <v>400</v>
      </c>
      <c r="AE66" t="s">
        <v>400</v>
      </c>
      <c r="AF66" t="s">
        <v>400</v>
      </c>
      <c r="AG66" t="s">
        <v>400</v>
      </c>
      <c r="AH66" t="s">
        <v>400</v>
      </c>
      <c r="AI66" t="s">
        <v>438</v>
      </c>
      <c r="AJ66" t="s">
        <v>400</v>
      </c>
      <c r="AK66" t="s">
        <v>408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 s="58">
        <f t="shared" si="0"/>
        <v>1</v>
      </c>
      <c r="AU66" s="79" t="s">
        <v>666</v>
      </c>
      <c r="AV66" t="s">
        <v>410</v>
      </c>
      <c r="AW66" t="s">
        <v>411</v>
      </c>
      <c r="AX66">
        <v>1</v>
      </c>
      <c r="AY66" t="s">
        <v>412</v>
      </c>
      <c r="AZ66">
        <v>30</v>
      </c>
    </row>
    <row r="67" spans="1:52" x14ac:dyDescent="0.3">
      <c r="A67">
        <v>56</v>
      </c>
      <c r="B67" t="s">
        <v>667</v>
      </c>
      <c r="C67" t="s">
        <v>154</v>
      </c>
      <c r="D67" t="s">
        <v>668</v>
      </c>
      <c r="E67" t="s">
        <v>460</v>
      </c>
      <c r="F67" t="s">
        <v>408</v>
      </c>
      <c r="G67">
        <v>4001</v>
      </c>
      <c r="H67">
        <v>4000</v>
      </c>
      <c r="I67" t="s">
        <v>669</v>
      </c>
      <c r="J67">
        <v>4401</v>
      </c>
      <c r="K67">
        <v>4400</v>
      </c>
      <c r="L67" t="s">
        <v>670</v>
      </c>
      <c r="M67">
        <v>3</v>
      </c>
      <c r="N67" t="s">
        <v>167</v>
      </c>
      <c r="O67" t="s">
        <v>167</v>
      </c>
      <c r="P67" t="s">
        <v>420</v>
      </c>
      <c r="Q67" t="s">
        <v>408</v>
      </c>
      <c r="R67" t="s">
        <v>671</v>
      </c>
      <c r="S67">
        <v>2002</v>
      </c>
      <c r="T67">
        <v>9</v>
      </c>
      <c r="U67" t="s">
        <v>672</v>
      </c>
      <c r="V67" t="s">
        <v>487</v>
      </c>
      <c r="W67">
        <v>2020</v>
      </c>
      <c r="X67">
        <v>4</v>
      </c>
      <c r="Y67" t="s">
        <v>408</v>
      </c>
      <c r="Z67">
        <v>2020</v>
      </c>
      <c r="AA67">
        <v>2014</v>
      </c>
      <c r="AB67" s="5">
        <v>0.50700302374200001</v>
      </c>
      <c r="AC67" s="5">
        <v>1.0140060474799999</v>
      </c>
      <c r="AD67" t="s">
        <v>408</v>
      </c>
      <c r="AE67" t="s">
        <v>152</v>
      </c>
      <c r="AF67" t="s">
        <v>408</v>
      </c>
      <c r="AG67" t="s">
        <v>408</v>
      </c>
      <c r="AH67" t="s">
        <v>408</v>
      </c>
      <c r="AI67" t="s">
        <v>408</v>
      </c>
      <c r="AJ67" t="s">
        <v>408</v>
      </c>
      <c r="AK67" t="s">
        <v>411</v>
      </c>
      <c r="AL67">
        <v>2018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 s="58">
        <f t="shared" si="0"/>
        <v>1</v>
      </c>
      <c r="AU67" s="79" t="s">
        <v>592</v>
      </c>
      <c r="AV67" s="78" t="s">
        <v>410</v>
      </c>
      <c r="AW67" t="s">
        <v>408</v>
      </c>
      <c r="AX67">
        <v>2</v>
      </c>
      <c r="AY67" t="s">
        <v>412</v>
      </c>
      <c r="AZ67" t="s">
        <v>408</v>
      </c>
    </row>
    <row r="68" spans="1:52" x14ac:dyDescent="0.3">
      <c r="A68">
        <v>57</v>
      </c>
      <c r="B68" t="s">
        <v>472</v>
      </c>
      <c r="C68" t="s">
        <v>152</v>
      </c>
      <c r="D68" t="s">
        <v>473</v>
      </c>
      <c r="E68" t="s">
        <v>460</v>
      </c>
      <c r="F68" t="s">
        <v>408</v>
      </c>
      <c r="G68">
        <v>5486</v>
      </c>
      <c r="H68">
        <v>5487</v>
      </c>
      <c r="I68" t="s">
        <v>673</v>
      </c>
      <c r="J68">
        <v>6150</v>
      </c>
      <c r="K68">
        <v>6151</v>
      </c>
      <c r="L68" t="s">
        <v>674</v>
      </c>
      <c r="M68">
        <v>3</v>
      </c>
      <c r="N68" t="s">
        <v>165</v>
      </c>
      <c r="O68" t="s">
        <v>165</v>
      </c>
      <c r="P68" t="s">
        <v>403</v>
      </c>
      <c r="Q68" t="s">
        <v>408</v>
      </c>
      <c r="R68" t="s">
        <v>526</v>
      </c>
      <c r="S68">
        <v>2015</v>
      </c>
      <c r="T68">
        <v>5</v>
      </c>
      <c r="U68" t="s">
        <v>675</v>
      </c>
      <c r="V68" t="s">
        <v>454</v>
      </c>
      <c r="W68">
        <v>2018</v>
      </c>
      <c r="X68">
        <v>11</v>
      </c>
      <c r="Y68" t="s">
        <v>370</v>
      </c>
      <c r="Z68">
        <v>2018</v>
      </c>
      <c r="AA68">
        <v>2018</v>
      </c>
      <c r="AB68" s="5">
        <v>1.3672488732900001</v>
      </c>
      <c r="AC68" s="5">
        <v>2.7344977465800002</v>
      </c>
      <c r="AD68" t="s">
        <v>408</v>
      </c>
      <c r="AE68" t="s">
        <v>152</v>
      </c>
      <c r="AF68" t="s">
        <v>408</v>
      </c>
      <c r="AG68" t="s">
        <v>408</v>
      </c>
      <c r="AH68" t="s">
        <v>408</v>
      </c>
      <c r="AI68" t="s">
        <v>408</v>
      </c>
      <c r="AJ68" t="s">
        <v>408</v>
      </c>
      <c r="AK68" t="s">
        <v>408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 s="58">
        <f t="shared" si="0"/>
        <v>1</v>
      </c>
      <c r="AU68" s="79">
        <v>43332</v>
      </c>
      <c r="AV68" s="78" t="s">
        <v>410</v>
      </c>
      <c r="AW68" t="s">
        <v>152</v>
      </c>
      <c r="AX68">
        <v>2</v>
      </c>
      <c r="AY68" t="s">
        <v>412</v>
      </c>
      <c r="AZ68" t="s">
        <v>408</v>
      </c>
    </row>
    <row r="69" spans="1:52" x14ac:dyDescent="0.3">
      <c r="A69">
        <v>58</v>
      </c>
      <c r="B69" t="s">
        <v>676</v>
      </c>
      <c r="C69" t="s">
        <v>155</v>
      </c>
      <c r="D69" t="s">
        <v>677</v>
      </c>
      <c r="E69" t="s">
        <v>466</v>
      </c>
      <c r="F69" t="s">
        <v>408</v>
      </c>
      <c r="G69">
        <v>2420</v>
      </c>
      <c r="H69">
        <v>2421</v>
      </c>
      <c r="I69" t="s">
        <v>491</v>
      </c>
      <c r="J69">
        <v>2100</v>
      </c>
      <c r="K69">
        <v>2101</v>
      </c>
      <c r="L69" t="s">
        <v>678</v>
      </c>
      <c r="M69">
        <v>4</v>
      </c>
      <c r="N69" t="s">
        <v>165</v>
      </c>
      <c r="O69" t="s">
        <v>165</v>
      </c>
      <c r="P69" t="s">
        <v>420</v>
      </c>
      <c r="Q69" t="s">
        <v>408</v>
      </c>
      <c r="R69" t="s">
        <v>653</v>
      </c>
      <c r="S69">
        <v>2012</v>
      </c>
      <c r="T69">
        <v>12</v>
      </c>
      <c r="U69" t="s">
        <v>452</v>
      </c>
      <c r="V69" t="s">
        <v>679</v>
      </c>
      <c r="W69">
        <v>2017</v>
      </c>
      <c r="X69">
        <v>4</v>
      </c>
      <c r="Y69" t="s">
        <v>408</v>
      </c>
      <c r="Z69">
        <v>2017</v>
      </c>
      <c r="AA69">
        <v>0</v>
      </c>
      <c r="AB69" s="5">
        <v>0.33615116805099998</v>
      </c>
      <c r="AC69" s="5">
        <v>0.67230233610199996</v>
      </c>
      <c r="AD69" t="s">
        <v>408</v>
      </c>
      <c r="AE69" t="s">
        <v>152</v>
      </c>
      <c r="AF69" t="s">
        <v>408</v>
      </c>
      <c r="AG69" t="s">
        <v>408</v>
      </c>
      <c r="AH69" t="s">
        <v>408</v>
      </c>
      <c r="AI69" t="s">
        <v>408</v>
      </c>
      <c r="AJ69" t="s">
        <v>408</v>
      </c>
      <c r="AK69" t="s">
        <v>408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s="58">
        <f t="shared" si="0"/>
        <v>1</v>
      </c>
      <c r="AU69" s="79">
        <v>43339</v>
      </c>
      <c r="AV69" s="78" t="s">
        <v>410</v>
      </c>
      <c r="AW69" t="s">
        <v>152</v>
      </c>
      <c r="AX69">
        <v>2</v>
      </c>
      <c r="AY69" t="s">
        <v>412</v>
      </c>
      <c r="AZ69" t="s">
        <v>408</v>
      </c>
    </row>
    <row r="70" spans="1:52" x14ac:dyDescent="0.3">
      <c r="A70">
        <v>59</v>
      </c>
      <c r="B70" t="s">
        <v>680</v>
      </c>
      <c r="C70" t="s">
        <v>154</v>
      </c>
      <c r="D70" t="s">
        <v>681</v>
      </c>
      <c r="E70" t="s">
        <v>466</v>
      </c>
      <c r="F70" t="s">
        <v>408</v>
      </c>
      <c r="G70">
        <v>2935</v>
      </c>
      <c r="H70">
        <v>2914</v>
      </c>
      <c r="I70" t="s">
        <v>682</v>
      </c>
      <c r="J70">
        <v>2801</v>
      </c>
      <c r="K70">
        <v>2800</v>
      </c>
      <c r="L70" t="s">
        <v>683</v>
      </c>
      <c r="M70">
        <v>4</v>
      </c>
      <c r="N70" t="s">
        <v>165</v>
      </c>
      <c r="O70" t="s">
        <v>165</v>
      </c>
      <c r="P70" t="s">
        <v>420</v>
      </c>
      <c r="Q70" t="s">
        <v>408</v>
      </c>
      <c r="R70" t="s">
        <v>653</v>
      </c>
      <c r="S70">
        <v>2012</v>
      </c>
      <c r="T70">
        <v>12</v>
      </c>
      <c r="U70" t="s">
        <v>452</v>
      </c>
      <c r="V70" t="s">
        <v>662</v>
      </c>
      <c r="W70">
        <v>2015</v>
      </c>
      <c r="X70">
        <v>11</v>
      </c>
      <c r="Y70" t="s">
        <v>370</v>
      </c>
      <c r="Z70">
        <v>2015</v>
      </c>
      <c r="AA70">
        <v>2015</v>
      </c>
      <c r="AB70" s="5">
        <v>0.18217297741999999</v>
      </c>
      <c r="AC70" s="5">
        <v>0.36434595483999999</v>
      </c>
      <c r="AD70" t="s">
        <v>408</v>
      </c>
      <c r="AE70" t="s">
        <v>152</v>
      </c>
      <c r="AF70" t="s">
        <v>408</v>
      </c>
      <c r="AG70" t="s">
        <v>408</v>
      </c>
      <c r="AH70" t="s">
        <v>408</v>
      </c>
      <c r="AI70" t="s">
        <v>408</v>
      </c>
      <c r="AJ70" t="s">
        <v>408</v>
      </c>
      <c r="AK70" t="s">
        <v>408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s="58">
        <f t="shared" si="0"/>
        <v>1</v>
      </c>
      <c r="AU70" s="79">
        <v>43339</v>
      </c>
      <c r="AV70" t="s">
        <v>410</v>
      </c>
      <c r="AW70" t="s">
        <v>152</v>
      </c>
      <c r="AX70">
        <v>2</v>
      </c>
      <c r="AY70" t="s">
        <v>412</v>
      </c>
      <c r="AZ70" t="s">
        <v>408</v>
      </c>
    </row>
    <row r="71" spans="1:52" x14ac:dyDescent="0.3">
      <c r="A71">
        <v>60</v>
      </c>
      <c r="B71" t="s">
        <v>684</v>
      </c>
      <c r="C71" t="s">
        <v>152</v>
      </c>
      <c r="D71" t="s">
        <v>684</v>
      </c>
      <c r="E71" t="s">
        <v>400</v>
      </c>
      <c r="F71" t="s">
        <v>400</v>
      </c>
      <c r="G71">
        <v>4400</v>
      </c>
      <c r="H71">
        <v>4401</v>
      </c>
      <c r="I71" t="s">
        <v>685</v>
      </c>
      <c r="J71">
        <v>4600</v>
      </c>
      <c r="K71">
        <v>4601</v>
      </c>
      <c r="L71" t="s">
        <v>686</v>
      </c>
      <c r="M71">
        <v>3</v>
      </c>
      <c r="N71" t="s">
        <v>163</v>
      </c>
      <c r="O71" t="s">
        <v>163</v>
      </c>
      <c r="P71" t="s">
        <v>420</v>
      </c>
      <c r="Q71" t="s">
        <v>687</v>
      </c>
      <c r="R71" t="s">
        <v>526</v>
      </c>
      <c r="S71">
        <v>2014</v>
      </c>
      <c r="T71">
        <v>6</v>
      </c>
      <c r="U71" t="s">
        <v>452</v>
      </c>
      <c r="V71" t="s">
        <v>511</v>
      </c>
      <c r="W71">
        <v>2018</v>
      </c>
      <c r="X71">
        <v>8</v>
      </c>
      <c r="Y71" t="s">
        <v>408</v>
      </c>
      <c r="Z71">
        <v>2018</v>
      </c>
      <c r="AA71">
        <v>0</v>
      </c>
      <c r="AB71" s="5">
        <v>0.277600411298</v>
      </c>
      <c r="AC71" s="5">
        <v>0.55520082259600001</v>
      </c>
      <c r="AD71" t="s">
        <v>408</v>
      </c>
      <c r="AE71" t="s">
        <v>152</v>
      </c>
      <c r="AF71" t="s">
        <v>408</v>
      </c>
      <c r="AG71" t="s">
        <v>408</v>
      </c>
      <c r="AH71" t="s">
        <v>152</v>
      </c>
      <c r="AI71" t="s">
        <v>470</v>
      </c>
      <c r="AJ71" t="s">
        <v>400</v>
      </c>
      <c r="AK71" t="s">
        <v>408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58">
        <f t="shared" si="0"/>
        <v>1</v>
      </c>
      <c r="AU71" s="79" t="s">
        <v>457</v>
      </c>
      <c r="AV71" t="s">
        <v>410</v>
      </c>
      <c r="AW71" t="s">
        <v>411</v>
      </c>
      <c r="AX71">
        <v>1</v>
      </c>
      <c r="AY71" t="s">
        <v>412</v>
      </c>
      <c r="AZ71" t="s">
        <v>408</v>
      </c>
    </row>
    <row r="72" spans="1:52" x14ac:dyDescent="0.3">
      <c r="A72">
        <v>61</v>
      </c>
      <c r="B72" t="s">
        <v>688</v>
      </c>
      <c r="C72" t="s">
        <v>155</v>
      </c>
      <c r="D72" t="s">
        <v>689</v>
      </c>
      <c r="E72" t="s">
        <v>426</v>
      </c>
      <c r="F72" t="s">
        <v>408</v>
      </c>
      <c r="G72">
        <v>5033</v>
      </c>
      <c r="H72">
        <v>5032</v>
      </c>
      <c r="I72" t="s">
        <v>639</v>
      </c>
      <c r="J72">
        <v>3859</v>
      </c>
      <c r="K72">
        <v>3858</v>
      </c>
      <c r="L72" t="s">
        <v>690</v>
      </c>
      <c r="M72">
        <v>3</v>
      </c>
      <c r="N72" t="s">
        <v>165</v>
      </c>
      <c r="O72" t="s">
        <v>165</v>
      </c>
      <c r="P72" t="s">
        <v>403</v>
      </c>
      <c r="Q72" t="s">
        <v>408</v>
      </c>
      <c r="R72" t="s">
        <v>691</v>
      </c>
      <c r="S72">
        <v>2012</v>
      </c>
      <c r="T72">
        <v>11</v>
      </c>
      <c r="U72" t="s">
        <v>408</v>
      </c>
      <c r="V72" t="s">
        <v>692</v>
      </c>
      <c r="W72">
        <v>2014</v>
      </c>
      <c r="X72">
        <v>7</v>
      </c>
      <c r="Y72" t="s">
        <v>370</v>
      </c>
      <c r="Z72">
        <v>2014</v>
      </c>
      <c r="AA72">
        <v>2014</v>
      </c>
      <c r="AB72" s="5">
        <v>1.62706685472</v>
      </c>
      <c r="AC72" s="5">
        <v>3.25413370944</v>
      </c>
      <c r="AD72" t="s">
        <v>408</v>
      </c>
      <c r="AE72" t="s">
        <v>152</v>
      </c>
      <c r="AF72" t="s">
        <v>408</v>
      </c>
      <c r="AG72" t="s">
        <v>408</v>
      </c>
      <c r="AH72" t="s">
        <v>408</v>
      </c>
      <c r="AI72" t="s">
        <v>408</v>
      </c>
      <c r="AJ72" t="s">
        <v>408</v>
      </c>
      <c r="AK72" t="s">
        <v>408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s="58">
        <f t="shared" si="0"/>
        <v>1</v>
      </c>
      <c r="AU72" s="79">
        <v>43349</v>
      </c>
      <c r="AV72" s="78" t="s">
        <v>410</v>
      </c>
      <c r="AW72" t="s">
        <v>411</v>
      </c>
      <c r="AX72">
        <v>2</v>
      </c>
      <c r="AY72" t="s">
        <v>412</v>
      </c>
      <c r="AZ72" t="s">
        <v>408</v>
      </c>
    </row>
    <row r="73" spans="1:52" x14ac:dyDescent="0.3">
      <c r="A73">
        <v>62</v>
      </c>
      <c r="B73" t="s">
        <v>693</v>
      </c>
      <c r="C73" t="s">
        <v>152</v>
      </c>
      <c r="D73" t="s">
        <v>694</v>
      </c>
      <c r="E73" t="s">
        <v>460</v>
      </c>
      <c r="F73" t="s">
        <v>408</v>
      </c>
      <c r="G73">
        <v>1601</v>
      </c>
      <c r="H73">
        <v>1600</v>
      </c>
      <c r="I73" t="s">
        <v>541</v>
      </c>
      <c r="J73">
        <v>1960</v>
      </c>
      <c r="K73">
        <v>1961</v>
      </c>
      <c r="L73" t="s">
        <v>479</v>
      </c>
      <c r="M73">
        <v>3</v>
      </c>
      <c r="N73" t="s">
        <v>167</v>
      </c>
      <c r="O73" t="s">
        <v>167</v>
      </c>
      <c r="P73" t="s">
        <v>420</v>
      </c>
      <c r="Q73" t="s">
        <v>408</v>
      </c>
      <c r="R73" t="s">
        <v>510</v>
      </c>
      <c r="S73">
        <v>2002</v>
      </c>
      <c r="T73">
        <v>8</v>
      </c>
      <c r="U73" t="s">
        <v>408</v>
      </c>
      <c r="V73" t="s">
        <v>695</v>
      </c>
      <c r="W73">
        <v>2020</v>
      </c>
      <c r="X73">
        <v>0</v>
      </c>
      <c r="Y73" t="s">
        <v>370</v>
      </c>
      <c r="Z73">
        <v>2020</v>
      </c>
      <c r="AA73">
        <v>2020</v>
      </c>
      <c r="AB73" s="5">
        <v>0.50509349501599998</v>
      </c>
      <c r="AC73" s="5">
        <v>1.01018699003</v>
      </c>
      <c r="AD73" t="s">
        <v>408</v>
      </c>
      <c r="AE73" t="s">
        <v>152</v>
      </c>
      <c r="AF73" t="s">
        <v>408</v>
      </c>
      <c r="AG73" t="s">
        <v>408</v>
      </c>
      <c r="AH73" t="s">
        <v>408</v>
      </c>
      <c r="AI73" t="s">
        <v>408</v>
      </c>
      <c r="AJ73" t="s">
        <v>408</v>
      </c>
      <c r="AK73" t="s">
        <v>408</v>
      </c>
      <c r="AL73">
        <v>0</v>
      </c>
      <c r="AM73">
        <v>0</v>
      </c>
      <c r="AN73">
        <v>0.5</v>
      </c>
      <c r="AO73">
        <v>0.5</v>
      </c>
      <c r="AP73">
        <v>0</v>
      </c>
      <c r="AQ73">
        <v>0</v>
      </c>
      <c r="AR73">
        <v>0</v>
      </c>
      <c r="AS73">
        <v>0</v>
      </c>
      <c r="AT73" s="58">
        <f t="shared" si="0"/>
        <v>1</v>
      </c>
      <c r="AU73" s="79" t="s">
        <v>431</v>
      </c>
      <c r="AV73" s="78" t="s">
        <v>410</v>
      </c>
      <c r="AW73" t="s">
        <v>408</v>
      </c>
      <c r="AX73">
        <v>2</v>
      </c>
      <c r="AY73" t="s">
        <v>412</v>
      </c>
      <c r="AZ73" t="s">
        <v>408</v>
      </c>
    </row>
    <row r="74" spans="1:52" x14ac:dyDescent="0.3">
      <c r="A74">
        <v>63</v>
      </c>
      <c r="B74" t="s">
        <v>549</v>
      </c>
      <c r="C74" t="s">
        <v>155</v>
      </c>
      <c r="D74" t="s">
        <v>330</v>
      </c>
      <c r="E74" t="s">
        <v>460</v>
      </c>
      <c r="F74" t="s">
        <v>408</v>
      </c>
      <c r="G74">
        <v>9484</v>
      </c>
      <c r="H74">
        <v>9483</v>
      </c>
      <c r="I74" t="s">
        <v>696</v>
      </c>
      <c r="J74">
        <v>9388</v>
      </c>
      <c r="K74">
        <v>9389</v>
      </c>
      <c r="L74" t="s">
        <v>550</v>
      </c>
      <c r="M74">
        <v>3</v>
      </c>
      <c r="N74" t="s">
        <v>167</v>
      </c>
      <c r="O74" t="s">
        <v>167</v>
      </c>
      <c r="P74" t="s">
        <v>420</v>
      </c>
      <c r="Q74" t="s">
        <v>408</v>
      </c>
      <c r="R74" t="s">
        <v>697</v>
      </c>
      <c r="S74">
        <v>1996</v>
      </c>
      <c r="T74">
        <v>5</v>
      </c>
      <c r="U74" t="s">
        <v>408</v>
      </c>
      <c r="V74" t="s">
        <v>469</v>
      </c>
      <c r="W74">
        <v>2018</v>
      </c>
      <c r="X74">
        <v>5</v>
      </c>
      <c r="Y74" t="s">
        <v>408</v>
      </c>
      <c r="Z74">
        <v>2018</v>
      </c>
      <c r="AA74">
        <v>2000</v>
      </c>
      <c r="AB74" s="5">
        <v>0.19261416189</v>
      </c>
      <c r="AC74" s="5">
        <v>0.38522832377999999</v>
      </c>
      <c r="AD74" t="s">
        <v>408</v>
      </c>
      <c r="AE74" t="s">
        <v>152</v>
      </c>
      <c r="AF74" t="s">
        <v>408</v>
      </c>
      <c r="AG74" t="s">
        <v>408</v>
      </c>
      <c r="AH74" t="s">
        <v>408</v>
      </c>
      <c r="AI74" t="s">
        <v>408</v>
      </c>
      <c r="AJ74" t="s">
        <v>408</v>
      </c>
      <c r="AK74" t="s">
        <v>411</v>
      </c>
      <c r="AL74">
        <v>2018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 s="58">
        <f t="shared" si="0"/>
        <v>1</v>
      </c>
      <c r="AU74" s="79">
        <v>43336</v>
      </c>
      <c r="AV74" s="78" t="s">
        <v>410</v>
      </c>
      <c r="AW74" t="s">
        <v>408</v>
      </c>
      <c r="AX74">
        <v>2</v>
      </c>
      <c r="AY74" t="s">
        <v>412</v>
      </c>
      <c r="AZ74" t="s">
        <v>408</v>
      </c>
    </row>
    <row r="75" spans="1:52" x14ac:dyDescent="0.3">
      <c r="A75">
        <v>64</v>
      </c>
      <c r="B75" t="s">
        <v>557</v>
      </c>
      <c r="C75" t="s">
        <v>152</v>
      </c>
      <c r="D75" t="s">
        <v>558</v>
      </c>
      <c r="E75" t="s">
        <v>460</v>
      </c>
      <c r="F75" t="s">
        <v>400</v>
      </c>
      <c r="G75">
        <v>1000</v>
      </c>
      <c r="H75">
        <v>1001</v>
      </c>
      <c r="I75" t="s">
        <v>698</v>
      </c>
      <c r="J75">
        <v>1200</v>
      </c>
      <c r="K75">
        <v>1201</v>
      </c>
      <c r="L75" t="s">
        <v>699</v>
      </c>
      <c r="M75">
        <v>3</v>
      </c>
      <c r="N75" t="s">
        <v>163</v>
      </c>
      <c r="O75" t="s">
        <v>163</v>
      </c>
      <c r="P75" t="s">
        <v>403</v>
      </c>
      <c r="Q75" t="s">
        <v>700</v>
      </c>
      <c r="R75" t="s">
        <v>437</v>
      </c>
      <c r="S75">
        <v>2022</v>
      </c>
      <c r="T75">
        <v>11</v>
      </c>
      <c r="U75" t="s">
        <v>408</v>
      </c>
      <c r="V75" t="s">
        <v>408</v>
      </c>
      <c r="W75">
        <v>0</v>
      </c>
      <c r="X75">
        <v>0</v>
      </c>
      <c r="Y75" t="s">
        <v>408</v>
      </c>
      <c r="Z75">
        <v>2022</v>
      </c>
      <c r="AA75">
        <v>2022</v>
      </c>
      <c r="AB75" s="5">
        <v>0.37478701945499998</v>
      </c>
      <c r="AC75" s="5">
        <v>0.74957403890999996</v>
      </c>
      <c r="AD75" t="s">
        <v>400</v>
      </c>
      <c r="AE75" t="s">
        <v>152</v>
      </c>
      <c r="AF75" t="s">
        <v>400</v>
      </c>
      <c r="AG75" t="s">
        <v>400</v>
      </c>
      <c r="AH75" t="s">
        <v>400</v>
      </c>
      <c r="AI75" t="s">
        <v>438</v>
      </c>
      <c r="AJ75" t="s">
        <v>400</v>
      </c>
      <c r="AK75" t="s">
        <v>400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s="58">
        <f t="shared" ref="AT75:AT138" si="1">SUM(AM75:AS75)</f>
        <v>1</v>
      </c>
      <c r="AU75" s="79" t="s">
        <v>439</v>
      </c>
      <c r="AV75" s="78" t="s">
        <v>410</v>
      </c>
      <c r="AW75" t="s">
        <v>411</v>
      </c>
      <c r="AX75">
        <v>2</v>
      </c>
      <c r="AY75" t="s">
        <v>412</v>
      </c>
      <c r="AZ75">
        <v>30</v>
      </c>
    </row>
    <row r="76" spans="1:52" x14ac:dyDescent="0.3">
      <c r="A76">
        <v>65</v>
      </c>
      <c r="B76" t="s">
        <v>477</v>
      </c>
      <c r="C76" t="s">
        <v>155</v>
      </c>
      <c r="D76" t="s">
        <v>478</v>
      </c>
      <c r="E76" t="s">
        <v>417</v>
      </c>
      <c r="F76" t="s">
        <v>408</v>
      </c>
      <c r="G76">
        <v>6900</v>
      </c>
      <c r="H76">
        <v>6901</v>
      </c>
      <c r="I76" t="s">
        <v>520</v>
      </c>
      <c r="J76">
        <v>6700</v>
      </c>
      <c r="K76">
        <v>6701</v>
      </c>
      <c r="L76" t="s">
        <v>701</v>
      </c>
      <c r="M76">
        <v>2</v>
      </c>
      <c r="N76" t="s">
        <v>165</v>
      </c>
      <c r="O76" t="s">
        <v>165</v>
      </c>
      <c r="P76" t="s">
        <v>420</v>
      </c>
      <c r="Q76" t="s">
        <v>702</v>
      </c>
      <c r="R76" t="s">
        <v>703</v>
      </c>
      <c r="S76">
        <v>2014</v>
      </c>
      <c r="T76">
        <v>5</v>
      </c>
      <c r="U76" t="s">
        <v>408</v>
      </c>
      <c r="V76" t="s">
        <v>408</v>
      </c>
      <c r="W76">
        <v>0</v>
      </c>
      <c r="X76">
        <v>0</v>
      </c>
      <c r="Y76" t="s">
        <v>408</v>
      </c>
      <c r="Z76">
        <v>2014</v>
      </c>
      <c r="AA76">
        <v>0</v>
      </c>
      <c r="AB76" s="5">
        <v>0.250911866963</v>
      </c>
      <c r="AC76" s="5">
        <v>0.50182373392599999</v>
      </c>
      <c r="AD76" t="s">
        <v>408</v>
      </c>
      <c r="AE76" t="s">
        <v>152</v>
      </c>
      <c r="AF76" t="s">
        <v>408</v>
      </c>
      <c r="AG76" t="s">
        <v>408</v>
      </c>
      <c r="AH76" t="s">
        <v>408</v>
      </c>
      <c r="AI76" t="s">
        <v>408</v>
      </c>
      <c r="AJ76" t="s">
        <v>408</v>
      </c>
      <c r="AK76" t="s">
        <v>408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s="58">
        <f t="shared" si="1"/>
        <v>1</v>
      </c>
      <c r="AU76" s="79">
        <v>43333</v>
      </c>
      <c r="AV76" s="78" t="s">
        <v>410</v>
      </c>
      <c r="AW76" t="s">
        <v>152</v>
      </c>
      <c r="AX76">
        <v>2</v>
      </c>
      <c r="AY76" t="s">
        <v>412</v>
      </c>
      <c r="AZ76" t="s">
        <v>408</v>
      </c>
    </row>
    <row r="77" spans="1:52" x14ac:dyDescent="0.3">
      <c r="A77">
        <v>66</v>
      </c>
      <c r="B77" t="s">
        <v>704</v>
      </c>
      <c r="C77" t="s">
        <v>154</v>
      </c>
      <c r="D77" t="s">
        <v>705</v>
      </c>
      <c r="E77" t="s">
        <v>460</v>
      </c>
      <c r="F77" t="s">
        <v>447</v>
      </c>
      <c r="G77">
        <v>1101</v>
      </c>
      <c r="H77">
        <v>1100</v>
      </c>
      <c r="I77" t="s">
        <v>706</v>
      </c>
      <c r="J77">
        <v>1039</v>
      </c>
      <c r="K77">
        <v>1038</v>
      </c>
      <c r="L77" t="s">
        <v>707</v>
      </c>
      <c r="M77">
        <v>4</v>
      </c>
      <c r="N77" t="s">
        <v>168</v>
      </c>
      <c r="O77" t="s">
        <v>170</v>
      </c>
      <c r="P77" t="s">
        <v>420</v>
      </c>
      <c r="Q77" t="s">
        <v>408</v>
      </c>
      <c r="R77" t="s">
        <v>679</v>
      </c>
      <c r="S77">
        <v>2017</v>
      </c>
      <c r="T77">
        <v>9</v>
      </c>
      <c r="U77" t="s">
        <v>708</v>
      </c>
      <c r="V77" t="s">
        <v>408</v>
      </c>
      <c r="W77">
        <v>0</v>
      </c>
      <c r="X77">
        <v>0</v>
      </c>
      <c r="Y77" t="s">
        <v>408</v>
      </c>
      <c r="Z77">
        <v>2017</v>
      </c>
      <c r="AA77">
        <v>2011</v>
      </c>
      <c r="AB77" s="5">
        <v>7.2090842686300005E-2</v>
      </c>
      <c r="AC77" s="5">
        <v>0.144181685373</v>
      </c>
      <c r="AD77" t="s">
        <v>408</v>
      </c>
      <c r="AE77" t="s">
        <v>152</v>
      </c>
      <c r="AF77" t="s">
        <v>408</v>
      </c>
      <c r="AG77" t="s">
        <v>411</v>
      </c>
      <c r="AH77" t="s">
        <v>408</v>
      </c>
      <c r="AI77" t="s">
        <v>408</v>
      </c>
      <c r="AJ77" t="s">
        <v>408</v>
      </c>
      <c r="AK77" t="s">
        <v>408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58">
        <f t="shared" si="1"/>
        <v>1</v>
      </c>
      <c r="AU77" s="79">
        <v>43340</v>
      </c>
      <c r="AV77" t="s">
        <v>410</v>
      </c>
      <c r="AW77" t="s">
        <v>408</v>
      </c>
      <c r="AX77">
        <v>3</v>
      </c>
      <c r="AY77" t="s">
        <v>17</v>
      </c>
      <c r="AZ77" t="s">
        <v>408</v>
      </c>
    </row>
    <row r="78" spans="1:52" x14ac:dyDescent="0.3">
      <c r="A78">
        <v>67</v>
      </c>
      <c r="B78" t="s">
        <v>709</v>
      </c>
      <c r="C78" t="s">
        <v>154</v>
      </c>
      <c r="D78" t="s">
        <v>710</v>
      </c>
      <c r="E78" t="s">
        <v>460</v>
      </c>
      <c r="F78" t="s">
        <v>408</v>
      </c>
      <c r="G78">
        <v>1068</v>
      </c>
      <c r="H78">
        <v>1069</v>
      </c>
      <c r="I78" t="s">
        <v>706</v>
      </c>
      <c r="J78">
        <v>753</v>
      </c>
      <c r="K78">
        <v>748</v>
      </c>
      <c r="L78" t="s">
        <v>711</v>
      </c>
      <c r="M78">
        <v>2</v>
      </c>
      <c r="N78" t="s">
        <v>170</v>
      </c>
      <c r="O78" t="s">
        <v>170</v>
      </c>
      <c r="P78" t="s">
        <v>420</v>
      </c>
      <c r="Q78" t="s">
        <v>408</v>
      </c>
      <c r="R78" t="s">
        <v>712</v>
      </c>
      <c r="S78">
        <v>2007</v>
      </c>
      <c r="T78">
        <v>10</v>
      </c>
      <c r="U78" t="s">
        <v>408</v>
      </c>
      <c r="V78" t="s">
        <v>713</v>
      </c>
      <c r="W78">
        <v>2021</v>
      </c>
      <c r="X78">
        <v>6</v>
      </c>
      <c r="Y78" t="s">
        <v>408</v>
      </c>
      <c r="Z78">
        <v>2021</v>
      </c>
      <c r="AA78">
        <v>2021</v>
      </c>
      <c r="AB78" s="5">
        <v>0.41162123546899998</v>
      </c>
      <c r="AC78" s="5">
        <v>0.82324247093799996</v>
      </c>
      <c r="AD78" t="s">
        <v>408</v>
      </c>
      <c r="AE78" t="s">
        <v>152</v>
      </c>
      <c r="AF78" t="s">
        <v>408</v>
      </c>
      <c r="AG78" t="s">
        <v>408</v>
      </c>
      <c r="AH78" t="s">
        <v>408</v>
      </c>
      <c r="AI78" t="s">
        <v>408</v>
      </c>
      <c r="AJ78" t="s">
        <v>408</v>
      </c>
      <c r="AK78" t="s">
        <v>408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58">
        <f t="shared" si="1"/>
        <v>1</v>
      </c>
      <c r="AU78" s="79" t="s">
        <v>714</v>
      </c>
      <c r="AV78" s="78" t="s">
        <v>410</v>
      </c>
      <c r="AW78" t="s">
        <v>152</v>
      </c>
      <c r="AX78">
        <v>2</v>
      </c>
      <c r="AY78" t="s">
        <v>412</v>
      </c>
      <c r="AZ78" t="s">
        <v>408</v>
      </c>
    </row>
    <row r="79" spans="1:52" x14ac:dyDescent="0.3">
      <c r="A79">
        <v>68</v>
      </c>
      <c r="B79" t="s">
        <v>715</v>
      </c>
      <c r="C79" t="s">
        <v>152</v>
      </c>
      <c r="D79" t="s">
        <v>716</v>
      </c>
      <c r="E79" t="s">
        <v>460</v>
      </c>
      <c r="F79" t="s">
        <v>408</v>
      </c>
      <c r="G79">
        <v>4000</v>
      </c>
      <c r="H79">
        <v>4001</v>
      </c>
      <c r="I79" t="s">
        <v>717</v>
      </c>
      <c r="J79">
        <v>4148</v>
      </c>
      <c r="K79">
        <v>4145</v>
      </c>
      <c r="L79" t="s">
        <v>718</v>
      </c>
      <c r="M79">
        <v>3</v>
      </c>
      <c r="N79" t="s">
        <v>170</v>
      </c>
      <c r="O79" t="s">
        <v>170</v>
      </c>
      <c r="P79" t="s">
        <v>420</v>
      </c>
      <c r="Q79" t="s">
        <v>408</v>
      </c>
      <c r="R79" t="s">
        <v>719</v>
      </c>
      <c r="S79">
        <v>2005</v>
      </c>
      <c r="T79">
        <v>5</v>
      </c>
      <c r="U79" t="s">
        <v>370</v>
      </c>
      <c r="V79" t="s">
        <v>645</v>
      </c>
      <c r="W79">
        <v>2017</v>
      </c>
      <c r="X79">
        <v>7</v>
      </c>
      <c r="Y79" t="s">
        <v>408</v>
      </c>
      <c r="Z79">
        <v>2017</v>
      </c>
      <c r="AA79">
        <v>2005</v>
      </c>
      <c r="AB79" s="5">
        <v>0.225529685733</v>
      </c>
      <c r="AC79" s="5">
        <v>0.451059371466</v>
      </c>
      <c r="AD79" t="s">
        <v>408</v>
      </c>
      <c r="AE79" t="s">
        <v>152</v>
      </c>
      <c r="AF79" t="s">
        <v>408</v>
      </c>
      <c r="AG79" t="s">
        <v>408</v>
      </c>
      <c r="AH79" t="s">
        <v>408</v>
      </c>
      <c r="AI79" t="s">
        <v>408</v>
      </c>
      <c r="AJ79" t="s">
        <v>408</v>
      </c>
      <c r="AK79" t="s">
        <v>408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58">
        <f t="shared" si="1"/>
        <v>1</v>
      </c>
      <c r="AU79" s="79">
        <v>43341</v>
      </c>
      <c r="AV79" s="78" t="s">
        <v>410</v>
      </c>
      <c r="AW79" t="s">
        <v>408</v>
      </c>
      <c r="AX79">
        <v>2</v>
      </c>
      <c r="AY79" t="s">
        <v>412</v>
      </c>
      <c r="AZ79" t="s">
        <v>408</v>
      </c>
    </row>
    <row r="80" spans="1:52" x14ac:dyDescent="0.3">
      <c r="A80">
        <v>69</v>
      </c>
      <c r="B80" t="s">
        <v>720</v>
      </c>
      <c r="C80" t="s">
        <v>152</v>
      </c>
      <c r="D80" t="s">
        <v>721</v>
      </c>
      <c r="E80" t="s">
        <v>460</v>
      </c>
      <c r="F80" t="s">
        <v>408</v>
      </c>
      <c r="G80">
        <v>6046</v>
      </c>
      <c r="H80">
        <v>6037</v>
      </c>
      <c r="I80" t="s">
        <v>722</v>
      </c>
      <c r="J80">
        <v>6348</v>
      </c>
      <c r="K80">
        <v>6349</v>
      </c>
      <c r="L80" t="s">
        <v>613</v>
      </c>
      <c r="M80">
        <v>2</v>
      </c>
      <c r="N80" t="s">
        <v>167</v>
      </c>
      <c r="O80" t="s">
        <v>167</v>
      </c>
      <c r="P80" t="s">
        <v>420</v>
      </c>
      <c r="Q80" t="s">
        <v>723</v>
      </c>
      <c r="R80" t="s">
        <v>624</v>
      </c>
      <c r="S80">
        <v>2005</v>
      </c>
      <c r="T80">
        <v>10</v>
      </c>
      <c r="U80" t="s">
        <v>370</v>
      </c>
      <c r="V80" t="s">
        <v>408</v>
      </c>
      <c r="W80">
        <v>0</v>
      </c>
      <c r="X80">
        <v>0</v>
      </c>
      <c r="Y80" t="s">
        <v>408</v>
      </c>
      <c r="Z80">
        <v>2005</v>
      </c>
      <c r="AA80">
        <v>2005</v>
      </c>
      <c r="AB80" s="5">
        <v>0.41429985170700001</v>
      </c>
      <c r="AC80" s="5">
        <v>0.82859970341400002</v>
      </c>
      <c r="AD80" t="s">
        <v>408</v>
      </c>
      <c r="AE80" t="s">
        <v>152</v>
      </c>
      <c r="AF80" t="s">
        <v>408</v>
      </c>
      <c r="AG80" t="s">
        <v>408</v>
      </c>
      <c r="AH80" t="s">
        <v>408</v>
      </c>
      <c r="AI80" t="s">
        <v>408</v>
      </c>
      <c r="AJ80" t="s">
        <v>408</v>
      </c>
      <c r="AK80" t="s">
        <v>408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58">
        <f t="shared" si="1"/>
        <v>1</v>
      </c>
      <c r="AU80" s="79">
        <v>43341</v>
      </c>
      <c r="AV80" s="78" t="s">
        <v>410</v>
      </c>
      <c r="AW80" t="s">
        <v>408</v>
      </c>
      <c r="AX80">
        <v>2</v>
      </c>
      <c r="AY80" t="s">
        <v>412</v>
      </c>
      <c r="AZ80" t="s">
        <v>408</v>
      </c>
    </row>
    <row r="81" spans="1:52" x14ac:dyDescent="0.3">
      <c r="A81">
        <v>70</v>
      </c>
      <c r="B81" t="s">
        <v>724</v>
      </c>
      <c r="C81" t="s">
        <v>154</v>
      </c>
      <c r="D81" t="s">
        <v>725</v>
      </c>
      <c r="E81" t="s">
        <v>417</v>
      </c>
      <c r="F81" t="s">
        <v>408</v>
      </c>
      <c r="G81">
        <v>1959</v>
      </c>
      <c r="H81">
        <v>1958</v>
      </c>
      <c r="I81" t="s">
        <v>435</v>
      </c>
      <c r="J81">
        <v>1601</v>
      </c>
      <c r="K81">
        <v>1600</v>
      </c>
      <c r="L81" t="s">
        <v>545</v>
      </c>
      <c r="M81">
        <v>0</v>
      </c>
      <c r="N81" t="s">
        <v>168</v>
      </c>
      <c r="O81" t="s">
        <v>170</v>
      </c>
      <c r="P81" t="s">
        <v>403</v>
      </c>
      <c r="Q81" t="s">
        <v>408</v>
      </c>
      <c r="R81" t="s">
        <v>726</v>
      </c>
      <c r="S81">
        <v>2019</v>
      </c>
      <c r="T81">
        <v>7</v>
      </c>
      <c r="U81" t="s">
        <v>727</v>
      </c>
      <c r="V81" t="s">
        <v>408</v>
      </c>
      <c r="W81">
        <v>0</v>
      </c>
      <c r="X81">
        <v>0</v>
      </c>
      <c r="Y81" t="s">
        <v>408</v>
      </c>
      <c r="Z81">
        <v>2019</v>
      </c>
      <c r="AA81">
        <v>2002</v>
      </c>
      <c r="AB81" s="5">
        <v>0.50354976568999998</v>
      </c>
      <c r="AC81" s="5">
        <v>1.00709953138</v>
      </c>
      <c r="AD81" t="s">
        <v>408</v>
      </c>
      <c r="AE81" t="s">
        <v>152</v>
      </c>
      <c r="AF81" t="s">
        <v>408</v>
      </c>
      <c r="AG81" t="s">
        <v>408</v>
      </c>
      <c r="AH81" t="s">
        <v>408</v>
      </c>
      <c r="AI81" t="s">
        <v>408</v>
      </c>
      <c r="AJ81" t="s">
        <v>408</v>
      </c>
      <c r="AK81" t="s">
        <v>408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 s="58">
        <f t="shared" si="1"/>
        <v>1</v>
      </c>
      <c r="AU81" s="79">
        <v>43341</v>
      </c>
      <c r="AV81" s="78" t="s">
        <v>410</v>
      </c>
      <c r="AW81" t="s">
        <v>408</v>
      </c>
      <c r="AX81">
        <v>3</v>
      </c>
      <c r="AY81" t="s">
        <v>17</v>
      </c>
      <c r="AZ81" t="s">
        <v>408</v>
      </c>
    </row>
    <row r="82" spans="1:52" x14ac:dyDescent="0.3">
      <c r="A82">
        <v>71</v>
      </c>
      <c r="B82" t="s">
        <v>557</v>
      </c>
      <c r="C82" t="s">
        <v>152</v>
      </c>
      <c r="D82" t="s">
        <v>558</v>
      </c>
      <c r="E82" t="s">
        <v>460</v>
      </c>
      <c r="F82" t="s">
        <v>408</v>
      </c>
      <c r="G82">
        <v>1600</v>
      </c>
      <c r="H82">
        <v>1601</v>
      </c>
      <c r="I82" t="s">
        <v>435</v>
      </c>
      <c r="J82">
        <v>1300</v>
      </c>
      <c r="K82">
        <v>1301</v>
      </c>
      <c r="L82" t="s">
        <v>728</v>
      </c>
      <c r="M82">
        <v>3</v>
      </c>
      <c r="N82" t="s">
        <v>167</v>
      </c>
      <c r="O82" t="s">
        <v>569</v>
      </c>
      <c r="P82" t="s">
        <v>403</v>
      </c>
      <c r="Q82" t="s">
        <v>700</v>
      </c>
      <c r="R82" t="s">
        <v>571</v>
      </c>
      <c r="S82">
        <v>2017</v>
      </c>
      <c r="T82">
        <v>9</v>
      </c>
      <c r="U82" t="s">
        <v>729</v>
      </c>
      <c r="V82" t="s">
        <v>730</v>
      </c>
      <c r="W82">
        <v>2020</v>
      </c>
      <c r="X82">
        <v>0</v>
      </c>
      <c r="Y82" t="s">
        <v>731</v>
      </c>
      <c r="Z82">
        <v>2020</v>
      </c>
      <c r="AA82">
        <v>2020</v>
      </c>
      <c r="AB82" s="5">
        <v>0.51605856450300003</v>
      </c>
      <c r="AC82" s="5">
        <v>1.03211712901</v>
      </c>
      <c r="AD82" t="s">
        <v>408</v>
      </c>
      <c r="AE82" t="s">
        <v>152</v>
      </c>
      <c r="AF82" t="s">
        <v>408</v>
      </c>
      <c r="AG82" t="s">
        <v>408</v>
      </c>
      <c r="AH82" t="s">
        <v>408</v>
      </c>
      <c r="AI82" t="s">
        <v>408</v>
      </c>
      <c r="AJ82" t="s">
        <v>408</v>
      </c>
      <c r="AK82" t="s">
        <v>408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 s="58">
        <f t="shared" si="1"/>
        <v>1</v>
      </c>
      <c r="AU82" s="79" t="s">
        <v>732</v>
      </c>
      <c r="AV82" t="s">
        <v>410</v>
      </c>
      <c r="AW82" t="s">
        <v>408</v>
      </c>
      <c r="AX82">
        <v>2</v>
      </c>
      <c r="AY82" t="s">
        <v>412</v>
      </c>
      <c r="AZ82">
        <v>20</v>
      </c>
    </row>
    <row r="83" spans="1:52" x14ac:dyDescent="0.3">
      <c r="A83">
        <v>72</v>
      </c>
      <c r="B83" t="s">
        <v>477</v>
      </c>
      <c r="C83" t="s">
        <v>152</v>
      </c>
      <c r="D83" t="s">
        <v>478</v>
      </c>
      <c r="E83" t="s">
        <v>417</v>
      </c>
      <c r="F83" t="s">
        <v>408</v>
      </c>
      <c r="G83">
        <v>0</v>
      </c>
      <c r="H83">
        <v>0</v>
      </c>
      <c r="I83" t="s">
        <v>733</v>
      </c>
      <c r="J83">
        <v>1562</v>
      </c>
      <c r="K83">
        <v>1563</v>
      </c>
      <c r="L83" t="s">
        <v>734</v>
      </c>
      <c r="M83">
        <v>2</v>
      </c>
      <c r="N83" t="s">
        <v>165</v>
      </c>
      <c r="O83" t="s">
        <v>165</v>
      </c>
      <c r="P83" t="s">
        <v>403</v>
      </c>
      <c r="Q83" t="s">
        <v>408</v>
      </c>
      <c r="R83" t="s">
        <v>556</v>
      </c>
      <c r="S83">
        <v>2012</v>
      </c>
      <c r="T83">
        <v>10</v>
      </c>
      <c r="U83" t="s">
        <v>735</v>
      </c>
      <c r="V83" t="s">
        <v>408</v>
      </c>
      <c r="W83">
        <v>0</v>
      </c>
      <c r="X83">
        <v>0</v>
      </c>
      <c r="Y83" t="s">
        <v>408</v>
      </c>
      <c r="Z83">
        <v>2012</v>
      </c>
      <c r="AA83">
        <v>2012</v>
      </c>
      <c r="AB83" s="5">
        <v>0.17467122057500001</v>
      </c>
      <c r="AC83" s="5">
        <v>0.34934244115000002</v>
      </c>
      <c r="AD83" t="s">
        <v>400</v>
      </c>
      <c r="AE83" t="s">
        <v>152</v>
      </c>
      <c r="AF83" t="s">
        <v>400</v>
      </c>
      <c r="AG83" t="s">
        <v>400</v>
      </c>
      <c r="AH83" t="s">
        <v>400</v>
      </c>
      <c r="AI83" t="s">
        <v>408</v>
      </c>
      <c r="AJ83" t="s">
        <v>408</v>
      </c>
      <c r="AK83" t="s">
        <v>408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 s="58">
        <f t="shared" si="1"/>
        <v>1</v>
      </c>
      <c r="AU83" s="79" t="s">
        <v>602</v>
      </c>
      <c r="AV83" t="s">
        <v>410</v>
      </c>
      <c r="AW83" t="s">
        <v>411</v>
      </c>
      <c r="AX83">
        <v>2</v>
      </c>
      <c r="AY83" t="s">
        <v>412</v>
      </c>
      <c r="AZ83" t="s">
        <v>408</v>
      </c>
    </row>
    <row r="84" spans="1:52" x14ac:dyDescent="0.3">
      <c r="A84">
        <v>73</v>
      </c>
      <c r="B84" t="s">
        <v>736</v>
      </c>
      <c r="C84" t="s">
        <v>154</v>
      </c>
      <c r="D84" t="s">
        <v>737</v>
      </c>
      <c r="E84" t="s">
        <v>417</v>
      </c>
      <c r="F84" t="s">
        <v>400</v>
      </c>
      <c r="G84">
        <v>631</v>
      </c>
      <c r="H84">
        <v>630</v>
      </c>
      <c r="I84" t="s">
        <v>738</v>
      </c>
      <c r="J84">
        <v>201</v>
      </c>
      <c r="K84">
        <v>200</v>
      </c>
      <c r="L84" t="s">
        <v>739</v>
      </c>
      <c r="M84">
        <v>3</v>
      </c>
      <c r="N84" t="s">
        <v>163</v>
      </c>
      <c r="O84" t="s">
        <v>163</v>
      </c>
      <c r="P84" t="s">
        <v>403</v>
      </c>
      <c r="Q84" t="s">
        <v>408</v>
      </c>
      <c r="R84" t="s">
        <v>740</v>
      </c>
      <c r="S84">
        <v>2022</v>
      </c>
      <c r="T84">
        <v>8</v>
      </c>
      <c r="U84" t="s">
        <v>741</v>
      </c>
      <c r="V84" t="s">
        <v>742</v>
      </c>
      <c r="W84">
        <v>2016</v>
      </c>
      <c r="X84">
        <v>10</v>
      </c>
      <c r="Y84" t="s">
        <v>743</v>
      </c>
      <c r="Z84">
        <v>2016</v>
      </c>
      <c r="AA84">
        <v>2016</v>
      </c>
      <c r="AB84" s="5">
        <v>0.53400563680000002</v>
      </c>
      <c r="AC84" s="5">
        <v>1.0680112736</v>
      </c>
      <c r="AD84" t="s">
        <v>400</v>
      </c>
      <c r="AE84" t="s">
        <v>400</v>
      </c>
      <c r="AF84" t="s">
        <v>400</v>
      </c>
      <c r="AG84" t="s">
        <v>400</v>
      </c>
      <c r="AH84" t="s">
        <v>152</v>
      </c>
      <c r="AI84" t="s">
        <v>744</v>
      </c>
      <c r="AJ84" t="s">
        <v>400</v>
      </c>
      <c r="AK84" t="s">
        <v>411</v>
      </c>
      <c r="AL84">
        <v>2016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 s="58">
        <f t="shared" si="1"/>
        <v>1</v>
      </c>
      <c r="AU84" s="79" t="s">
        <v>457</v>
      </c>
      <c r="AV84" t="s">
        <v>410</v>
      </c>
      <c r="AW84" t="s">
        <v>411</v>
      </c>
      <c r="AX84">
        <v>1</v>
      </c>
      <c r="AY84" t="s">
        <v>412</v>
      </c>
      <c r="AZ84">
        <v>30</v>
      </c>
    </row>
    <row r="85" spans="1:52" x14ac:dyDescent="0.3">
      <c r="A85">
        <v>74</v>
      </c>
      <c r="B85" t="s">
        <v>745</v>
      </c>
      <c r="C85" t="s">
        <v>154</v>
      </c>
      <c r="D85" t="s">
        <v>746</v>
      </c>
      <c r="E85" t="s">
        <v>460</v>
      </c>
      <c r="F85" t="s">
        <v>408</v>
      </c>
      <c r="G85">
        <v>1879</v>
      </c>
      <c r="H85">
        <v>1878</v>
      </c>
      <c r="I85" t="s">
        <v>747</v>
      </c>
      <c r="J85">
        <v>1827</v>
      </c>
      <c r="K85">
        <v>1826</v>
      </c>
      <c r="L85" t="s">
        <v>442</v>
      </c>
      <c r="M85">
        <v>3</v>
      </c>
      <c r="N85" t="s">
        <v>167</v>
      </c>
      <c r="O85" t="s">
        <v>167</v>
      </c>
      <c r="P85" t="s">
        <v>420</v>
      </c>
      <c r="Q85" t="s">
        <v>408</v>
      </c>
      <c r="R85" t="s">
        <v>748</v>
      </c>
      <c r="S85">
        <v>2004</v>
      </c>
      <c r="T85">
        <v>9</v>
      </c>
      <c r="U85" t="s">
        <v>408</v>
      </c>
      <c r="V85" t="s">
        <v>749</v>
      </c>
      <c r="W85">
        <v>2021</v>
      </c>
      <c r="X85">
        <v>0</v>
      </c>
      <c r="Y85" t="s">
        <v>408</v>
      </c>
      <c r="Z85">
        <v>2021</v>
      </c>
      <c r="AA85">
        <v>2013</v>
      </c>
      <c r="AB85" s="5">
        <v>0.111126351996</v>
      </c>
      <c r="AC85" s="5">
        <v>0.22225270399200001</v>
      </c>
      <c r="AD85" t="s">
        <v>400</v>
      </c>
      <c r="AE85" t="s">
        <v>152</v>
      </c>
      <c r="AF85" t="s">
        <v>400</v>
      </c>
      <c r="AG85" t="s">
        <v>400</v>
      </c>
      <c r="AH85" t="s">
        <v>400</v>
      </c>
      <c r="AI85" t="s">
        <v>400</v>
      </c>
      <c r="AJ85" t="s">
        <v>400</v>
      </c>
      <c r="AK85" t="s">
        <v>411</v>
      </c>
      <c r="AL85">
        <v>2013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 s="58">
        <f t="shared" si="1"/>
        <v>1</v>
      </c>
      <c r="AU85" s="79" t="s">
        <v>750</v>
      </c>
      <c r="AV85" s="78" t="s">
        <v>410</v>
      </c>
      <c r="AW85" t="s">
        <v>408</v>
      </c>
      <c r="AX85">
        <v>2</v>
      </c>
      <c r="AY85" t="s">
        <v>412</v>
      </c>
      <c r="AZ85" t="s">
        <v>408</v>
      </c>
    </row>
    <row r="86" spans="1:52" x14ac:dyDescent="0.3">
      <c r="A86">
        <v>75</v>
      </c>
      <c r="B86" t="s">
        <v>745</v>
      </c>
      <c r="C86" t="s">
        <v>154</v>
      </c>
      <c r="D86" t="s">
        <v>746</v>
      </c>
      <c r="E86" t="s">
        <v>460</v>
      </c>
      <c r="F86" t="s">
        <v>408</v>
      </c>
      <c r="G86">
        <v>1831</v>
      </c>
      <c r="H86">
        <v>1820</v>
      </c>
      <c r="I86" t="s">
        <v>442</v>
      </c>
      <c r="J86">
        <v>1631</v>
      </c>
      <c r="K86">
        <v>1630</v>
      </c>
      <c r="L86" t="s">
        <v>634</v>
      </c>
      <c r="M86">
        <v>3</v>
      </c>
      <c r="N86" t="s">
        <v>170</v>
      </c>
      <c r="O86" t="s">
        <v>170</v>
      </c>
      <c r="P86" t="s">
        <v>420</v>
      </c>
      <c r="Q86" t="s">
        <v>408</v>
      </c>
      <c r="R86" t="s">
        <v>748</v>
      </c>
      <c r="S86">
        <v>2004</v>
      </c>
      <c r="T86">
        <v>9</v>
      </c>
      <c r="U86" t="s">
        <v>408</v>
      </c>
      <c r="V86" t="s">
        <v>749</v>
      </c>
      <c r="W86">
        <v>2021</v>
      </c>
      <c r="X86">
        <v>0</v>
      </c>
      <c r="Y86" t="s">
        <v>408</v>
      </c>
      <c r="Z86">
        <v>2021</v>
      </c>
      <c r="AA86">
        <v>2013</v>
      </c>
      <c r="AB86" s="5">
        <v>0.35909493346400001</v>
      </c>
      <c r="AC86" s="5">
        <v>0.71818986692800002</v>
      </c>
      <c r="AD86" t="s">
        <v>400</v>
      </c>
      <c r="AE86" t="s">
        <v>152</v>
      </c>
      <c r="AF86" t="s">
        <v>400</v>
      </c>
      <c r="AG86" t="s">
        <v>400</v>
      </c>
      <c r="AH86" t="s">
        <v>400</v>
      </c>
      <c r="AI86" t="s">
        <v>400</v>
      </c>
      <c r="AJ86" t="s">
        <v>400</v>
      </c>
      <c r="AK86" t="s">
        <v>400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 s="58">
        <f t="shared" si="1"/>
        <v>1</v>
      </c>
      <c r="AU86" s="79" t="s">
        <v>750</v>
      </c>
      <c r="AV86" s="78" t="s">
        <v>410</v>
      </c>
      <c r="AW86" t="s">
        <v>400</v>
      </c>
      <c r="AX86">
        <v>2</v>
      </c>
      <c r="AY86" t="s">
        <v>412</v>
      </c>
      <c r="AZ86" t="s">
        <v>408</v>
      </c>
    </row>
    <row r="87" spans="1:52" x14ac:dyDescent="0.3">
      <c r="A87">
        <v>76</v>
      </c>
      <c r="B87" t="s">
        <v>563</v>
      </c>
      <c r="C87" t="s">
        <v>447</v>
      </c>
      <c r="D87" t="s">
        <v>564</v>
      </c>
      <c r="E87" t="s">
        <v>460</v>
      </c>
      <c r="F87" t="s">
        <v>154</v>
      </c>
      <c r="G87">
        <v>2</v>
      </c>
      <c r="H87">
        <v>1</v>
      </c>
      <c r="I87" t="s">
        <v>566</v>
      </c>
      <c r="J87">
        <v>30</v>
      </c>
      <c r="K87">
        <v>29</v>
      </c>
      <c r="L87" t="s">
        <v>751</v>
      </c>
      <c r="M87">
        <v>3</v>
      </c>
      <c r="N87" t="s">
        <v>167</v>
      </c>
      <c r="O87" t="s">
        <v>167</v>
      </c>
      <c r="P87" t="s">
        <v>414</v>
      </c>
      <c r="Q87" t="s">
        <v>408</v>
      </c>
      <c r="R87" t="s">
        <v>752</v>
      </c>
      <c r="S87">
        <v>2011</v>
      </c>
      <c r="T87">
        <v>10</v>
      </c>
      <c r="U87" t="s">
        <v>408</v>
      </c>
      <c r="V87" t="s">
        <v>487</v>
      </c>
      <c r="W87">
        <v>2020</v>
      </c>
      <c r="X87">
        <v>0</v>
      </c>
      <c r="Y87" t="s">
        <v>408</v>
      </c>
      <c r="Z87">
        <v>2020</v>
      </c>
      <c r="AA87">
        <v>2012</v>
      </c>
      <c r="AB87" s="5">
        <v>6.9720932802700003E-2</v>
      </c>
      <c r="AC87" s="5">
        <v>6.9720932802700003E-2</v>
      </c>
      <c r="AD87" t="s">
        <v>408</v>
      </c>
      <c r="AE87" t="s">
        <v>411</v>
      </c>
      <c r="AF87" t="s">
        <v>154</v>
      </c>
      <c r="AG87" t="s">
        <v>152</v>
      </c>
      <c r="AH87" t="s">
        <v>408</v>
      </c>
      <c r="AI87" t="s">
        <v>408</v>
      </c>
      <c r="AJ87" t="s">
        <v>408</v>
      </c>
      <c r="AK87" t="s">
        <v>408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 s="58">
        <f t="shared" si="1"/>
        <v>1</v>
      </c>
      <c r="AU87" s="79" t="s">
        <v>488</v>
      </c>
      <c r="AV87" s="78" t="s">
        <v>410</v>
      </c>
      <c r="AW87" t="s">
        <v>408</v>
      </c>
      <c r="AX87">
        <v>2</v>
      </c>
      <c r="AY87" t="s">
        <v>412</v>
      </c>
      <c r="AZ87" t="s">
        <v>408</v>
      </c>
    </row>
    <row r="88" spans="1:52" x14ac:dyDescent="0.3">
      <c r="A88">
        <v>77</v>
      </c>
      <c r="B88" t="s">
        <v>440</v>
      </c>
      <c r="C88" t="s">
        <v>152</v>
      </c>
      <c r="D88" t="s">
        <v>441</v>
      </c>
      <c r="E88" t="s">
        <v>417</v>
      </c>
      <c r="F88" t="s">
        <v>155</v>
      </c>
      <c r="G88">
        <v>2</v>
      </c>
      <c r="H88">
        <v>1</v>
      </c>
      <c r="I88" t="s">
        <v>628</v>
      </c>
      <c r="J88">
        <v>242</v>
      </c>
      <c r="K88">
        <v>243</v>
      </c>
      <c r="L88" t="s">
        <v>753</v>
      </c>
      <c r="M88">
        <v>4</v>
      </c>
      <c r="N88" t="s">
        <v>170</v>
      </c>
      <c r="O88" t="s">
        <v>170</v>
      </c>
      <c r="P88" t="s">
        <v>420</v>
      </c>
      <c r="Q88" t="s">
        <v>444</v>
      </c>
      <c r="R88" t="s">
        <v>445</v>
      </c>
      <c r="S88">
        <v>2012</v>
      </c>
      <c r="T88">
        <v>6</v>
      </c>
      <c r="U88" t="s">
        <v>408</v>
      </c>
      <c r="V88" t="s">
        <v>408</v>
      </c>
      <c r="W88">
        <v>0</v>
      </c>
      <c r="X88">
        <v>0</v>
      </c>
      <c r="Y88" t="s">
        <v>408</v>
      </c>
      <c r="Z88">
        <v>2012</v>
      </c>
      <c r="AA88">
        <v>0</v>
      </c>
      <c r="AB88" s="5">
        <v>8.3068951751699996E-2</v>
      </c>
      <c r="AC88" s="5">
        <v>8.3068951751699996E-2</v>
      </c>
      <c r="AD88" t="s">
        <v>408</v>
      </c>
      <c r="AE88" t="s">
        <v>411</v>
      </c>
      <c r="AF88" t="s">
        <v>155</v>
      </c>
      <c r="AG88" t="s">
        <v>152</v>
      </c>
      <c r="AH88" t="s">
        <v>408</v>
      </c>
      <c r="AI88" t="s">
        <v>408</v>
      </c>
      <c r="AJ88" t="s">
        <v>408</v>
      </c>
      <c r="AK88" t="s">
        <v>408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 s="58">
        <f t="shared" si="1"/>
        <v>1</v>
      </c>
      <c r="AU88" s="79">
        <v>43328</v>
      </c>
      <c r="AV88" s="78" t="s">
        <v>410</v>
      </c>
      <c r="AW88" t="s">
        <v>408</v>
      </c>
      <c r="AX88">
        <v>2</v>
      </c>
      <c r="AY88" t="s">
        <v>412</v>
      </c>
      <c r="AZ88" t="s">
        <v>408</v>
      </c>
    </row>
    <row r="89" spans="1:52" x14ac:dyDescent="0.3">
      <c r="A89">
        <v>78</v>
      </c>
      <c r="B89" t="s">
        <v>754</v>
      </c>
      <c r="C89" t="s">
        <v>152</v>
      </c>
      <c r="D89" t="s">
        <v>755</v>
      </c>
      <c r="E89" t="s">
        <v>460</v>
      </c>
      <c r="F89" t="s">
        <v>408</v>
      </c>
      <c r="G89">
        <v>4000</v>
      </c>
      <c r="H89">
        <v>4001</v>
      </c>
      <c r="I89" t="s">
        <v>717</v>
      </c>
      <c r="J89">
        <v>4352</v>
      </c>
      <c r="K89">
        <v>4365</v>
      </c>
      <c r="L89" t="s">
        <v>685</v>
      </c>
      <c r="M89">
        <v>3</v>
      </c>
      <c r="N89" t="s">
        <v>167</v>
      </c>
      <c r="O89" t="s">
        <v>167</v>
      </c>
      <c r="P89" t="s">
        <v>403</v>
      </c>
      <c r="Q89" t="s">
        <v>408</v>
      </c>
      <c r="R89" t="s">
        <v>756</v>
      </c>
      <c r="S89">
        <v>2018</v>
      </c>
      <c r="T89">
        <v>10</v>
      </c>
      <c r="U89" t="s">
        <v>757</v>
      </c>
      <c r="V89" t="s">
        <v>756</v>
      </c>
      <c r="W89">
        <v>2018</v>
      </c>
      <c r="X89">
        <v>10</v>
      </c>
      <c r="Y89" t="s">
        <v>758</v>
      </c>
      <c r="Z89">
        <v>2018</v>
      </c>
      <c r="AA89">
        <v>2016</v>
      </c>
      <c r="AB89" s="5">
        <v>0.56326938809899996</v>
      </c>
      <c r="AC89" s="5">
        <v>1.1265387762000001</v>
      </c>
      <c r="AD89" t="s">
        <v>408</v>
      </c>
      <c r="AE89" t="s">
        <v>152</v>
      </c>
      <c r="AF89" t="s">
        <v>408</v>
      </c>
      <c r="AG89" t="s">
        <v>408</v>
      </c>
      <c r="AH89" t="s">
        <v>408</v>
      </c>
      <c r="AI89" t="s">
        <v>408</v>
      </c>
      <c r="AJ89" t="s">
        <v>408</v>
      </c>
      <c r="AK89" t="s">
        <v>408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58">
        <f t="shared" si="1"/>
        <v>1</v>
      </c>
      <c r="AU89" s="79">
        <v>43370</v>
      </c>
      <c r="AV89" s="78" t="s">
        <v>410</v>
      </c>
      <c r="AW89" t="s">
        <v>408</v>
      </c>
      <c r="AX89">
        <v>2</v>
      </c>
      <c r="AY89" t="s">
        <v>412</v>
      </c>
      <c r="AZ89" t="s">
        <v>408</v>
      </c>
    </row>
    <row r="90" spans="1:52" x14ac:dyDescent="0.3">
      <c r="A90">
        <v>79</v>
      </c>
      <c r="B90" t="s">
        <v>688</v>
      </c>
      <c r="C90" t="s">
        <v>155</v>
      </c>
      <c r="D90" t="s">
        <v>689</v>
      </c>
      <c r="E90" t="s">
        <v>426</v>
      </c>
      <c r="F90" t="s">
        <v>408</v>
      </c>
      <c r="G90">
        <v>5959</v>
      </c>
      <c r="H90">
        <v>5958</v>
      </c>
      <c r="I90" t="s">
        <v>759</v>
      </c>
      <c r="J90">
        <v>5501</v>
      </c>
      <c r="K90">
        <v>5500</v>
      </c>
      <c r="L90" t="s">
        <v>638</v>
      </c>
      <c r="M90">
        <v>3</v>
      </c>
      <c r="N90" t="s">
        <v>167</v>
      </c>
      <c r="O90" t="s">
        <v>167</v>
      </c>
      <c r="P90" t="s">
        <v>420</v>
      </c>
      <c r="Q90" t="s">
        <v>408</v>
      </c>
      <c r="R90" t="s">
        <v>493</v>
      </c>
      <c r="S90">
        <v>2007</v>
      </c>
      <c r="T90">
        <v>10</v>
      </c>
      <c r="U90" t="s">
        <v>760</v>
      </c>
      <c r="V90" t="s">
        <v>742</v>
      </c>
      <c r="W90">
        <v>2017</v>
      </c>
      <c r="X90">
        <v>6</v>
      </c>
      <c r="Y90" t="s">
        <v>370</v>
      </c>
      <c r="Z90">
        <v>2017</v>
      </c>
      <c r="AA90">
        <v>2017</v>
      </c>
      <c r="AB90" s="5">
        <v>0.60663123242899997</v>
      </c>
      <c r="AC90" s="5">
        <v>1.2132624648599999</v>
      </c>
      <c r="AD90" t="s">
        <v>408</v>
      </c>
      <c r="AE90" t="s">
        <v>152</v>
      </c>
      <c r="AF90" t="s">
        <v>408</v>
      </c>
      <c r="AG90" t="s">
        <v>408</v>
      </c>
      <c r="AH90" t="s">
        <v>408</v>
      </c>
      <c r="AI90" t="s">
        <v>408</v>
      </c>
      <c r="AJ90" t="s">
        <v>408</v>
      </c>
      <c r="AK90" t="s">
        <v>408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 s="58">
        <f t="shared" si="1"/>
        <v>1</v>
      </c>
      <c r="AU90" s="79" t="s">
        <v>602</v>
      </c>
      <c r="AV90" t="s">
        <v>410</v>
      </c>
      <c r="AW90" t="s">
        <v>411</v>
      </c>
      <c r="AX90">
        <v>2</v>
      </c>
      <c r="AY90" t="s">
        <v>412</v>
      </c>
      <c r="AZ90" t="s">
        <v>408</v>
      </c>
    </row>
    <row r="91" spans="1:52" x14ac:dyDescent="0.3">
      <c r="A91">
        <v>80</v>
      </c>
      <c r="B91" t="s">
        <v>557</v>
      </c>
      <c r="C91" t="s">
        <v>152</v>
      </c>
      <c r="D91" t="s">
        <v>558</v>
      </c>
      <c r="E91" t="s">
        <v>460</v>
      </c>
      <c r="F91" t="s">
        <v>408</v>
      </c>
      <c r="G91">
        <v>2426</v>
      </c>
      <c r="H91">
        <v>2425</v>
      </c>
      <c r="I91" t="s">
        <v>479</v>
      </c>
      <c r="J91">
        <v>2800</v>
      </c>
      <c r="K91">
        <v>2801</v>
      </c>
      <c r="L91" t="s">
        <v>761</v>
      </c>
      <c r="M91">
        <v>3</v>
      </c>
      <c r="N91" t="s">
        <v>163</v>
      </c>
      <c r="O91" t="s">
        <v>163</v>
      </c>
      <c r="P91" t="s">
        <v>403</v>
      </c>
      <c r="Q91" t="s">
        <v>408</v>
      </c>
      <c r="R91" t="s">
        <v>270</v>
      </c>
      <c r="S91">
        <v>2020</v>
      </c>
      <c r="T91">
        <v>9</v>
      </c>
      <c r="U91" t="s">
        <v>408</v>
      </c>
      <c r="V91" t="s">
        <v>408</v>
      </c>
      <c r="W91">
        <v>0</v>
      </c>
      <c r="X91">
        <v>0</v>
      </c>
      <c r="Y91" t="s">
        <v>408</v>
      </c>
      <c r="Z91">
        <v>2020</v>
      </c>
      <c r="AA91">
        <v>2006</v>
      </c>
      <c r="AB91" s="5">
        <v>0.58244664235599997</v>
      </c>
      <c r="AC91" s="5">
        <v>1.16489328471</v>
      </c>
      <c r="AD91" t="s">
        <v>408</v>
      </c>
      <c r="AE91" t="s">
        <v>152</v>
      </c>
      <c r="AF91" t="s">
        <v>408</v>
      </c>
      <c r="AG91" t="s">
        <v>408</v>
      </c>
      <c r="AH91" t="s">
        <v>408</v>
      </c>
      <c r="AI91" t="s">
        <v>762</v>
      </c>
      <c r="AJ91" t="s">
        <v>152</v>
      </c>
      <c r="AK91" t="s">
        <v>408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 s="58">
        <f t="shared" si="1"/>
        <v>1</v>
      </c>
      <c r="AU91" s="79" t="s">
        <v>471</v>
      </c>
      <c r="AV91" s="78" t="s">
        <v>410</v>
      </c>
      <c r="AW91" t="s">
        <v>411</v>
      </c>
      <c r="AX91">
        <v>1</v>
      </c>
      <c r="AY91" t="s">
        <v>412</v>
      </c>
      <c r="AZ91">
        <v>20</v>
      </c>
    </row>
    <row r="92" spans="1:52" x14ac:dyDescent="0.3">
      <c r="A92">
        <v>81</v>
      </c>
      <c r="B92" t="s">
        <v>557</v>
      </c>
      <c r="C92" t="s">
        <v>152</v>
      </c>
      <c r="D92" t="s">
        <v>558</v>
      </c>
      <c r="E92" t="s">
        <v>460</v>
      </c>
      <c r="F92" t="s">
        <v>408</v>
      </c>
      <c r="G92">
        <v>2300</v>
      </c>
      <c r="H92">
        <v>2301</v>
      </c>
      <c r="I92" t="s">
        <v>761</v>
      </c>
      <c r="J92">
        <v>2500</v>
      </c>
      <c r="K92">
        <v>2501</v>
      </c>
      <c r="L92" t="s">
        <v>763</v>
      </c>
      <c r="M92">
        <v>3</v>
      </c>
      <c r="N92" t="s">
        <v>167</v>
      </c>
      <c r="O92" t="s">
        <v>569</v>
      </c>
      <c r="P92" t="s">
        <v>403</v>
      </c>
      <c r="Q92" t="s">
        <v>408</v>
      </c>
      <c r="R92" t="s">
        <v>54</v>
      </c>
      <c r="S92">
        <v>2019</v>
      </c>
      <c r="T92">
        <v>10</v>
      </c>
      <c r="U92" t="s">
        <v>764</v>
      </c>
      <c r="V92" t="s">
        <v>408</v>
      </c>
      <c r="W92">
        <v>0</v>
      </c>
      <c r="X92">
        <v>0</v>
      </c>
      <c r="Y92" t="s">
        <v>408</v>
      </c>
      <c r="Z92">
        <v>2019</v>
      </c>
      <c r="AA92">
        <v>2006</v>
      </c>
      <c r="AB92" s="5">
        <v>0.33356881190400001</v>
      </c>
      <c r="AC92" s="5">
        <v>0.66713762380800001</v>
      </c>
      <c r="AD92" t="s">
        <v>408</v>
      </c>
      <c r="AE92" t="s">
        <v>152</v>
      </c>
      <c r="AF92" t="s">
        <v>408</v>
      </c>
      <c r="AG92" t="s">
        <v>408</v>
      </c>
      <c r="AH92" t="s">
        <v>408</v>
      </c>
      <c r="AI92" t="s">
        <v>408</v>
      </c>
      <c r="AJ92" t="s">
        <v>408</v>
      </c>
      <c r="AK92" t="s">
        <v>408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 s="58">
        <f t="shared" si="1"/>
        <v>1</v>
      </c>
      <c r="AU92" s="79" t="s">
        <v>488</v>
      </c>
      <c r="AV92" t="s">
        <v>410</v>
      </c>
      <c r="AW92" t="s">
        <v>408</v>
      </c>
      <c r="AX92">
        <v>2</v>
      </c>
      <c r="AY92" t="s">
        <v>412</v>
      </c>
      <c r="AZ92">
        <v>20</v>
      </c>
    </row>
    <row r="93" spans="1:52" x14ac:dyDescent="0.3">
      <c r="A93">
        <v>82</v>
      </c>
      <c r="B93" t="s">
        <v>693</v>
      </c>
      <c r="C93" t="s">
        <v>155</v>
      </c>
      <c r="D93" t="s">
        <v>694</v>
      </c>
      <c r="E93" t="s">
        <v>460</v>
      </c>
      <c r="F93" t="s">
        <v>408</v>
      </c>
      <c r="G93">
        <v>5100</v>
      </c>
      <c r="H93">
        <v>5101</v>
      </c>
      <c r="I93" t="s">
        <v>765</v>
      </c>
      <c r="J93">
        <v>4701</v>
      </c>
      <c r="K93">
        <v>4700</v>
      </c>
      <c r="L93" t="s">
        <v>766</v>
      </c>
      <c r="M93">
        <v>3</v>
      </c>
      <c r="N93" t="s">
        <v>170</v>
      </c>
      <c r="O93" t="s">
        <v>170</v>
      </c>
      <c r="P93" t="s">
        <v>420</v>
      </c>
      <c r="Q93" t="s">
        <v>767</v>
      </c>
      <c r="R93" t="s">
        <v>608</v>
      </c>
      <c r="S93">
        <v>2011</v>
      </c>
      <c r="T93">
        <v>10</v>
      </c>
      <c r="U93" t="s">
        <v>370</v>
      </c>
      <c r="V93" t="s">
        <v>749</v>
      </c>
      <c r="W93">
        <v>2021</v>
      </c>
      <c r="X93">
        <v>0</v>
      </c>
      <c r="Y93" t="s">
        <v>408</v>
      </c>
      <c r="Z93">
        <v>2021</v>
      </c>
      <c r="AA93">
        <v>2011</v>
      </c>
      <c r="AB93" s="5">
        <v>0.502302400559</v>
      </c>
      <c r="AC93" s="5">
        <v>1.0046048011199999</v>
      </c>
      <c r="AD93" t="s">
        <v>400</v>
      </c>
      <c r="AE93" t="s">
        <v>152</v>
      </c>
      <c r="AF93" t="s">
        <v>400</v>
      </c>
      <c r="AG93" t="s">
        <v>400</v>
      </c>
      <c r="AH93" t="s">
        <v>400</v>
      </c>
      <c r="AI93" t="s">
        <v>400</v>
      </c>
      <c r="AJ93" t="s">
        <v>400</v>
      </c>
      <c r="AK93" t="s">
        <v>400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s="58">
        <f t="shared" si="1"/>
        <v>1</v>
      </c>
      <c r="AU93" s="79" t="s">
        <v>768</v>
      </c>
      <c r="AV93" s="78" t="s">
        <v>410</v>
      </c>
      <c r="AW93" t="s">
        <v>400</v>
      </c>
      <c r="AX93">
        <v>2</v>
      </c>
      <c r="AY93" t="s">
        <v>412</v>
      </c>
      <c r="AZ93" t="s">
        <v>408</v>
      </c>
    </row>
    <row r="94" spans="1:52" x14ac:dyDescent="0.3">
      <c r="A94">
        <v>83</v>
      </c>
      <c r="B94" t="s">
        <v>489</v>
      </c>
      <c r="C94" t="s">
        <v>152</v>
      </c>
      <c r="D94" t="s">
        <v>490</v>
      </c>
      <c r="E94" t="s">
        <v>460</v>
      </c>
      <c r="F94" t="s">
        <v>408</v>
      </c>
      <c r="G94">
        <v>3001</v>
      </c>
      <c r="H94">
        <v>3000</v>
      </c>
      <c r="I94" t="s">
        <v>484</v>
      </c>
      <c r="J94">
        <v>3375</v>
      </c>
      <c r="K94">
        <v>3376</v>
      </c>
      <c r="L94" t="s">
        <v>625</v>
      </c>
      <c r="M94">
        <v>3</v>
      </c>
      <c r="N94" t="s">
        <v>170</v>
      </c>
      <c r="O94" t="s">
        <v>170</v>
      </c>
      <c r="P94" t="s">
        <v>420</v>
      </c>
      <c r="Q94" t="s">
        <v>408</v>
      </c>
      <c r="R94" t="s">
        <v>422</v>
      </c>
      <c r="S94">
        <v>2011</v>
      </c>
      <c r="T94">
        <v>9</v>
      </c>
      <c r="U94" t="s">
        <v>408</v>
      </c>
      <c r="V94" t="s">
        <v>408</v>
      </c>
      <c r="W94">
        <v>2020</v>
      </c>
      <c r="X94">
        <v>0</v>
      </c>
      <c r="Y94" t="s">
        <v>370</v>
      </c>
      <c r="Z94">
        <v>2020</v>
      </c>
      <c r="AA94">
        <v>2020</v>
      </c>
      <c r="AB94" s="5">
        <v>0.227553158866</v>
      </c>
      <c r="AC94" s="5">
        <v>0.455106317732</v>
      </c>
      <c r="AD94" t="s">
        <v>408</v>
      </c>
      <c r="AE94" t="s">
        <v>152</v>
      </c>
      <c r="AF94" t="s">
        <v>408</v>
      </c>
      <c r="AG94" t="s">
        <v>408</v>
      </c>
      <c r="AH94" t="s">
        <v>408</v>
      </c>
      <c r="AI94" t="s">
        <v>408</v>
      </c>
      <c r="AJ94" t="s">
        <v>408</v>
      </c>
      <c r="AK94" t="s">
        <v>408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 s="58">
        <f t="shared" si="1"/>
        <v>1</v>
      </c>
      <c r="AU94" s="79" t="s">
        <v>769</v>
      </c>
      <c r="AV94" t="s">
        <v>410</v>
      </c>
      <c r="AW94" t="s">
        <v>408</v>
      </c>
      <c r="AX94">
        <v>2</v>
      </c>
      <c r="AY94" t="s">
        <v>412</v>
      </c>
      <c r="AZ94" t="s">
        <v>408</v>
      </c>
    </row>
    <row r="95" spans="1:52" x14ac:dyDescent="0.3">
      <c r="A95">
        <v>84</v>
      </c>
      <c r="B95" t="s">
        <v>472</v>
      </c>
      <c r="C95" t="s">
        <v>152</v>
      </c>
      <c r="D95" t="s">
        <v>473</v>
      </c>
      <c r="E95" t="s">
        <v>460</v>
      </c>
      <c r="F95" t="s">
        <v>408</v>
      </c>
      <c r="G95">
        <v>1500</v>
      </c>
      <c r="H95">
        <v>1501</v>
      </c>
      <c r="I95" t="s">
        <v>770</v>
      </c>
      <c r="J95">
        <v>1558</v>
      </c>
      <c r="K95">
        <v>1559</v>
      </c>
      <c r="L95" t="s">
        <v>541</v>
      </c>
      <c r="M95">
        <v>3</v>
      </c>
      <c r="N95" t="s">
        <v>165</v>
      </c>
      <c r="O95" t="s">
        <v>165</v>
      </c>
      <c r="P95" t="s">
        <v>403</v>
      </c>
      <c r="Q95" t="s">
        <v>771</v>
      </c>
      <c r="R95" t="s">
        <v>476</v>
      </c>
      <c r="S95">
        <v>2012</v>
      </c>
      <c r="T95">
        <v>6</v>
      </c>
      <c r="U95" t="s">
        <v>370</v>
      </c>
      <c r="V95" t="s">
        <v>408</v>
      </c>
      <c r="W95">
        <v>0</v>
      </c>
      <c r="X95">
        <v>0</v>
      </c>
      <c r="Y95" t="s">
        <v>408</v>
      </c>
      <c r="Z95">
        <v>2012</v>
      </c>
      <c r="AA95">
        <v>2012</v>
      </c>
      <c r="AB95" s="5">
        <v>0.12578884453399999</v>
      </c>
      <c r="AC95" s="5">
        <v>0.25157768906799999</v>
      </c>
      <c r="AD95" t="s">
        <v>408</v>
      </c>
      <c r="AE95" t="s">
        <v>152</v>
      </c>
      <c r="AF95" t="s">
        <v>408</v>
      </c>
      <c r="AG95" t="s">
        <v>408</v>
      </c>
      <c r="AH95" t="s">
        <v>408</v>
      </c>
      <c r="AI95" t="s">
        <v>408</v>
      </c>
      <c r="AJ95" t="s">
        <v>408</v>
      </c>
      <c r="AK95" t="s">
        <v>408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 s="58">
        <f t="shared" si="1"/>
        <v>1</v>
      </c>
      <c r="AU95" s="79">
        <v>43332</v>
      </c>
      <c r="AV95" t="s">
        <v>410</v>
      </c>
      <c r="AW95" t="s">
        <v>152</v>
      </c>
      <c r="AX95">
        <v>2</v>
      </c>
      <c r="AY95" t="s">
        <v>412</v>
      </c>
      <c r="AZ95" t="s">
        <v>408</v>
      </c>
    </row>
    <row r="96" spans="1:52" x14ac:dyDescent="0.3">
      <c r="A96">
        <v>85</v>
      </c>
      <c r="B96" t="s">
        <v>472</v>
      </c>
      <c r="C96" t="s">
        <v>152</v>
      </c>
      <c r="D96" t="s">
        <v>473</v>
      </c>
      <c r="E96" t="s">
        <v>460</v>
      </c>
      <c r="F96" t="s">
        <v>408</v>
      </c>
      <c r="G96">
        <v>2466</v>
      </c>
      <c r="H96">
        <v>2469</v>
      </c>
      <c r="I96" t="s">
        <v>772</v>
      </c>
      <c r="J96">
        <v>2601</v>
      </c>
      <c r="K96">
        <v>2602</v>
      </c>
      <c r="L96" t="s">
        <v>773</v>
      </c>
      <c r="M96">
        <v>3</v>
      </c>
      <c r="N96" t="s">
        <v>167</v>
      </c>
      <c r="O96" t="s">
        <v>167</v>
      </c>
      <c r="P96" t="s">
        <v>414</v>
      </c>
      <c r="Q96" t="s">
        <v>408</v>
      </c>
      <c r="R96" t="s">
        <v>422</v>
      </c>
      <c r="S96">
        <v>2011</v>
      </c>
      <c r="T96">
        <v>6</v>
      </c>
      <c r="U96" t="s">
        <v>774</v>
      </c>
      <c r="V96" t="s">
        <v>408</v>
      </c>
      <c r="W96">
        <v>0</v>
      </c>
      <c r="X96">
        <v>0</v>
      </c>
      <c r="Y96" t="s">
        <v>408</v>
      </c>
      <c r="Z96">
        <v>2011</v>
      </c>
      <c r="AA96">
        <v>0</v>
      </c>
      <c r="AB96" s="5">
        <v>0.226128646781</v>
      </c>
      <c r="AC96" s="5">
        <v>0.45225729356200001</v>
      </c>
      <c r="AD96" t="s">
        <v>400</v>
      </c>
      <c r="AE96" t="s">
        <v>152</v>
      </c>
      <c r="AF96" t="s">
        <v>400</v>
      </c>
      <c r="AG96" t="s">
        <v>400</v>
      </c>
      <c r="AH96" t="s">
        <v>408</v>
      </c>
      <c r="AI96" t="s">
        <v>408</v>
      </c>
      <c r="AJ96" t="s">
        <v>408</v>
      </c>
      <c r="AK96" t="s">
        <v>408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s="58">
        <f t="shared" si="1"/>
        <v>1</v>
      </c>
      <c r="AU96" s="79" t="s">
        <v>602</v>
      </c>
      <c r="AV96" t="s">
        <v>410</v>
      </c>
      <c r="AW96" t="s">
        <v>411</v>
      </c>
      <c r="AX96">
        <v>2</v>
      </c>
      <c r="AY96" t="s">
        <v>412</v>
      </c>
      <c r="AZ96" t="s">
        <v>408</v>
      </c>
    </row>
    <row r="97" spans="1:52" x14ac:dyDescent="0.3">
      <c r="A97">
        <v>86</v>
      </c>
      <c r="B97" t="s">
        <v>720</v>
      </c>
      <c r="C97" t="s">
        <v>152</v>
      </c>
      <c r="D97" t="s">
        <v>721</v>
      </c>
      <c r="E97" t="s">
        <v>460</v>
      </c>
      <c r="F97" t="s">
        <v>400</v>
      </c>
      <c r="G97">
        <v>3050</v>
      </c>
      <c r="H97">
        <v>3051</v>
      </c>
      <c r="I97" t="s">
        <v>775</v>
      </c>
      <c r="J97">
        <v>3546</v>
      </c>
      <c r="K97">
        <v>3555</v>
      </c>
      <c r="L97" t="s">
        <v>625</v>
      </c>
      <c r="M97">
        <v>2</v>
      </c>
      <c r="N97" t="s">
        <v>165</v>
      </c>
      <c r="O97" t="s">
        <v>165</v>
      </c>
      <c r="P97" t="s">
        <v>403</v>
      </c>
      <c r="Q97" t="s">
        <v>776</v>
      </c>
      <c r="R97" t="s">
        <v>408</v>
      </c>
      <c r="S97">
        <v>0</v>
      </c>
      <c r="T97">
        <v>0</v>
      </c>
      <c r="U97" t="s">
        <v>777</v>
      </c>
      <c r="V97" t="s">
        <v>778</v>
      </c>
      <c r="W97">
        <v>2015</v>
      </c>
      <c r="X97">
        <v>11</v>
      </c>
      <c r="Y97" t="s">
        <v>779</v>
      </c>
      <c r="Z97">
        <v>2022</v>
      </c>
      <c r="AA97">
        <v>2015</v>
      </c>
      <c r="AB97" s="5">
        <v>0.58067194714500003</v>
      </c>
      <c r="AC97" s="5">
        <v>1.1613438942900001</v>
      </c>
      <c r="AD97" t="s">
        <v>400</v>
      </c>
      <c r="AE97" t="s">
        <v>152</v>
      </c>
      <c r="AF97" t="s">
        <v>400</v>
      </c>
      <c r="AG97" t="s">
        <v>400</v>
      </c>
      <c r="AH97" t="s">
        <v>400</v>
      </c>
      <c r="AI97" t="s">
        <v>744</v>
      </c>
      <c r="AJ97" t="s">
        <v>400</v>
      </c>
      <c r="AK97" t="s">
        <v>408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s="58">
        <f t="shared" si="1"/>
        <v>1</v>
      </c>
      <c r="AU97" s="79" t="s">
        <v>666</v>
      </c>
      <c r="AV97" t="s">
        <v>410</v>
      </c>
      <c r="AW97" t="s">
        <v>400</v>
      </c>
      <c r="AX97">
        <v>2</v>
      </c>
      <c r="AY97" t="s">
        <v>412</v>
      </c>
      <c r="AZ97">
        <v>30</v>
      </c>
    </row>
    <row r="98" spans="1:52" x14ac:dyDescent="0.3">
      <c r="A98">
        <v>87</v>
      </c>
      <c r="B98" t="s">
        <v>667</v>
      </c>
      <c r="C98" t="s">
        <v>154</v>
      </c>
      <c r="D98" t="s">
        <v>668</v>
      </c>
      <c r="E98" t="s">
        <v>460</v>
      </c>
      <c r="F98" t="s">
        <v>408</v>
      </c>
      <c r="G98">
        <v>6359</v>
      </c>
      <c r="H98">
        <v>6358</v>
      </c>
      <c r="I98" t="s">
        <v>780</v>
      </c>
      <c r="J98">
        <v>5631</v>
      </c>
      <c r="K98">
        <v>5630</v>
      </c>
      <c r="L98" t="s">
        <v>781</v>
      </c>
      <c r="M98">
        <v>3</v>
      </c>
      <c r="N98" t="s">
        <v>167</v>
      </c>
      <c r="O98" t="s">
        <v>569</v>
      </c>
      <c r="P98" t="s">
        <v>403</v>
      </c>
      <c r="Q98" t="s">
        <v>408</v>
      </c>
      <c r="R98" t="s">
        <v>782</v>
      </c>
      <c r="S98">
        <v>2021</v>
      </c>
      <c r="T98">
        <v>10</v>
      </c>
      <c r="U98" t="s">
        <v>783</v>
      </c>
      <c r="V98" t="s">
        <v>408</v>
      </c>
      <c r="W98">
        <v>0</v>
      </c>
      <c r="X98">
        <v>0</v>
      </c>
      <c r="Y98" t="s">
        <v>408</v>
      </c>
      <c r="Z98">
        <v>2021</v>
      </c>
      <c r="AA98">
        <v>0</v>
      </c>
      <c r="AB98" s="5">
        <v>0.93938470483000003</v>
      </c>
      <c r="AC98" s="5">
        <v>1.8787694096600001</v>
      </c>
      <c r="AD98" t="s">
        <v>408</v>
      </c>
      <c r="AE98" t="s">
        <v>152</v>
      </c>
      <c r="AF98" t="s">
        <v>408</v>
      </c>
      <c r="AG98" t="s">
        <v>152</v>
      </c>
      <c r="AH98" t="s">
        <v>408</v>
      </c>
      <c r="AI98" t="s">
        <v>408</v>
      </c>
      <c r="AJ98" t="s">
        <v>408</v>
      </c>
      <c r="AK98" t="s">
        <v>408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 s="58">
        <f t="shared" si="1"/>
        <v>1</v>
      </c>
      <c r="AU98" s="79" t="s">
        <v>784</v>
      </c>
      <c r="AV98" s="78" t="s">
        <v>410</v>
      </c>
      <c r="AW98" t="s">
        <v>152</v>
      </c>
      <c r="AX98">
        <v>2</v>
      </c>
      <c r="AY98" t="s">
        <v>412</v>
      </c>
      <c r="AZ98" t="s">
        <v>408</v>
      </c>
    </row>
    <row r="99" spans="1:52" x14ac:dyDescent="0.3">
      <c r="A99">
        <v>88</v>
      </c>
      <c r="B99" t="s">
        <v>785</v>
      </c>
      <c r="C99" t="s">
        <v>154</v>
      </c>
      <c r="D99" t="s">
        <v>786</v>
      </c>
      <c r="E99" t="s">
        <v>787</v>
      </c>
      <c r="F99" t="s">
        <v>447</v>
      </c>
      <c r="G99">
        <v>2148</v>
      </c>
      <c r="H99">
        <v>2149</v>
      </c>
      <c r="I99" t="s">
        <v>788</v>
      </c>
      <c r="J99">
        <v>2001</v>
      </c>
      <c r="K99">
        <v>2000</v>
      </c>
      <c r="L99" t="s">
        <v>789</v>
      </c>
      <c r="M99">
        <v>4</v>
      </c>
      <c r="N99" t="s">
        <v>167</v>
      </c>
      <c r="O99" t="s">
        <v>167</v>
      </c>
      <c r="P99" t="s">
        <v>420</v>
      </c>
      <c r="Q99" t="s">
        <v>790</v>
      </c>
      <c r="R99" t="s">
        <v>532</v>
      </c>
      <c r="S99">
        <v>2009</v>
      </c>
      <c r="T99">
        <v>7</v>
      </c>
      <c r="U99" t="s">
        <v>370</v>
      </c>
      <c r="V99" t="s">
        <v>408</v>
      </c>
      <c r="W99">
        <v>0</v>
      </c>
      <c r="X99">
        <v>0</v>
      </c>
      <c r="Y99" t="s">
        <v>408</v>
      </c>
      <c r="Z99">
        <v>2009</v>
      </c>
      <c r="AA99">
        <v>2009</v>
      </c>
      <c r="AB99" s="5">
        <v>4.2474914420800002E-2</v>
      </c>
      <c r="AC99" s="5">
        <v>4.2474914420800002E-2</v>
      </c>
      <c r="AD99" t="s">
        <v>408</v>
      </c>
      <c r="AE99" t="s">
        <v>411</v>
      </c>
      <c r="AF99" t="s">
        <v>447</v>
      </c>
      <c r="AG99" t="s">
        <v>152</v>
      </c>
      <c r="AH99" t="s">
        <v>408</v>
      </c>
      <c r="AI99" t="s">
        <v>408</v>
      </c>
      <c r="AJ99" t="s">
        <v>408</v>
      </c>
      <c r="AK99" t="s">
        <v>408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 s="58">
        <f t="shared" si="1"/>
        <v>1</v>
      </c>
      <c r="AU99" s="79">
        <v>43341</v>
      </c>
      <c r="AV99" t="s">
        <v>410</v>
      </c>
      <c r="AW99" t="s">
        <v>408</v>
      </c>
      <c r="AX99">
        <v>3</v>
      </c>
      <c r="AY99" t="s">
        <v>412</v>
      </c>
      <c r="AZ99" t="s">
        <v>408</v>
      </c>
    </row>
    <row r="100" spans="1:52" x14ac:dyDescent="0.3">
      <c r="A100">
        <v>89</v>
      </c>
      <c r="B100" t="s">
        <v>791</v>
      </c>
      <c r="C100" t="s">
        <v>154</v>
      </c>
      <c r="D100" t="s">
        <v>786</v>
      </c>
      <c r="E100" t="s">
        <v>466</v>
      </c>
      <c r="F100" t="s">
        <v>447</v>
      </c>
      <c r="G100">
        <v>3145</v>
      </c>
      <c r="H100">
        <v>3146</v>
      </c>
      <c r="I100" t="s">
        <v>434</v>
      </c>
      <c r="J100">
        <v>3001</v>
      </c>
      <c r="K100">
        <v>3000</v>
      </c>
      <c r="L100" t="s">
        <v>792</v>
      </c>
      <c r="M100">
        <v>4</v>
      </c>
      <c r="N100" t="s">
        <v>167</v>
      </c>
      <c r="O100" t="s">
        <v>167</v>
      </c>
      <c r="P100" t="s">
        <v>420</v>
      </c>
      <c r="Q100" t="s">
        <v>790</v>
      </c>
      <c r="R100" t="s">
        <v>532</v>
      </c>
      <c r="S100">
        <v>2009</v>
      </c>
      <c r="T100">
        <v>7</v>
      </c>
      <c r="U100" t="s">
        <v>370</v>
      </c>
      <c r="V100" t="s">
        <v>408</v>
      </c>
      <c r="W100">
        <v>0</v>
      </c>
      <c r="X100">
        <v>0</v>
      </c>
      <c r="Y100" t="s">
        <v>408</v>
      </c>
      <c r="Z100">
        <v>2009</v>
      </c>
      <c r="AA100">
        <v>2009</v>
      </c>
      <c r="AB100" s="5">
        <v>0.25178964695200001</v>
      </c>
      <c r="AC100" s="5">
        <v>0.25178964695200001</v>
      </c>
      <c r="AD100" t="s">
        <v>408</v>
      </c>
      <c r="AE100" t="s">
        <v>411</v>
      </c>
      <c r="AF100" t="s">
        <v>447</v>
      </c>
      <c r="AG100" t="s">
        <v>152</v>
      </c>
      <c r="AH100" t="s">
        <v>408</v>
      </c>
      <c r="AI100" t="s">
        <v>408</v>
      </c>
      <c r="AJ100" t="s">
        <v>408</v>
      </c>
      <c r="AK100" t="s">
        <v>408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 s="58">
        <f t="shared" si="1"/>
        <v>1</v>
      </c>
      <c r="AU100" s="79">
        <v>43341</v>
      </c>
      <c r="AV100" s="78" t="s">
        <v>410</v>
      </c>
      <c r="AW100" t="s">
        <v>408</v>
      </c>
      <c r="AX100">
        <v>3</v>
      </c>
      <c r="AY100" t="s">
        <v>412</v>
      </c>
      <c r="AZ100" t="s">
        <v>408</v>
      </c>
    </row>
    <row r="101" spans="1:52" x14ac:dyDescent="0.3">
      <c r="A101">
        <v>90</v>
      </c>
      <c r="B101" t="s">
        <v>489</v>
      </c>
      <c r="C101" t="s">
        <v>152</v>
      </c>
      <c r="D101" t="s">
        <v>490</v>
      </c>
      <c r="E101" t="s">
        <v>460</v>
      </c>
      <c r="F101" t="s">
        <v>408</v>
      </c>
      <c r="G101">
        <v>1600</v>
      </c>
      <c r="H101">
        <v>1601</v>
      </c>
      <c r="I101" t="s">
        <v>541</v>
      </c>
      <c r="J101">
        <v>2237</v>
      </c>
      <c r="K101">
        <v>2238</v>
      </c>
      <c r="L101" t="s">
        <v>474</v>
      </c>
      <c r="M101">
        <v>3</v>
      </c>
      <c r="N101" t="s">
        <v>167</v>
      </c>
      <c r="O101" t="s">
        <v>569</v>
      </c>
      <c r="P101" t="s">
        <v>403</v>
      </c>
      <c r="Q101" t="s">
        <v>793</v>
      </c>
      <c r="R101" t="s">
        <v>794</v>
      </c>
      <c r="S101">
        <v>2020</v>
      </c>
      <c r="T101">
        <v>8</v>
      </c>
      <c r="U101" t="s">
        <v>795</v>
      </c>
      <c r="V101" t="s">
        <v>408</v>
      </c>
      <c r="W101">
        <v>0</v>
      </c>
      <c r="X101">
        <v>0</v>
      </c>
      <c r="Y101" t="s">
        <v>408</v>
      </c>
      <c r="Z101">
        <v>2020</v>
      </c>
      <c r="AA101">
        <v>2020</v>
      </c>
      <c r="AB101" s="5">
        <v>0.876007081548</v>
      </c>
      <c r="AC101" s="5">
        <v>1.7520141630999999</v>
      </c>
      <c r="AD101" t="s">
        <v>408</v>
      </c>
      <c r="AE101" t="s">
        <v>152</v>
      </c>
      <c r="AF101" t="s">
        <v>408</v>
      </c>
      <c r="AG101" t="s">
        <v>408</v>
      </c>
      <c r="AH101" t="s">
        <v>408</v>
      </c>
      <c r="AI101" t="s">
        <v>408</v>
      </c>
      <c r="AJ101" t="s">
        <v>408</v>
      </c>
      <c r="AK101" t="s">
        <v>408</v>
      </c>
      <c r="AL101">
        <v>0</v>
      </c>
      <c r="AM101">
        <v>0</v>
      </c>
      <c r="AN101">
        <v>0.75</v>
      </c>
      <c r="AO101">
        <v>0.25</v>
      </c>
      <c r="AP101">
        <v>0</v>
      </c>
      <c r="AQ101">
        <v>0</v>
      </c>
      <c r="AR101">
        <v>0</v>
      </c>
      <c r="AS101">
        <v>0</v>
      </c>
      <c r="AT101" s="58">
        <f t="shared" si="1"/>
        <v>1</v>
      </c>
      <c r="AU101" s="79" t="s">
        <v>769</v>
      </c>
      <c r="AV101" t="s">
        <v>410</v>
      </c>
      <c r="AW101" t="s">
        <v>408</v>
      </c>
      <c r="AX101">
        <v>2</v>
      </c>
      <c r="AY101" t="s">
        <v>412</v>
      </c>
      <c r="AZ101" t="s">
        <v>408</v>
      </c>
    </row>
    <row r="102" spans="1:52" x14ac:dyDescent="0.3">
      <c r="A102">
        <v>91</v>
      </c>
      <c r="B102" t="s">
        <v>796</v>
      </c>
      <c r="C102" t="s">
        <v>447</v>
      </c>
      <c r="D102" t="s">
        <v>797</v>
      </c>
      <c r="E102" t="s">
        <v>417</v>
      </c>
      <c r="F102" t="s">
        <v>408</v>
      </c>
      <c r="G102">
        <v>2700</v>
      </c>
      <c r="H102">
        <v>2701</v>
      </c>
      <c r="I102" t="s">
        <v>798</v>
      </c>
      <c r="J102">
        <v>3126</v>
      </c>
      <c r="K102">
        <v>3127</v>
      </c>
      <c r="L102" t="s">
        <v>550</v>
      </c>
      <c r="M102">
        <v>4</v>
      </c>
      <c r="N102" t="s">
        <v>167</v>
      </c>
      <c r="O102" t="s">
        <v>167</v>
      </c>
      <c r="P102" t="s">
        <v>420</v>
      </c>
      <c r="Q102" t="s">
        <v>799</v>
      </c>
      <c r="R102" t="s">
        <v>800</v>
      </c>
      <c r="S102">
        <v>2012</v>
      </c>
      <c r="T102">
        <v>5</v>
      </c>
      <c r="U102" t="s">
        <v>370</v>
      </c>
      <c r="V102" t="s">
        <v>408</v>
      </c>
      <c r="W102">
        <v>0</v>
      </c>
      <c r="X102">
        <v>0</v>
      </c>
      <c r="Y102" t="s">
        <v>408</v>
      </c>
      <c r="Z102">
        <v>2012</v>
      </c>
      <c r="AA102">
        <v>2012</v>
      </c>
      <c r="AB102" s="5">
        <v>0.56639420812600005</v>
      </c>
      <c r="AC102" s="5">
        <v>1.1327884162499999</v>
      </c>
      <c r="AD102" t="s">
        <v>408</v>
      </c>
      <c r="AE102" t="s">
        <v>152</v>
      </c>
      <c r="AF102" t="s">
        <v>408</v>
      </c>
      <c r="AG102" t="s">
        <v>408</v>
      </c>
      <c r="AH102" t="s">
        <v>408</v>
      </c>
      <c r="AI102" t="s">
        <v>408</v>
      </c>
      <c r="AJ102" t="s">
        <v>408</v>
      </c>
      <c r="AK102" t="s">
        <v>408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 s="58">
        <f t="shared" si="1"/>
        <v>1</v>
      </c>
      <c r="AU102" s="79">
        <v>43342</v>
      </c>
      <c r="AV102" s="78" t="s">
        <v>410</v>
      </c>
      <c r="AW102" t="s">
        <v>408</v>
      </c>
      <c r="AX102">
        <v>3</v>
      </c>
      <c r="AY102" t="s">
        <v>412</v>
      </c>
      <c r="AZ102" t="s">
        <v>408</v>
      </c>
    </row>
    <row r="103" spans="1:52" x14ac:dyDescent="0.3">
      <c r="A103">
        <v>92</v>
      </c>
      <c r="B103" t="s">
        <v>801</v>
      </c>
      <c r="C103" t="s">
        <v>152</v>
      </c>
      <c r="D103" t="s">
        <v>802</v>
      </c>
      <c r="E103" t="s">
        <v>460</v>
      </c>
      <c r="F103" t="s">
        <v>408</v>
      </c>
      <c r="G103">
        <v>3200</v>
      </c>
      <c r="H103">
        <v>3201</v>
      </c>
      <c r="I103" t="s">
        <v>803</v>
      </c>
      <c r="J103">
        <v>3376</v>
      </c>
      <c r="K103">
        <v>3373</v>
      </c>
      <c r="L103" t="s">
        <v>804</v>
      </c>
      <c r="M103">
        <v>4</v>
      </c>
      <c r="N103" t="s">
        <v>163</v>
      </c>
      <c r="O103" t="s">
        <v>163</v>
      </c>
      <c r="P103" t="s">
        <v>403</v>
      </c>
      <c r="Q103" t="s">
        <v>408</v>
      </c>
      <c r="R103" t="s">
        <v>805</v>
      </c>
      <c r="S103">
        <v>2021</v>
      </c>
      <c r="T103">
        <v>7</v>
      </c>
      <c r="U103" t="s">
        <v>408</v>
      </c>
      <c r="V103" t="s">
        <v>408</v>
      </c>
      <c r="W103">
        <v>0</v>
      </c>
      <c r="X103">
        <v>0</v>
      </c>
      <c r="Y103" t="s">
        <v>408</v>
      </c>
      <c r="Z103">
        <v>2021</v>
      </c>
      <c r="AA103">
        <v>2021</v>
      </c>
      <c r="AB103" s="5">
        <v>0.266019240943</v>
      </c>
      <c r="AC103" s="5">
        <v>0.532038481886</v>
      </c>
      <c r="AD103" t="s">
        <v>408</v>
      </c>
      <c r="AE103" t="s">
        <v>152</v>
      </c>
      <c r="AF103" t="s">
        <v>408</v>
      </c>
      <c r="AG103" t="s">
        <v>152</v>
      </c>
      <c r="AH103" t="s">
        <v>408</v>
      </c>
      <c r="AI103" t="s">
        <v>438</v>
      </c>
      <c r="AJ103" t="s">
        <v>400</v>
      </c>
      <c r="AK103" t="s">
        <v>408</v>
      </c>
      <c r="AL103">
        <v>2021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58">
        <f t="shared" si="1"/>
        <v>1</v>
      </c>
      <c r="AU103" s="79" t="s">
        <v>471</v>
      </c>
      <c r="AV103" t="s">
        <v>410</v>
      </c>
      <c r="AW103" t="s">
        <v>411</v>
      </c>
      <c r="AX103">
        <v>3</v>
      </c>
      <c r="AY103" t="s">
        <v>412</v>
      </c>
      <c r="AZ103">
        <v>20</v>
      </c>
    </row>
    <row r="104" spans="1:52" x14ac:dyDescent="0.3">
      <c r="A104">
        <v>93</v>
      </c>
      <c r="B104" t="s">
        <v>806</v>
      </c>
      <c r="C104" t="s">
        <v>155</v>
      </c>
      <c r="D104" t="s">
        <v>807</v>
      </c>
      <c r="E104" t="s">
        <v>460</v>
      </c>
      <c r="F104" t="s">
        <v>408</v>
      </c>
      <c r="G104">
        <v>2295</v>
      </c>
      <c r="H104">
        <v>2284</v>
      </c>
      <c r="I104" t="s">
        <v>808</v>
      </c>
      <c r="J104">
        <v>2201</v>
      </c>
      <c r="K104">
        <v>2200</v>
      </c>
      <c r="L104" t="s">
        <v>492</v>
      </c>
      <c r="M104">
        <v>3</v>
      </c>
      <c r="N104" t="s">
        <v>167</v>
      </c>
      <c r="O104" t="s">
        <v>167</v>
      </c>
      <c r="P104" t="s">
        <v>420</v>
      </c>
      <c r="Q104" t="s">
        <v>408</v>
      </c>
      <c r="R104" t="s">
        <v>493</v>
      </c>
      <c r="S104">
        <v>2007</v>
      </c>
      <c r="T104">
        <v>7</v>
      </c>
      <c r="U104" t="s">
        <v>452</v>
      </c>
      <c r="V104" t="s">
        <v>695</v>
      </c>
      <c r="W104">
        <v>2020</v>
      </c>
      <c r="X104">
        <v>2020</v>
      </c>
      <c r="Y104" t="s">
        <v>370</v>
      </c>
      <c r="Z104">
        <v>2020</v>
      </c>
      <c r="AA104">
        <v>2020</v>
      </c>
      <c r="AB104" s="5">
        <v>0.22560978557700001</v>
      </c>
      <c r="AC104" s="5">
        <v>0.45121957115400002</v>
      </c>
      <c r="AD104" t="s">
        <v>408</v>
      </c>
      <c r="AE104" t="s">
        <v>152</v>
      </c>
      <c r="AF104" t="s">
        <v>408</v>
      </c>
      <c r="AG104" t="s">
        <v>408</v>
      </c>
      <c r="AH104" t="s">
        <v>408</v>
      </c>
      <c r="AI104" t="s">
        <v>408</v>
      </c>
      <c r="AJ104" t="s">
        <v>408</v>
      </c>
      <c r="AK104" t="s">
        <v>411</v>
      </c>
      <c r="AL104">
        <v>2018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 s="58">
        <f t="shared" si="1"/>
        <v>1</v>
      </c>
      <c r="AU104" s="79" t="s">
        <v>431</v>
      </c>
      <c r="AV104" s="78" t="s">
        <v>410</v>
      </c>
      <c r="AW104" t="s">
        <v>408</v>
      </c>
      <c r="AX104">
        <v>2</v>
      </c>
      <c r="AY104" t="s">
        <v>412</v>
      </c>
      <c r="AZ104" t="s">
        <v>408</v>
      </c>
    </row>
    <row r="105" spans="1:52" x14ac:dyDescent="0.3">
      <c r="A105">
        <v>94</v>
      </c>
      <c r="B105" t="s">
        <v>477</v>
      </c>
      <c r="C105" t="s">
        <v>152</v>
      </c>
      <c r="D105" t="s">
        <v>478</v>
      </c>
      <c r="E105" t="s">
        <v>417</v>
      </c>
      <c r="F105" t="s">
        <v>408</v>
      </c>
      <c r="G105">
        <v>3300</v>
      </c>
      <c r="H105">
        <v>3301</v>
      </c>
      <c r="I105" t="s">
        <v>809</v>
      </c>
      <c r="J105">
        <v>3600</v>
      </c>
      <c r="K105">
        <v>3601</v>
      </c>
      <c r="L105" t="s">
        <v>573</v>
      </c>
      <c r="M105">
        <v>2</v>
      </c>
      <c r="N105" t="s">
        <v>167</v>
      </c>
      <c r="O105" t="s">
        <v>167</v>
      </c>
      <c r="P105" t="s">
        <v>414</v>
      </c>
      <c r="Q105" t="s">
        <v>408</v>
      </c>
      <c r="R105" t="s">
        <v>810</v>
      </c>
      <c r="S105">
        <v>2004</v>
      </c>
      <c r="T105">
        <v>7</v>
      </c>
      <c r="U105" t="s">
        <v>408</v>
      </c>
      <c r="V105" t="s">
        <v>487</v>
      </c>
      <c r="W105">
        <v>2020</v>
      </c>
      <c r="X105">
        <v>0</v>
      </c>
      <c r="Y105" t="s">
        <v>408</v>
      </c>
      <c r="Z105">
        <v>2020</v>
      </c>
      <c r="AA105">
        <v>2012</v>
      </c>
      <c r="AB105" s="5">
        <v>0.38106022271700002</v>
      </c>
      <c r="AC105" s="5">
        <v>0.76212044543400004</v>
      </c>
      <c r="AD105" t="s">
        <v>408</v>
      </c>
      <c r="AE105" t="s">
        <v>152</v>
      </c>
      <c r="AF105" t="s">
        <v>408</v>
      </c>
      <c r="AG105" t="s">
        <v>408</v>
      </c>
      <c r="AH105" t="s">
        <v>408</v>
      </c>
      <c r="AI105" t="s">
        <v>408</v>
      </c>
      <c r="AJ105" t="s">
        <v>408</v>
      </c>
      <c r="AK105" t="s">
        <v>408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58">
        <f t="shared" si="1"/>
        <v>1</v>
      </c>
      <c r="AU105" s="79" t="s">
        <v>488</v>
      </c>
      <c r="AV105" s="78" t="s">
        <v>410</v>
      </c>
      <c r="AW105" t="s">
        <v>408</v>
      </c>
      <c r="AX105">
        <v>2</v>
      </c>
      <c r="AY105" t="s">
        <v>412</v>
      </c>
      <c r="AZ105" t="s">
        <v>408</v>
      </c>
    </row>
    <row r="106" spans="1:52" x14ac:dyDescent="0.3">
      <c r="A106">
        <v>95</v>
      </c>
      <c r="B106" t="s">
        <v>811</v>
      </c>
      <c r="C106" t="s">
        <v>154</v>
      </c>
      <c r="D106" t="s">
        <v>812</v>
      </c>
      <c r="E106" t="s">
        <v>399</v>
      </c>
      <c r="F106" t="s">
        <v>408</v>
      </c>
      <c r="G106">
        <v>1559</v>
      </c>
      <c r="H106">
        <v>1558</v>
      </c>
      <c r="I106" t="s">
        <v>813</v>
      </c>
      <c r="J106">
        <v>801</v>
      </c>
      <c r="K106">
        <v>800</v>
      </c>
      <c r="L106" t="s">
        <v>814</v>
      </c>
      <c r="M106">
        <v>2</v>
      </c>
      <c r="N106" t="s">
        <v>167</v>
      </c>
      <c r="O106" t="s">
        <v>167</v>
      </c>
      <c r="P106" t="s">
        <v>414</v>
      </c>
      <c r="Q106" t="s">
        <v>408</v>
      </c>
      <c r="R106" t="s">
        <v>815</v>
      </c>
      <c r="S106">
        <v>2008</v>
      </c>
      <c r="T106">
        <v>8</v>
      </c>
      <c r="U106" t="s">
        <v>408</v>
      </c>
      <c r="V106" t="s">
        <v>407</v>
      </c>
      <c r="W106">
        <v>2020</v>
      </c>
      <c r="X106">
        <v>0</v>
      </c>
      <c r="Y106" t="s">
        <v>408</v>
      </c>
      <c r="Z106">
        <v>2020</v>
      </c>
      <c r="AA106">
        <v>2013</v>
      </c>
      <c r="AB106" s="5">
        <v>1.0044075971499999</v>
      </c>
      <c r="AC106" s="5">
        <v>2.0088151942999999</v>
      </c>
      <c r="AD106" t="s">
        <v>408</v>
      </c>
      <c r="AE106" t="s">
        <v>152</v>
      </c>
      <c r="AF106" t="s">
        <v>408</v>
      </c>
      <c r="AG106" t="s">
        <v>408</v>
      </c>
      <c r="AH106" t="s">
        <v>408</v>
      </c>
      <c r="AI106" t="s">
        <v>408</v>
      </c>
      <c r="AJ106" t="s">
        <v>408</v>
      </c>
      <c r="AK106" t="s">
        <v>408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s="58">
        <f t="shared" si="1"/>
        <v>1</v>
      </c>
      <c r="AU106" s="79" t="s">
        <v>431</v>
      </c>
      <c r="AV106" t="s">
        <v>410</v>
      </c>
      <c r="AW106" t="s">
        <v>408</v>
      </c>
      <c r="AX106">
        <v>2</v>
      </c>
      <c r="AY106" t="s">
        <v>412</v>
      </c>
      <c r="AZ106" t="s">
        <v>408</v>
      </c>
    </row>
    <row r="107" spans="1:52" x14ac:dyDescent="0.3">
      <c r="A107">
        <v>96</v>
      </c>
      <c r="B107" t="s">
        <v>538</v>
      </c>
      <c r="C107" t="s">
        <v>152</v>
      </c>
      <c r="D107" t="s">
        <v>539</v>
      </c>
      <c r="E107" t="s">
        <v>417</v>
      </c>
      <c r="F107" t="s">
        <v>408</v>
      </c>
      <c r="G107">
        <v>2500</v>
      </c>
      <c r="H107">
        <v>2501</v>
      </c>
      <c r="I107" t="s">
        <v>816</v>
      </c>
      <c r="J107">
        <v>2742</v>
      </c>
      <c r="K107">
        <v>2739</v>
      </c>
      <c r="L107" t="s">
        <v>483</v>
      </c>
      <c r="M107">
        <v>3</v>
      </c>
      <c r="N107" t="s">
        <v>167</v>
      </c>
      <c r="O107" t="s">
        <v>167</v>
      </c>
      <c r="P107" t="s">
        <v>420</v>
      </c>
      <c r="Q107" t="s">
        <v>408</v>
      </c>
      <c r="R107" t="s">
        <v>624</v>
      </c>
      <c r="S107">
        <v>2006</v>
      </c>
      <c r="T107">
        <v>6</v>
      </c>
      <c r="U107" t="s">
        <v>817</v>
      </c>
      <c r="V107" t="s">
        <v>482</v>
      </c>
      <c r="W107">
        <v>2018</v>
      </c>
      <c r="X107">
        <v>11</v>
      </c>
      <c r="Y107" t="s">
        <v>818</v>
      </c>
      <c r="Z107">
        <v>2018</v>
      </c>
      <c r="AA107">
        <v>2018</v>
      </c>
      <c r="AB107" s="5">
        <v>0.38418241702700001</v>
      </c>
      <c r="AC107" s="5">
        <v>0.76836483405400002</v>
      </c>
      <c r="AD107" t="s">
        <v>408</v>
      </c>
      <c r="AE107" t="s">
        <v>152</v>
      </c>
      <c r="AF107" t="s">
        <v>408</v>
      </c>
      <c r="AG107" t="s">
        <v>408</v>
      </c>
      <c r="AH107" t="s">
        <v>408</v>
      </c>
      <c r="AI107" t="s">
        <v>408</v>
      </c>
      <c r="AJ107" t="s">
        <v>408</v>
      </c>
      <c r="AK107" t="s">
        <v>408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58">
        <f t="shared" si="1"/>
        <v>1</v>
      </c>
      <c r="AU107" s="79">
        <v>43336</v>
      </c>
      <c r="AV107" s="78" t="s">
        <v>410</v>
      </c>
      <c r="AW107" t="s">
        <v>408</v>
      </c>
      <c r="AX107">
        <v>2</v>
      </c>
      <c r="AY107" t="s">
        <v>412</v>
      </c>
      <c r="AZ107" t="s">
        <v>408</v>
      </c>
    </row>
    <row r="108" spans="1:52" x14ac:dyDescent="0.3">
      <c r="A108">
        <v>97</v>
      </c>
      <c r="B108" t="s">
        <v>819</v>
      </c>
      <c r="C108" t="s">
        <v>154</v>
      </c>
      <c r="D108" t="s">
        <v>820</v>
      </c>
      <c r="E108" t="s">
        <v>417</v>
      </c>
      <c r="F108" t="s">
        <v>447</v>
      </c>
      <c r="G108">
        <v>130</v>
      </c>
      <c r="H108">
        <v>131</v>
      </c>
      <c r="I108" t="s">
        <v>821</v>
      </c>
      <c r="J108">
        <v>46</v>
      </c>
      <c r="K108">
        <v>45</v>
      </c>
      <c r="L108" t="s">
        <v>565</v>
      </c>
      <c r="M108">
        <v>4</v>
      </c>
      <c r="N108" t="s">
        <v>167</v>
      </c>
      <c r="O108" t="s">
        <v>167</v>
      </c>
      <c r="P108" t="s">
        <v>414</v>
      </c>
      <c r="Q108" t="s">
        <v>408</v>
      </c>
      <c r="R108" t="s">
        <v>547</v>
      </c>
      <c r="S108">
        <v>2010</v>
      </c>
      <c r="T108">
        <v>11</v>
      </c>
      <c r="U108" t="s">
        <v>452</v>
      </c>
      <c r="V108" t="s">
        <v>487</v>
      </c>
      <c r="W108">
        <v>2020</v>
      </c>
      <c r="X108">
        <v>0</v>
      </c>
      <c r="Y108" t="s">
        <v>408</v>
      </c>
      <c r="Z108">
        <v>2020</v>
      </c>
      <c r="AA108">
        <v>0</v>
      </c>
      <c r="AB108" s="5">
        <v>0.151168290485</v>
      </c>
      <c r="AC108" s="5">
        <v>0.151168290485</v>
      </c>
      <c r="AD108" t="s">
        <v>408</v>
      </c>
      <c r="AE108" t="s">
        <v>411</v>
      </c>
      <c r="AF108" t="s">
        <v>447</v>
      </c>
      <c r="AG108" t="s">
        <v>152</v>
      </c>
      <c r="AH108" t="s">
        <v>408</v>
      </c>
      <c r="AI108" t="s">
        <v>408</v>
      </c>
      <c r="AJ108" t="s">
        <v>408</v>
      </c>
      <c r="AK108" t="s">
        <v>408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 s="58">
        <f t="shared" si="1"/>
        <v>1</v>
      </c>
      <c r="AU108" s="79" t="s">
        <v>488</v>
      </c>
      <c r="AV108" s="78" t="s">
        <v>410</v>
      </c>
      <c r="AW108" t="s">
        <v>408</v>
      </c>
      <c r="AX108">
        <v>2</v>
      </c>
      <c r="AY108" t="s">
        <v>412</v>
      </c>
      <c r="AZ108" t="s">
        <v>408</v>
      </c>
    </row>
    <row r="109" spans="1:52" x14ac:dyDescent="0.3">
      <c r="A109">
        <v>98</v>
      </c>
      <c r="B109" t="s">
        <v>557</v>
      </c>
      <c r="C109" t="s">
        <v>152</v>
      </c>
      <c r="D109" t="s">
        <v>558</v>
      </c>
      <c r="E109" t="s">
        <v>460</v>
      </c>
      <c r="F109" t="s">
        <v>408</v>
      </c>
      <c r="G109">
        <v>2400</v>
      </c>
      <c r="H109">
        <v>2401</v>
      </c>
      <c r="I109" t="s">
        <v>619</v>
      </c>
      <c r="J109">
        <v>2200</v>
      </c>
      <c r="K109">
        <v>2201</v>
      </c>
      <c r="L109" t="s">
        <v>568</v>
      </c>
      <c r="M109">
        <v>3</v>
      </c>
      <c r="N109" t="s">
        <v>167</v>
      </c>
      <c r="O109" t="s">
        <v>569</v>
      </c>
      <c r="P109" t="s">
        <v>420</v>
      </c>
      <c r="Q109" t="s">
        <v>408</v>
      </c>
      <c r="R109" t="s">
        <v>719</v>
      </c>
      <c r="S109">
        <v>2005</v>
      </c>
      <c r="T109">
        <v>7</v>
      </c>
      <c r="U109" t="s">
        <v>822</v>
      </c>
      <c r="V109" t="s">
        <v>571</v>
      </c>
      <c r="W109">
        <v>2017</v>
      </c>
      <c r="X109">
        <v>9</v>
      </c>
      <c r="Y109" t="s">
        <v>408</v>
      </c>
      <c r="Z109">
        <v>2017</v>
      </c>
      <c r="AA109">
        <v>2005</v>
      </c>
      <c r="AB109" s="5">
        <v>0.33866208017999999</v>
      </c>
      <c r="AC109" s="5">
        <v>0.67732416035999998</v>
      </c>
      <c r="AD109" t="s">
        <v>408</v>
      </c>
      <c r="AE109" t="s">
        <v>152</v>
      </c>
      <c r="AF109" t="s">
        <v>408</v>
      </c>
      <c r="AG109" t="s">
        <v>408</v>
      </c>
      <c r="AH109" t="s">
        <v>408</v>
      </c>
      <c r="AI109" t="s">
        <v>408</v>
      </c>
      <c r="AJ109" t="s">
        <v>408</v>
      </c>
      <c r="AK109" t="s">
        <v>408</v>
      </c>
      <c r="AL109">
        <v>0</v>
      </c>
      <c r="AM109">
        <v>0</v>
      </c>
      <c r="AN109">
        <v>0.9</v>
      </c>
      <c r="AO109">
        <v>0.1</v>
      </c>
      <c r="AP109">
        <v>0</v>
      </c>
      <c r="AQ109">
        <v>0</v>
      </c>
      <c r="AR109">
        <v>0</v>
      </c>
      <c r="AS109">
        <v>0</v>
      </c>
      <c r="AT109" s="58">
        <f t="shared" si="1"/>
        <v>1</v>
      </c>
      <c r="AU109" s="79" t="s">
        <v>823</v>
      </c>
      <c r="AV109" s="78" t="s">
        <v>410</v>
      </c>
      <c r="AW109" t="s">
        <v>408</v>
      </c>
      <c r="AX109">
        <v>2</v>
      </c>
      <c r="AY109" t="s">
        <v>412</v>
      </c>
      <c r="AZ109">
        <v>20</v>
      </c>
    </row>
    <row r="110" spans="1:52" x14ac:dyDescent="0.3">
      <c r="A110">
        <v>99</v>
      </c>
      <c r="B110" t="s">
        <v>477</v>
      </c>
      <c r="C110" t="s">
        <v>155</v>
      </c>
      <c r="D110" t="s">
        <v>478</v>
      </c>
      <c r="E110" t="s">
        <v>417</v>
      </c>
      <c r="F110" t="s">
        <v>408</v>
      </c>
      <c r="G110">
        <v>339</v>
      </c>
      <c r="H110">
        <v>340</v>
      </c>
      <c r="I110" t="s">
        <v>442</v>
      </c>
      <c r="J110">
        <v>101</v>
      </c>
      <c r="K110">
        <v>100</v>
      </c>
      <c r="L110" t="s">
        <v>634</v>
      </c>
      <c r="M110">
        <v>2</v>
      </c>
      <c r="N110" t="s">
        <v>170</v>
      </c>
      <c r="O110" t="s">
        <v>170</v>
      </c>
      <c r="P110" t="s">
        <v>414</v>
      </c>
      <c r="Q110" t="s">
        <v>408</v>
      </c>
      <c r="R110" t="s">
        <v>493</v>
      </c>
      <c r="S110">
        <v>2007</v>
      </c>
      <c r="T110">
        <v>5</v>
      </c>
      <c r="U110" t="s">
        <v>408</v>
      </c>
      <c r="V110" t="s">
        <v>562</v>
      </c>
      <c r="W110">
        <v>2015</v>
      </c>
      <c r="X110">
        <v>4</v>
      </c>
      <c r="Y110" t="s">
        <v>370</v>
      </c>
      <c r="Z110">
        <v>2015</v>
      </c>
      <c r="AA110">
        <v>2015</v>
      </c>
      <c r="AB110" s="5">
        <v>0.26380765021899999</v>
      </c>
      <c r="AC110" s="5">
        <v>0.52761530043799998</v>
      </c>
      <c r="AD110" t="s">
        <v>408</v>
      </c>
      <c r="AE110" t="s">
        <v>152</v>
      </c>
      <c r="AF110" t="s">
        <v>408</v>
      </c>
      <c r="AG110" t="s">
        <v>408</v>
      </c>
      <c r="AH110" t="s">
        <v>408</v>
      </c>
      <c r="AI110" t="s">
        <v>408</v>
      </c>
      <c r="AJ110" t="s">
        <v>408</v>
      </c>
      <c r="AK110" t="s">
        <v>408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 s="58">
        <f t="shared" si="1"/>
        <v>1</v>
      </c>
      <c r="AU110" s="79">
        <v>43333</v>
      </c>
      <c r="AV110" s="78" t="s">
        <v>410</v>
      </c>
      <c r="AW110" t="s">
        <v>408</v>
      </c>
      <c r="AX110">
        <v>2</v>
      </c>
      <c r="AY110" t="s">
        <v>412</v>
      </c>
      <c r="AZ110" t="s">
        <v>408</v>
      </c>
    </row>
    <row r="111" spans="1:52" x14ac:dyDescent="0.3">
      <c r="A111">
        <v>100</v>
      </c>
      <c r="B111" t="s">
        <v>824</v>
      </c>
      <c r="C111" t="s">
        <v>152</v>
      </c>
      <c r="D111" t="s">
        <v>825</v>
      </c>
      <c r="E111" t="s">
        <v>460</v>
      </c>
      <c r="F111" t="s">
        <v>155</v>
      </c>
      <c r="G111">
        <v>4800</v>
      </c>
      <c r="H111">
        <v>4801</v>
      </c>
      <c r="I111" t="s">
        <v>826</v>
      </c>
      <c r="J111">
        <v>4854</v>
      </c>
      <c r="K111">
        <v>4855</v>
      </c>
      <c r="L111" t="s">
        <v>827</v>
      </c>
      <c r="M111">
        <v>4</v>
      </c>
      <c r="N111" t="s">
        <v>170</v>
      </c>
      <c r="O111" t="s">
        <v>170</v>
      </c>
      <c r="P111" t="s">
        <v>420</v>
      </c>
      <c r="Q111" t="s">
        <v>828</v>
      </c>
      <c r="R111" t="s">
        <v>829</v>
      </c>
      <c r="S111">
        <v>2006</v>
      </c>
      <c r="T111">
        <v>5</v>
      </c>
      <c r="U111" t="s">
        <v>408</v>
      </c>
      <c r="V111" t="s">
        <v>408</v>
      </c>
      <c r="W111">
        <v>0</v>
      </c>
      <c r="X111">
        <v>0</v>
      </c>
      <c r="Y111" t="s">
        <v>408</v>
      </c>
      <c r="Z111">
        <v>2006</v>
      </c>
      <c r="AA111">
        <v>0</v>
      </c>
      <c r="AB111" s="5">
        <v>0.13700875070499999</v>
      </c>
      <c r="AC111" s="5">
        <v>0.13700875070499999</v>
      </c>
      <c r="AD111" t="s">
        <v>408</v>
      </c>
      <c r="AE111" t="s">
        <v>411</v>
      </c>
      <c r="AF111" t="s">
        <v>155</v>
      </c>
      <c r="AG111" t="s">
        <v>152</v>
      </c>
      <c r="AH111" t="s">
        <v>408</v>
      </c>
      <c r="AI111" t="s">
        <v>408</v>
      </c>
      <c r="AJ111" t="s">
        <v>408</v>
      </c>
      <c r="AK111" t="s">
        <v>408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58">
        <f t="shared" si="1"/>
        <v>1</v>
      </c>
      <c r="AU111" s="79">
        <v>43342</v>
      </c>
      <c r="AV111" s="78" t="s">
        <v>410</v>
      </c>
      <c r="AW111" t="s">
        <v>408</v>
      </c>
      <c r="AX111">
        <v>3</v>
      </c>
      <c r="AY111" t="s">
        <v>17</v>
      </c>
      <c r="AZ111" t="s">
        <v>408</v>
      </c>
    </row>
    <row r="112" spans="1:52" x14ac:dyDescent="0.3">
      <c r="A112">
        <v>101</v>
      </c>
      <c r="B112" t="s">
        <v>704</v>
      </c>
      <c r="C112" t="s">
        <v>154</v>
      </c>
      <c r="D112" t="s">
        <v>705</v>
      </c>
      <c r="E112" t="s">
        <v>460</v>
      </c>
      <c r="F112" t="s">
        <v>447</v>
      </c>
      <c r="G112">
        <v>1031</v>
      </c>
      <c r="H112">
        <v>1030</v>
      </c>
      <c r="I112" t="s">
        <v>707</v>
      </c>
      <c r="J112">
        <v>1000</v>
      </c>
      <c r="K112">
        <v>1001</v>
      </c>
      <c r="L112" t="s">
        <v>517</v>
      </c>
      <c r="M112">
        <v>4</v>
      </c>
      <c r="N112" t="s">
        <v>168</v>
      </c>
      <c r="O112" t="s">
        <v>170</v>
      </c>
      <c r="P112" t="s">
        <v>414</v>
      </c>
      <c r="Q112" t="s">
        <v>408</v>
      </c>
      <c r="R112" t="s">
        <v>679</v>
      </c>
      <c r="S112">
        <v>2017</v>
      </c>
      <c r="T112">
        <v>9</v>
      </c>
      <c r="U112" t="s">
        <v>708</v>
      </c>
      <c r="V112" t="s">
        <v>408</v>
      </c>
      <c r="W112">
        <v>0</v>
      </c>
      <c r="X112">
        <v>0</v>
      </c>
      <c r="Y112" t="s">
        <v>830</v>
      </c>
      <c r="Z112">
        <v>2017</v>
      </c>
      <c r="AA112">
        <v>2011</v>
      </c>
      <c r="AB112" s="5">
        <v>7.3502191648099999E-2</v>
      </c>
      <c r="AC112" s="5">
        <v>0.14700438329599999</v>
      </c>
      <c r="AD112" t="s">
        <v>408</v>
      </c>
      <c r="AE112" t="s">
        <v>152</v>
      </c>
      <c r="AF112" t="s">
        <v>408</v>
      </c>
      <c r="AG112" t="s">
        <v>411</v>
      </c>
      <c r="AH112" t="s">
        <v>408</v>
      </c>
      <c r="AI112" t="s">
        <v>408</v>
      </c>
      <c r="AJ112" t="s">
        <v>408</v>
      </c>
      <c r="AK112" t="s">
        <v>408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58">
        <f t="shared" si="1"/>
        <v>1</v>
      </c>
      <c r="AU112" s="79">
        <v>43340</v>
      </c>
      <c r="AV112" s="78" t="s">
        <v>410</v>
      </c>
      <c r="AW112" t="s">
        <v>408</v>
      </c>
      <c r="AX112">
        <v>3</v>
      </c>
      <c r="AY112" t="s">
        <v>17</v>
      </c>
      <c r="AZ112" t="s">
        <v>408</v>
      </c>
    </row>
    <row r="113" spans="1:52" x14ac:dyDescent="0.3">
      <c r="A113">
        <v>102</v>
      </c>
      <c r="B113" t="s">
        <v>831</v>
      </c>
      <c r="C113" t="s">
        <v>447</v>
      </c>
      <c r="D113" t="s">
        <v>832</v>
      </c>
      <c r="E113" t="s">
        <v>426</v>
      </c>
      <c r="F113" t="s">
        <v>400</v>
      </c>
      <c r="G113">
        <v>440</v>
      </c>
      <c r="H113">
        <v>441</v>
      </c>
      <c r="I113" t="s">
        <v>638</v>
      </c>
      <c r="J113">
        <v>558</v>
      </c>
      <c r="K113">
        <v>559</v>
      </c>
      <c r="L113" t="s">
        <v>595</v>
      </c>
      <c r="M113">
        <v>3</v>
      </c>
      <c r="N113" t="s">
        <v>163</v>
      </c>
      <c r="O113" t="s">
        <v>163</v>
      </c>
      <c r="P113" t="s">
        <v>403</v>
      </c>
      <c r="Q113" t="s">
        <v>408</v>
      </c>
      <c r="R113" t="s">
        <v>596</v>
      </c>
      <c r="S113">
        <v>2022</v>
      </c>
      <c r="T113">
        <v>7</v>
      </c>
      <c r="U113" t="s">
        <v>408</v>
      </c>
      <c r="V113" t="s">
        <v>408</v>
      </c>
      <c r="W113">
        <v>0</v>
      </c>
      <c r="X113">
        <v>0</v>
      </c>
      <c r="Y113" t="s">
        <v>408</v>
      </c>
      <c r="Z113">
        <v>2022</v>
      </c>
      <c r="AA113">
        <v>2022</v>
      </c>
      <c r="AB113" s="5">
        <v>0.27371829920899998</v>
      </c>
      <c r="AC113" s="5">
        <v>0.54743659841900005</v>
      </c>
      <c r="AD113" t="s">
        <v>400</v>
      </c>
      <c r="AE113" t="s">
        <v>400</v>
      </c>
      <c r="AF113" t="s">
        <v>400</v>
      </c>
      <c r="AG113" t="s">
        <v>400</v>
      </c>
      <c r="AH113" t="s">
        <v>400</v>
      </c>
      <c r="AI113" t="s">
        <v>470</v>
      </c>
      <c r="AJ113" t="s">
        <v>400</v>
      </c>
      <c r="AK113" t="s">
        <v>400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s="58">
        <f t="shared" si="1"/>
        <v>1</v>
      </c>
      <c r="AU113" s="79" t="s">
        <v>597</v>
      </c>
      <c r="AV113" t="s">
        <v>410</v>
      </c>
      <c r="AW113" t="s">
        <v>411</v>
      </c>
      <c r="AX113">
        <v>2</v>
      </c>
      <c r="AY113" t="s">
        <v>412</v>
      </c>
      <c r="AZ113">
        <v>30</v>
      </c>
    </row>
    <row r="114" spans="1:52" x14ac:dyDescent="0.3">
      <c r="A114">
        <v>103</v>
      </c>
      <c r="B114" t="s">
        <v>833</v>
      </c>
      <c r="C114" t="s">
        <v>447</v>
      </c>
      <c r="D114" t="s">
        <v>834</v>
      </c>
      <c r="E114" t="s">
        <v>426</v>
      </c>
      <c r="F114" t="s">
        <v>400</v>
      </c>
      <c r="G114">
        <v>600</v>
      </c>
      <c r="H114">
        <v>601</v>
      </c>
      <c r="I114" t="s">
        <v>835</v>
      </c>
      <c r="J114">
        <v>730</v>
      </c>
      <c r="K114">
        <v>731</v>
      </c>
      <c r="L114" t="s">
        <v>836</v>
      </c>
      <c r="M114">
        <v>3</v>
      </c>
      <c r="N114" t="s">
        <v>163</v>
      </c>
      <c r="O114" t="s">
        <v>163</v>
      </c>
      <c r="P114" t="s">
        <v>403</v>
      </c>
      <c r="Q114" t="s">
        <v>408</v>
      </c>
      <c r="R114" t="s">
        <v>596</v>
      </c>
      <c r="S114">
        <v>2022</v>
      </c>
      <c r="T114">
        <v>7</v>
      </c>
      <c r="U114" t="s">
        <v>408</v>
      </c>
      <c r="V114" t="s">
        <v>408</v>
      </c>
      <c r="W114">
        <v>0</v>
      </c>
      <c r="X114">
        <v>0</v>
      </c>
      <c r="Y114" t="s">
        <v>408</v>
      </c>
      <c r="Z114">
        <v>2022</v>
      </c>
      <c r="AA114">
        <v>2022</v>
      </c>
      <c r="AB114" s="5">
        <v>0.178889641893</v>
      </c>
      <c r="AC114" s="5">
        <v>0.35777928378700002</v>
      </c>
      <c r="AD114" t="s">
        <v>400</v>
      </c>
      <c r="AE114" t="s">
        <v>400</v>
      </c>
      <c r="AF114" t="s">
        <v>400</v>
      </c>
      <c r="AG114" t="s">
        <v>400</v>
      </c>
      <c r="AH114" t="s">
        <v>400</v>
      </c>
      <c r="AI114" t="s">
        <v>470</v>
      </c>
      <c r="AJ114" t="s">
        <v>400</v>
      </c>
      <c r="AK114" t="s">
        <v>400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s="58">
        <f t="shared" si="1"/>
        <v>1</v>
      </c>
      <c r="AU114" s="79" t="s">
        <v>597</v>
      </c>
      <c r="AV114" t="s">
        <v>410</v>
      </c>
      <c r="AW114" t="s">
        <v>411</v>
      </c>
      <c r="AX114">
        <v>2</v>
      </c>
      <c r="AY114" t="s">
        <v>412</v>
      </c>
      <c r="AZ114">
        <v>30</v>
      </c>
    </row>
    <row r="115" spans="1:52" x14ac:dyDescent="0.3">
      <c r="A115">
        <v>104</v>
      </c>
      <c r="B115" t="s">
        <v>837</v>
      </c>
      <c r="C115" t="s">
        <v>154</v>
      </c>
      <c r="D115" t="s">
        <v>838</v>
      </c>
      <c r="E115" t="s">
        <v>460</v>
      </c>
      <c r="F115" t="s">
        <v>408</v>
      </c>
      <c r="G115">
        <v>1901</v>
      </c>
      <c r="H115">
        <v>1900</v>
      </c>
      <c r="I115" t="s">
        <v>435</v>
      </c>
      <c r="J115">
        <v>1971</v>
      </c>
      <c r="K115">
        <v>1970</v>
      </c>
      <c r="L115" t="s">
        <v>839</v>
      </c>
      <c r="M115">
        <v>4</v>
      </c>
      <c r="N115" t="s">
        <v>167</v>
      </c>
      <c r="O115" t="s">
        <v>167</v>
      </c>
      <c r="P115" t="s">
        <v>420</v>
      </c>
      <c r="Q115" t="s">
        <v>408</v>
      </c>
      <c r="R115" t="s">
        <v>547</v>
      </c>
      <c r="S115">
        <v>2007</v>
      </c>
      <c r="T115">
        <v>10</v>
      </c>
      <c r="U115" t="s">
        <v>408</v>
      </c>
      <c r="V115" t="s">
        <v>692</v>
      </c>
      <c r="W115">
        <v>2014</v>
      </c>
      <c r="X115">
        <v>10</v>
      </c>
      <c r="Y115" t="s">
        <v>370</v>
      </c>
      <c r="Z115">
        <v>2014</v>
      </c>
      <c r="AA115">
        <v>2014</v>
      </c>
      <c r="AB115" s="5">
        <v>0.14642486199499999</v>
      </c>
      <c r="AC115" s="5">
        <v>0.29284972398999998</v>
      </c>
      <c r="AD115" t="s">
        <v>408</v>
      </c>
      <c r="AE115" t="s">
        <v>152</v>
      </c>
      <c r="AF115" t="s">
        <v>408</v>
      </c>
      <c r="AG115" t="s">
        <v>408</v>
      </c>
      <c r="AH115" t="s">
        <v>408</v>
      </c>
      <c r="AI115" t="s">
        <v>408</v>
      </c>
      <c r="AJ115" t="s">
        <v>408</v>
      </c>
      <c r="AK115" t="s">
        <v>408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58">
        <f t="shared" si="1"/>
        <v>1</v>
      </c>
      <c r="AU115" s="79">
        <v>43342</v>
      </c>
      <c r="AV115" s="78" t="s">
        <v>410</v>
      </c>
      <c r="AW115" t="s">
        <v>408</v>
      </c>
      <c r="AX115">
        <v>2</v>
      </c>
      <c r="AY115" t="s">
        <v>412</v>
      </c>
      <c r="AZ115" t="s">
        <v>408</v>
      </c>
    </row>
    <row r="116" spans="1:52" x14ac:dyDescent="0.3">
      <c r="A116">
        <v>105</v>
      </c>
      <c r="B116" t="s">
        <v>693</v>
      </c>
      <c r="C116" t="s">
        <v>152</v>
      </c>
      <c r="D116" t="s">
        <v>694</v>
      </c>
      <c r="E116" t="s">
        <v>460</v>
      </c>
      <c r="F116" t="s">
        <v>408</v>
      </c>
      <c r="G116">
        <v>5524</v>
      </c>
      <c r="H116">
        <v>5517</v>
      </c>
      <c r="I116" t="s">
        <v>840</v>
      </c>
      <c r="J116">
        <v>5600</v>
      </c>
      <c r="K116">
        <v>5601</v>
      </c>
      <c r="L116" t="s">
        <v>841</v>
      </c>
      <c r="M116">
        <v>4</v>
      </c>
      <c r="N116" t="s">
        <v>167</v>
      </c>
      <c r="O116" t="s">
        <v>167</v>
      </c>
      <c r="P116" t="s">
        <v>420</v>
      </c>
      <c r="Q116" t="s">
        <v>408</v>
      </c>
      <c r="R116" t="s">
        <v>547</v>
      </c>
      <c r="S116">
        <v>2007</v>
      </c>
      <c r="T116">
        <v>10</v>
      </c>
      <c r="U116" t="s">
        <v>408</v>
      </c>
      <c r="V116" t="s">
        <v>692</v>
      </c>
      <c r="W116">
        <v>2014</v>
      </c>
      <c r="X116">
        <v>10</v>
      </c>
      <c r="Y116" t="s">
        <v>842</v>
      </c>
      <c r="Z116">
        <v>2014</v>
      </c>
      <c r="AA116">
        <v>0</v>
      </c>
      <c r="AB116" s="5">
        <v>8.9455253140700006E-2</v>
      </c>
      <c r="AC116" s="5">
        <v>0.178910506281</v>
      </c>
      <c r="AD116" t="s">
        <v>408</v>
      </c>
      <c r="AE116" t="s">
        <v>152</v>
      </c>
      <c r="AF116" t="s">
        <v>408</v>
      </c>
      <c r="AG116" t="s">
        <v>408</v>
      </c>
      <c r="AH116" t="s">
        <v>408</v>
      </c>
      <c r="AI116" t="s">
        <v>408</v>
      </c>
      <c r="AJ116" t="s">
        <v>408</v>
      </c>
      <c r="AK116" t="s">
        <v>408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58">
        <f t="shared" si="1"/>
        <v>1</v>
      </c>
      <c r="AU116" s="79">
        <v>43340</v>
      </c>
      <c r="AV116" t="s">
        <v>410</v>
      </c>
      <c r="AW116" t="s">
        <v>408</v>
      </c>
      <c r="AX116">
        <v>2</v>
      </c>
      <c r="AY116" t="s">
        <v>412</v>
      </c>
      <c r="AZ116" t="s">
        <v>408</v>
      </c>
    </row>
    <row r="117" spans="1:52" x14ac:dyDescent="0.3">
      <c r="A117">
        <v>106</v>
      </c>
      <c r="B117" t="s">
        <v>415</v>
      </c>
      <c r="C117" t="s">
        <v>154</v>
      </c>
      <c r="D117" t="s">
        <v>416</v>
      </c>
      <c r="E117" t="s">
        <v>417</v>
      </c>
      <c r="F117" t="s">
        <v>408</v>
      </c>
      <c r="G117">
        <v>449</v>
      </c>
      <c r="H117">
        <v>448</v>
      </c>
      <c r="I117" t="s">
        <v>808</v>
      </c>
      <c r="J117">
        <v>123</v>
      </c>
      <c r="K117">
        <v>122</v>
      </c>
      <c r="L117" t="s">
        <v>843</v>
      </c>
      <c r="M117">
        <v>3</v>
      </c>
      <c r="N117" t="s">
        <v>163</v>
      </c>
      <c r="O117" t="s">
        <v>163</v>
      </c>
      <c r="P117" t="s">
        <v>420</v>
      </c>
      <c r="Q117" t="s">
        <v>844</v>
      </c>
      <c r="R117" t="s">
        <v>845</v>
      </c>
      <c r="S117">
        <v>2011</v>
      </c>
      <c r="T117">
        <v>11</v>
      </c>
      <c r="U117" t="s">
        <v>846</v>
      </c>
      <c r="V117" t="s">
        <v>408</v>
      </c>
      <c r="W117">
        <v>0</v>
      </c>
      <c r="X117">
        <v>0</v>
      </c>
      <c r="Y117" t="s">
        <v>408</v>
      </c>
      <c r="Z117">
        <v>2011</v>
      </c>
      <c r="AA117">
        <v>0</v>
      </c>
      <c r="AB117" s="5">
        <v>0.44949399634999998</v>
      </c>
      <c r="AC117" s="5">
        <v>0.89898799269999996</v>
      </c>
      <c r="AD117" t="s">
        <v>408</v>
      </c>
      <c r="AE117" t="s">
        <v>152</v>
      </c>
      <c r="AF117" t="s">
        <v>400</v>
      </c>
      <c r="AG117" t="s">
        <v>400</v>
      </c>
      <c r="AH117" t="s">
        <v>152</v>
      </c>
      <c r="AI117" t="s">
        <v>470</v>
      </c>
      <c r="AJ117" t="s">
        <v>400</v>
      </c>
      <c r="AK117" t="s">
        <v>408</v>
      </c>
      <c r="AL117">
        <v>0</v>
      </c>
      <c r="AM117">
        <v>0</v>
      </c>
      <c r="AN117">
        <v>0</v>
      </c>
      <c r="AO117">
        <v>0</v>
      </c>
      <c r="AP117">
        <v>0.5</v>
      </c>
      <c r="AQ117">
        <v>0</v>
      </c>
      <c r="AR117">
        <v>0</v>
      </c>
      <c r="AS117">
        <v>0.5</v>
      </c>
      <c r="AT117" s="58">
        <f t="shared" si="1"/>
        <v>1</v>
      </c>
      <c r="AU117" s="79" t="s">
        <v>602</v>
      </c>
      <c r="AV117" s="78" t="s">
        <v>410</v>
      </c>
      <c r="AW117" t="s">
        <v>411</v>
      </c>
      <c r="AX117">
        <v>1</v>
      </c>
      <c r="AY117" t="s">
        <v>412</v>
      </c>
      <c r="AZ117" t="s">
        <v>408</v>
      </c>
    </row>
    <row r="118" spans="1:52" x14ac:dyDescent="0.3">
      <c r="A118">
        <v>107</v>
      </c>
      <c r="B118" t="s">
        <v>533</v>
      </c>
      <c r="C118" t="s">
        <v>152</v>
      </c>
      <c r="D118" t="s">
        <v>534</v>
      </c>
      <c r="E118" t="s">
        <v>417</v>
      </c>
      <c r="F118" t="s">
        <v>155</v>
      </c>
      <c r="G118">
        <v>2</v>
      </c>
      <c r="H118">
        <v>1</v>
      </c>
      <c r="I118" t="s">
        <v>536</v>
      </c>
      <c r="J118">
        <v>184</v>
      </c>
      <c r="K118">
        <v>185</v>
      </c>
      <c r="L118" t="s">
        <v>628</v>
      </c>
      <c r="M118">
        <v>4</v>
      </c>
      <c r="N118" t="s">
        <v>163</v>
      </c>
      <c r="O118" t="s">
        <v>163</v>
      </c>
      <c r="P118" t="s">
        <v>420</v>
      </c>
      <c r="Q118" t="s">
        <v>537</v>
      </c>
      <c r="R118" t="s">
        <v>445</v>
      </c>
      <c r="S118">
        <v>2012</v>
      </c>
      <c r="T118">
        <v>11</v>
      </c>
      <c r="U118" t="s">
        <v>452</v>
      </c>
      <c r="V118" t="s">
        <v>408</v>
      </c>
      <c r="W118">
        <v>0</v>
      </c>
      <c r="X118">
        <v>0</v>
      </c>
      <c r="Y118" t="s">
        <v>408</v>
      </c>
      <c r="Z118">
        <v>2012</v>
      </c>
      <c r="AA118">
        <v>0</v>
      </c>
      <c r="AB118" s="5">
        <v>0.267608393996</v>
      </c>
      <c r="AC118" s="5">
        <v>0.267608393996</v>
      </c>
      <c r="AD118" t="s">
        <v>408</v>
      </c>
      <c r="AE118" t="s">
        <v>411</v>
      </c>
      <c r="AF118" t="s">
        <v>155</v>
      </c>
      <c r="AG118" t="s">
        <v>152</v>
      </c>
      <c r="AH118" t="s">
        <v>152</v>
      </c>
      <c r="AI118" t="s">
        <v>470</v>
      </c>
      <c r="AJ118" t="s">
        <v>400</v>
      </c>
      <c r="AK118" t="s">
        <v>400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s="58">
        <f t="shared" si="1"/>
        <v>1</v>
      </c>
      <c r="AU118" s="79" t="s">
        <v>457</v>
      </c>
      <c r="AV118" s="78" t="s">
        <v>410</v>
      </c>
      <c r="AW118" t="s">
        <v>411</v>
      </c>
      <c r="AX118">
        <v>1</v>
      </c>
      <c r="AY118" t="s">
        <v>412</v>
      </c>
      <c r="AZ118" t="s">
        <v>408</v>
      </c>
    </row>
    <row r="119" spans="1:52" x14ac:dyDescent="0.3">
      <c r="A119">
        <v>108</v>
      </c>
      <c r="B119" t="s">
        <v>847</v>
      </c>
      <c r="C119" t="s">
        <v>154</v>
      </c>
      <c r="D119" t="s">
        <v>848</v>
      </c>
      <c r="E119" t="s">
        <v>460</v>
      </c>
      <c r="F119" t="s">
        <v>408</v>
      </c>
      <c r="G119">
        <v>1601</v>
      </c>
      <c r="H119">
        <v>1600</v>
      </c>
      <c r="I119" t="s">
        <v>718</v>
      </c>
      <c r="J119">
        <v>1201</v>
      </c>
      <c r="K119">
        <v>1200</v>
      </c>
      <c r="L119" t="s">
        <v>517</v>
      </c>
      <c r="M119">
        <v>2</v>
      </c>
      <c r="N119" t="s">
        <v>167</v>
      </c>
      <c r="O119" t="s">
        <v>167</v>
      </c>
      <c r="P119" t="s">
        <v>420</v>
      </c>
      <c r="Q119" t="s">
        <v>408</v>
      </c>
      <c r="R119" t="s">
        <v>422</v>
      </c>
      <c r="S119">
        <v>2011</v>
      </c>
      <c r="T119">
        <v>6</v>
      </c>
      <c r="U119" t="s">
        <v>408</v>
      </c>
      <c r="V119" t="s">
        <v>849</v>
      </c>
      <c r="W119">
        <v>2016</v>
      </c>
      <c r="X119">
        <v>10</v>
      </c>
      <c r="Y119" t="s">
        <v>408</v>
      </c>
      <c r="Z119">
        <v>2016</v>
      </c>
      <c r="AA119">
        <v>0</v>
      </c>
      <c r="AB119" s="5">
        <v>0.51724496087399996</v>
      </c>
      <c r="AC119" s="5">
        <v>1.0344899217500001</v>
      </c>
      <c r="AD119" t="s">
        <v>408</v>
      </c>
      <c r="AE119" t="s">
        <v>152</v>
      </c>
      <c r="AF119" t="s">
        <v>408</v>
      </c>
      <c r="AG119" t="s">
        <v>408</v>
      </c>
      <c r="AH119" t="s">
        <v>408</v>
      </c>
      <c r="AI119" t="s">
        <v>408</v>
      </c>
      <c r="AJ119" t="s">
        <v>408</v>
      </c>
      <c r="AK119" t="s">
        <v>408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58">
        <f t="shared" si="1"/>
        <v>1</v>
      </c>
      <c r="AU119" s="79">
        <v>43342</v>
      </c>
      <c r="AV119" t="s">
        <v>410</v>
      </c>
      <c r="AW119" t="s">
        <v>408</v>
      </c>
      <c r="AX119">
        <v>2</v>
      </c>
      <c r="AY119" t="s">
        <v>412</v>
      </c>
      <c r="AZ119" t="s">
        <v>408</v>
      </c>
    </row>
    <row r="120" spans="1:52" x14ac:dyDescent="0.3">
      <c r="A120">
        <v>109</v>
      </c>
      <c r="B120" t="s">
        <v>850</v>
      </c>
      <c r="C120" t="s">
        <v>152</v>
      </c>
      <c r="D120" t="s">
        <v>851</v>
      </c>
      <c r="E120" t="s">
        <v>460</v>
      </c>
      <c r="F120" t="s">
        <v>408</v>
      </c>
      <c r="G120">
        <v>7433</v>
      </c>
      <c r="H120">
        <v>7434</v>
      </c>
      <c r="I120" t="s">
        <v>852</v>
      </c>
      <c r="J120">
        <v>7476</v>
      </c>
      <c r="K120">
        <v>7477</v>
      </c>
      <c r="L120" t="s">
        <v>853</v>
      </c>
      <c r="M120">
        <v>4</v>
      </c>
      <c r="N120" t="s">
        <v>170</v>
      </c>
      <c r="O120" t="s">
        <v>170</v>
      </c>
      <c r="P120" t="s">
        <v>420</v>
      </c>
      <c r="Q120" t="s">
        <v>854</v>
      </c>
      <c r="R120" t="s">
        <v>547</v>
      </c>
      <c r="S120">
        <v>2011</v>
      </c>
      <c r="T120">
        <v>9</v>
      </c>
      <c r="U120" t="s">
        <v>408</v>
      </c>
      <c r="V120" t="s">
        <v>408</v>
      </c>
      <c r="W120">
        <v>0</v>
      </c>
      <c r="X120">
        <v>0</v>
      </c>
      <c r="Y120" t="s">
        <v>408</v>
      </c>
      <c r="Z120">
        <v>2011</v>
      </c>
      <c r="AA120">
        <v>0</v>
      </c>
      <c r="AB120" s="5">
        <v>8.9908380328699994E-2</v>
      </c>
      <c r="AC120" s="5">
        <v>0.179816760657</v>
      </c>
      <c r="AD120" t="s">
        <v>408</v>
      </c>
      <c r="AE120" t="s">
        <v>152</v>
      </c>
      <c r="AF120" t="s">
        <v>408</v>
      </c>
      <c r="AG120" t="s">
        <v>408</v>
      </c>
      <c r="AH120" t="s">
        <v>408</v>
      </c>
      <c r="AI120" t="s">
        <v>408</v>
      </c>
      <c r="AJ120" t="s">
        <v>408</v>
      </c>
      <c r="AK120" t="s">
        <v>408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58">
        <f t="shared" si="1"/>
        <v>1</v>
      </c>
      <c r="AU120" s="79">
        <v>43342</v>
      </c>
      <c r="AV120" s="78" t="s">
        <v>410</v>
      </c>
      <c r="AW120" t="s">
        <v>408</v>
      </c>
      <c r="AX120">
        <v>2</v>
      </c>
      <c r="AY120" t="s">
        <v>412</v>
      </c>
      <c r="AZ120" t="s">
        <v>408</v>
      </c>
    </row>
    <row r="121" spans="1:52" x14ac:dyDescent="0.3">
      <c r="A121">
        <v>110</v>
      </c>
      <c r="B121" t="s">
        <v>855</v>
      </c>
      <c r="C121" t="s">
        <v>447</v>
      </c>
      <c r="D121" t="s">
        <v>448</v>
      </c>
      <c r="E121" t="s">
        <v>417</v>
      </c>
      <c r="F121" t="s">
        <v>408</v>
      </c>
      <c r="G121">
        <v>1600</v>
      </c>
      <c r="H121">
        <v>1601</v>
      </c>
      <c r="I121" t="s">
        <v>856</v>
      </c>
      <c r="J121">
        <v>1666</v>
      </c>
      <c r="K121">
        <v>1667</v>
      </c>
      <c r="L121" t="s">
        <v>857</v>
      </c>
      <c r="M121">
        <v>2</v>
      </c>
      <c r="N121" t="s">
        <v>170</v>
      </c>
      <c r="O121" t="s">
        <v>170</v>
      </c>
      <c r="P121" t="s">
        <v>420</v>
      </c>
      <c r="Q121" t="s">
        <v>408</v>
      </c>
      <c r="R121" t="s">
        <v>493</v>
      </c>
      <c r="S121">
        <v>2007</v>
      </c>
      <c r="T121">
        <v>5</v>
      </c>
      <c r="U121" t="s">
        <v>408</v>
      </c>
      <c r="V121" t="s">
        <v>453</v>
      </c>
      <c r="W121">
        <v>2017</v>
      </c>
      <c r="X121">
        <v>6</v>
      </c>
      <c r="Y121" t="s">
        <v>408</v>
      </c>
      <c r="Z121">
        <v>2017</v>
      </c>
      <c r="AA121">
        <v>0</v>
      </c>
      <c r="AB121" s="5">
        <v>0.185855556979</v>
      </c>
      <c r="AC121" s="5">
        <v>0.37171111395799999</v>
      </c>
      <c r="AD121" t="s">
        <v>408</v>
      </c>
      <c r="AE121" t="s">
        <v>152</v>
      </c>
      <c r="AF121" t="s">
        <v>408</v>
      </c>
      <c r="AG121" t="s">
        <v>408</v>
      </c>
      <c r="AH121" t="s">
        <v>408</v>
      </c>
      <c r="AI121" t="s">
        <v>408</v>
      </c>
      <c r="AJ121" t="s">
        <v>408</v>
      </c>
      <c r="AK121" t="s">
        <v>408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 s="58">
        <f t="shared" si="1"/>
        <v>1</v>
      </c>
      <c r="AU121" s="79">
        <v>43342</v>
      </c>
      <c r="AV121" s="78" t="s">
        <v>410</v>
      </c>
      <c r="AW121" t="s">
        <v>408</v>
      </c>
      <c r="AX121">
        <v>2</v>
      </c>
      <c r="AY121" t="s">
        <v>412</v>
      </c>
      <c r="AZ121" t="s">
        <v>408</v>
      </c>
    </row>
    <row r="122" spans="1:52" x14ac:dyDescent="0.3">
      <c r="A122">
        <v>111</v>
      </c>
      <c r="B122" t="s">
        <v>855</v>
      </c>
      <c r="C122" t="s">
        <v>447</v>
      </c>
      <c r="D122" t="s">
        <v>448</v>
      </c>
      <c r="E122" t="s">
        <v>417</v>
      </c>
      <c r="F122" t="s">
        <v>408</v>
      </c>
      <c r="G122">
        <v>800</v>
      </c>
      <c r="H122">
        <v>801</v>
      </c>
      <c r="I122" t="s">
        <v>496</v>
      </c>
      <c r="J122">
        <v>1390</v>
      </c>
      <c r="K122">
        <v>1391</v>
      </c>
      <c r="L122" t="s">
        <v>450</v>
      </c>
      <c r="M122">
        <v>2</v>
      </c>
      <c r="N122" t="s">
        <v>163</v>
      </c>
      <c r="O122" t="s">
        <v>163</v>
      </c>
      <c r="P122" t="s">
        <v>403</v>
      </c>
      <c r="Q122" t="s">
        <v>408</v>
      </c>
      <c r="R122" t="s">
        <v>454</v>
      </c>
      <c r="S122">
        <v>2019</v>
      </c>
      <c r="T122">
        <v>5</v>
      </c>
      <c r="U122" t="s">
        <v>455</v>
      </c>
      <c r="V122" t="s">
        <v>408</v>
      </c>
      <c r="W122">
        <v>2019</v>
      </c>
      <c r="X122">
        <v>0</v>
      </c>
      <c r="Y122" t="s">
        <v>408</v>
      </c>
      <c r="Z122">
        <v>2019</v>
      </c>
      <c r="AA122">
        <v>2019</v>
      </c>
      <c r="AB122" s="5">
        <v>0.76620199199700001</v>
      </c>
      <c r="AC122" s="5">
        <v>1.5324039839900001</v>
      </c>
      <c r="AD122" t="s">
        <v>408</v>
      </c>
      <c r="AE122" t="s">
        <v>152</v>
      </c>
      <c r="AF122" t="s">
        <v>408</v>
      </c>
      <c r="AG122" t="s">
        <v>408</v>
      </c>
      <c r="AH122" t="s">
        <v>408</v>
      </c>
      <c r="AI122" t="s">
        <v>438</v>
      </c>
      <c r="AJ122" t="s">
        <v>400</v>
      </c>
      <c r="AK122" t="s">
        <v>408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 s="58">
        <f t="shared" si="1"/>
        <v>1</v>
      </c>
      <c r="AU122" s="79" t="s">
        <v>457</v>
      </c>
      <c r="AV122" s="78" t="s">
        <v>410</v>
      </c>
      <c r="AW122" t="s">
        <v>411</v>
      </c>
      <c r="AX122">
        <v>1</v>
      </c>
      <c r="AY122" t="s">
        <v>412</v>
      </c>
      <c r="AZ122" t="s">
        <v>408</v>
      </c>
    </row>
    <row r="123" spans="1:52" x14ac:dyDescent="0.3">
      <c r="A123">
        <v>112</v>
      </c>
      <c r="B123" t="s">
        <v>424</v>
      </c>
      <c r="C123" t="s">
        <v>155</v>
      </c>
      <c r="D123" t="s">
        <v>425</v>
      </c>
      <c r="E123" t="s">
        <v>426</v>
      </c>
      <c r="F123" t="s">
        <v>408</v>
      </c>
      <c r="G123">
        <v>9137</v>
      </c>
      <c r="H123">
        <v>9138</v>
      </c>
      <c r="I123" t="s">
        <v>858</v>
      </c>
      <c r="J123">
        <v>8701</v>
      </c>
      <c r="K123">
        <v>8700</v>
      </c>
      <c r="L123" t="s">
        <v>859</v>
      </c>
      <c r="M123">
        <v>2</v>
      </c>
      <c r="N123" t="s">
        <v>167</v>
      </c>
      <c r="O123" t="s">
        <v>167</v>
      </c>
      <c r="P123" t="s">
        <v>420</v>
      </c>
      <c r="Q123" t="s">
        <v>429</v>
      </c>
      <c r="R123" t="s">
        <v>430</v>
      </c>
      <c r="S123">
        <v>2013</v>
      </c>
      <c r="T123">
        <v>10</v>
      </c>
      <c r="U123" t="s">
        <v>370</v>
      </c>
      <c r="V123" t="s">
        <v>408</v>
      </c>
      <c r="W123">
        <v>0</v>
      </c>
      <c r="X123">
        <v>0</v>
      </c>
      <c r="Y123" t="s">
        <v>408</v>
      </c>
      <c r="Z123">
        <v>2013</v>
      </c>
      <c r="AA123">
        <v>2013</v>
      </c>
      <c r="AB123" s="5">
        <v>0.670522750123</v>
      </c>
      <c r="AC123" s="5">
        <v>1.3410455002499999</v>
      </c>
      <c r="AD123" t="s">
        <v>408</v>
      </c>
      <c r="AE123" t="s">
        <v>152</v>
      </c>
      <c r="AF123" t="s">
        <v>408</v>
      </c>
      <c r="AG123" t="s">
        <v>408</v>
      </c>
      <c r="AH123" t="s">
        <v>408</v>
      </c>
      <c r="AI123" t="s">
        <v>408</v>
      </c>
      <c r="AJ123" t="s">
        <v>408</v>
      </c>
      <c r="AK123" t="s">
        <v>408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 s="58">
        <f t="shared" si="1"/>
        <v>1</v>
      </c>
      <c r="AU123" s="79">
        <v>43328</v>
      </c>
      <c r="AV123" t="s">
        <v>410</v>
      </c>
      <c r="AW123" t="s">
        <v>408</v>
      </c>
      <c r="AX123">
        <v>2</v>
      </c>
      <c r="AY123" t="s">
        <v>412</v>
      </c>
      <c r="AZ123" t="s">
        <v>408</v>
      </c>
    </row>
    <row r="124" spans="1:52" x14ac:dyDescent="0.3">
      <c r="A124">
        <v>113</v>
      </c>
      <c r="B124" t="s">
        <v>860</v>
      </c>
      <c r="C124" t="s">
        <v>155</v>
      </c>
      <c r="D124" t="s">
        <v>861</v>
      </c>
      <c r="E124" t="s">
        <v>466</v>
      </c>
      <c r="F124" t="s">
        <v>152</v>
      </c>
      <c r="G124">
        <v>5059</v>
      </c>
      <c r="H124">
        <v>5060</v>
      </c>
      <c r="I124" t="s">
        <v>862</v>
      </c>
      <c r="J124">
        <v>3941</v>
      </c>
      <c r="K124">
        <v>3940</v>
      </c>
      <c r="L124" t="s">
        <v>863</v>
      </c>
      <c r="M124">
        <v>3</v>
      </c>
      <c r="N124" t="s">
        <v>165</v>
      </c>
      <c r="O124" t="s">
        <v>165</v>
      </c>
      <c r="P124" t="s">
        <v>403</v>
      </c>
      <c r="Q124" t="s">
        <v>408</v>
      </c>
      <c r="R124" t="s">
        <v>601</v>
      </c>
      <c r="S124">
        <v>2018</v>
      </c>
      <c r="T124">
        <v>10</v>
      </c>
      <c r="U124" t="s">
        <v>408</v>
      </c>
      <c r="V124" t="s">
        <v>408</v>
      </c>
      <c r="W124">
        <v>0</v>
      </c>
      <c r="X124">
        <v>0</v>
      </c>
      <c r="Y124" t="s">
        <v>864</v>
      </c>
      <c r="Z124">
        <v>2018</v>
      </c>
      <c r="AA124">
        <v>0</v>
      </c>
      <c r="AB124" s="5">
        <v>1.4402750230900001</v>
      </c>
      <c r="AC124" s="5">
        <v>2.8805500461800002</v>
      </c>
      <c r="AD124" t="s">
        <v>408</v>
      </c>
      <c r="AE124" t="s">
        <v>152</v>
      </c>
      <c r="AF124" t="s">
        <v>408</v>
      </c>
      <c r="AG124" t="s">
        <v>408</v>
      </c>
      <c r="AH124" t="s">
        <v>408</v>
      </c>
      <c r="AI124" t="s">
        <v>408</v>
      </c>
      <c r="AJ124" t="s">
        <v>408</v>
      </c>
      <c r="AK124" t="s">
        <v>408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 s="58">
        <f t="shared" si="1"/>
        <v>1</v>
      </c>
      <c r="AU124" s="79" t="s">
        <v>431</v>
      </c>
      <c r="AV124" s="78" t="s">
        <v>410</v>
      </c>
      <c r="AW124" t="s">
        <v>411</v>
      </c>
      <c r="AX124">
        <v>2</v>
      </c>
      <c r="AY124" t="s">
        <v>412</v>
      </c>
      <c r="AZ124" t="s">
        <v>408</v>
      </c>
    </row>
    <row r="125" spans="1:52" x14ac:dyDescent="0.3">
      <c r="A125">
        <v>114</v>
      </c>
      <c r="B125" t="s">
        <v>415</v>
      </c>
      <c r="C125" t="s">
        <v>154</v>
      </c>
      <c r="D125" t="s">
        <v>416</v>
      </c>
      <c r="E125" t="s">
        <v>417</v>
      </c>
      <c r="F125" t="s">
        <v>408</v>
      </c>
      <c r="G125">
        <v>800</v>
      </c>
      <c r="H125">
        <v>801</v>
      </c>
      <c r="I125" t="s">
        <v>814</v>
      </c>
      <c r="J125">
        <v>601</v>
      </c>
      <c r="K125">
        <v>600</v>
      </c>
      <c r="L125" t="s">
        <v>865</v>
      </c>
      <c r="M125">
        <v>3</v>
      </c>
      <c r="N125" t="s">
        <v>167</v>
      </c>
      <c r="O125" t="s">
        <v>167</v>
      </c>
      <c r="P125" t="s">
        <v>420</v>
      </c>
      <c r="Q125" t="s">
        <v>408</v>
      </c>
      <c r="R125" t="s">
        <v>493</v>
      </c>
      <c r="S125">
        <v>2007</v>
      </c>
      <c r="T125">
        <v>7</v>
      </c>
      <c r="U125" t="s">
        <v>408</v>
      </c>
      <c r="V125" t="s">
        <v>866</v>
      </c>
      <c r="W125">
        <v>2021</v>
      </c>
      <c r="X125">
        <v>7</v>
      </c>
      <c r="Y125" t="s">
        <v>408</v>
      </c>
      <c r="Z125">
        <v>2021</v>
      </c>
      <c r="AA125">
        <v>2021</v>
      </c>
      <c r="AB125" s="5">
        <v>0.24618624795800001</v>
      </c>
      <c r="AC125" s="5">
        <v>0.49237249591600002</v>
      </c>
      <c r="AD125" t="s">
        <v>400</v>
      </c>
      <c r="AE125" t="s">
        <v>152</v>
      </c>
      <c r="AF125" t="s">
        <v>400</v>
      </c>
      <c r="AG125" t="s">
        <v>400</v>
      </c>
      <c r="AH125" t="s">
        <v>400</v>
      </c>
      <c r="AI125" t="s">
        <v>400</v>
      </c>
      <c r="AJ125" t="s">
        <v>400</v>
      </c>
      <c r="AK125" t="s">
        <v>400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 s="58">
        <f t="shared" si="1"/>
        <v>1</v>
      </c>
      <c r="AU125" s="79" t="s">
        <v>768</v>
      </c>
      <c r="AV125" s="78" t="s">
        <v>410</v>
      </c>
      <c r="AW125" t="s">
        <v>408</v>
      </c>
      <c r="AX125">
        <v>2</v>
      </c>
      <c r="AY125" t="s">
        <v>412</v>
      </c>
      <c r="AZ125" t="s">
        <v>408</v>
      </c>
    </row>
    <row r="126" spans="1:52" x14ac:dyDescent="0.3">
      <c r="A126">
        <v>115</v>
      </c>
      <c r="B126" t="s">
        <v>867</v>
      </c>
      <c r="C126" t="s">
        <v>154</v>
      </c>
      <c r="D126" t="s">
        <v>868</v>
      </c>
      <c r="E126" t="s">
        <v>466</v>
      </c>
      <c r="F126" t="s">
        <v>408</v>
      </c>
      <c r="G126">
        <v>3425</v>
      </c>
      <c r="H126">
        <v>3426</v>
      </c>
      <c r="I126" t="s">
        <v>869</v>
      </c>
      <c r="J126">
        <v>3301</v>
      </c>
      <c r="K126">
        <v>3300</v>
      </c>
      <c r="L126" t="s">
        <v>870</v>
      </c>
      <c r="M126">
        <v>4</v>
      </c>
      <c r="N126" t="s">
        <v>165</v>
      </c>
      <c r="O126" t="s">
        <v>165</v>
      </c>
      <c r="P126" t="s">
        <v>403</v>
      </c>
      <c r="Q126" t="s">
        <v>871</v>
      </c>
      <c r="R126" t="s">
        <v>562</v>
      </c>
      <c r="S126">
        <v>2014</v>
      </c>
      <c r="T126">
        <v>11</v>
      </c>
      <c r="U126" t="s">
        <v>370</v>
      </c>
      <c r="V126" t="s">
        <v>408</v>
      </c>
      <c r="W126">
        <v>0</v>
      </c>
      <c r="X126">
        <v>0</v>
      </c>
      <c r="Y126" t="s">
        <v>408</v>
      </c>
      <c r="Z126">
        <v>2014</v>
      </c>
      <c r="AA126">
        <v>2014</v>
      </c>
      <c r="AB126" s="5">
        <v>0.20429704132199999</v>
      </c>
      <c r="AC126" s="5">
        <v>0.40859408264399999</v>
      </c>
      <c r="AD126" t="s">
        <v>408</v>
      </c>
      <c r="AE126" t="s">
        <v>152</v>
      </c>
      <c r="AF126" t="s">
        <v>408</v>
      </c>
      <c r="AG126" t="s">
        <v>408</v>
      </c>
      <c r="AH126" t="s">
        <v>408</v>
      </c>
      <c r="AI126" t="s">
        <v>408</v>
      </c>
      <c r="AJ126" t="s">
        <v>408</v>
      </c>
      <c r="AK126" t="s">
        <v>408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 s="58">
        <f t="shared" si="1"/>
        <v>1</v>
      </c>
      <c r="AU126" s="79">
        <v>43342</v>
      </c>
      <c r="AV126" s="78" t="s">
        <v>410</v>
      </c>
      <c r="AW126" t="s">
        <v>872</v>
      </c>
      <c r="AX126">
        <v>2</v>
      </c>
      <c r="AY126" t="s">
        <v>412</v>
      </c>
      <c r="AZ126" t="s">
        <v>408</v>
      </c>
    </row>
    <row r="127" spans="1:52" x14ac:dyDescent="0.3">
      <c r="A127">
        <v>116</v>
      </c>
      <c r="B127" t="s">
        <v>873</v>
      </c>
      <c r="C127" t="s">
        <v>447</v>
      </c>
      <c r="D127" t="s">
        <v>874</v>
      </c>
      <c r="E127" t="s">
        <v>417</v>
      </c>
      <c r="F127" t="s">
        <v>154</v>
      </c>
      <c r="G127">
        <v>300</v>
      </c>
      <c r="H127">
        <v>301</v>
      </c>
      <c r="I127" t="s">
        <v>875</v>
      </c>
      <c r="J127">
        <v>399</v>
      </c>
      <c r="K127">
        <v>400</v>
      </c>
      <c r="L127" t="s">
        <v>876</v>
      </c>
      <c r="M127">
        <v>4</v>
      </c>
      <c r="N127" t="s">
        <v>167</v>
      </c>
      <c r="O127" t="s">
        <v>167</v>
      </c>
      <c r="P127" t="s">
        <v>420</v>
      </c>
      <c r="Q127" t="s">
        <v>408</v>
      </c>
      <c r="R127" t="s">
        <v>497</v>
      </c>
      <c r="S127">
        <v>2003</v>
      </c>
      <c r="T127">
        <v>7</v>
      </c>
      <c r="U127" t="s">
        <v>408</v>
      </c>
      <c r="V127" t="s">
        <v>645</v>
      </c>
      <c r="W127">
        <v>2017</v>
      </c>
      <c r="X127">
        <v>8</v>
      </c>
      <c r="Y127" t="s">
        <v>408</v>
      </c>
      <c r="Z127">
        <v>2017</v>
      </c>
      <c r="AA127">
        <v>2015</v>
      </c>
      <c r="AB127" s="5">
        <v>0.17174701334299999</v>
      </c>
      <c r="AC127" s="5">
        <v>0.17174701334299999</v>
      </c>
      <c r="AD127" t="s">
        <v>408</v>
      </c>
      <c r="AE127" t="s">
        <v>411</v>
      </c>
      <c r="AF127" t="s">
        <v>154</v>
      </c>
      <c r="AG127" t="s">
        <v>152</v>
      </c>
      <c r="AH127" t="s">
        <v>408</v>
      </c>
      <c r="AI127" t="s">
        <v>408</v>
      </c>
      <c r="AJ127" t="s">
        <v>408</v>
      </c>
      <c r="AK127" t="s">
        <v>408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 s="58">
        <f t="shared" si="1"/>
        <v>1</v>
      </c>
      <c r="AU127" s="79">
        <v>43342</v>
      </c>
      <c r="AV127" s="78" t="s">
        <v>410</v>
      </c>
      <c r="AW127" t="s">
        <v>408</v>
      </c>
      <c r="AX127">
        <v>2</v>
      </c>
      <c r="AY127" t="s">
        <v>412</v>
      </c>
      <c r="AZ127" t="s">
        <v>408</v>
      </c>
    </row>
    <row r="128" spans="1:52" x14ac:dyDescent="0.3">
      <c r="A128">
        <v>117</v>
      </c>
      <c r="B128" t="s">
        <v>811</v>
      </c>
      <c r="C128" t="s">
        <v>447</v>
      </c>
      <c r="D128" t="s">
        <v>812</v>
      </c>
      <c r="E128" t="s">
        <v>399</v>
      </c>
      <c r="F128" t="s">
        <v>408</v>
      </c>
      <c r="G128">
        <v>2</v>
      </c>
      <c r="H128">
        <v>1</v>
      </c>
      <c r="I128" t="s">
        <v>877</v>
      </c>
      <c r="J128">
        <v>34</v>
      </c>
      <c r="K128">
        <v>33</v>
      </c>
      <c r="L128" t="s">
        <v>878</v>
      </c>
      <c r="M128">
        <v>2</v>
      </c>
      <c r="N128" t="s">
        <v>167</v>
      </c>
      <c r="O128" t="s">
        <v>167</v>
      </c>
      <c r="P128" t="s">
        <v>420</v>
      </c>
      <c r="Q128" t="s">
        <v>408</v>
      </c>
      <c r="R128" t="s">
        <v>879</v>
      </c>
      <c r="S128">
        <v>1995</v>
      </c>
      <c r="T128">
        <v>4</v>
      </c>
      <c r="U128" t="s">
        <v>408</v>
      </c>
      <c r="V128" t="s">
        <v>624</v>
      </c>
      <c r="W128">
        <v>2015</v>
      </c>
      <c r="X128">
        <v>11</v>
      </c>
      <c r="Y128" t="s">
        <v>370</v>
      </c>
      <c r="Z128">
        <v>2015</v>
      </c>
      <c r="AA128">
        <v>2015</v>
      </c>
      <c r="AB128" s="5">
        <v>8.1974019283499996E-2</v>
      </c>
      <c r="AC128" s="5">
        <v>0.16394803856699999</v>
      </c>
      <c r="AD128" t="s">
        <v>408</v>
      </c>
      <c r="AE128" t="s">
        <v>152</v>
      </c>
      <c r="AF128" t="s">
        <v>408</v>
      </c>
      <c r="AG128" t="s">
        <v>408</v>
      </c>
      <c r="AH128" t="s">
        <v>408</v>
      </c>
      <c r="AI128" t="s">
        <v>408</v>
      </c>
      <c r="AJ128" t="s">
        <v>408</v>
      </c>
      <c r="AK128" t="s">
        <v>408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 s="58">
        <f t="shared" si="1"/>
        <v>1</v>
      </c>
      <c r="AU128" s="79">
        <v>43342</v>
      </c>
      <c r="AV128" s="78" t="s">
        <v>410</v>
      </c>
      <c r="AW128" t="s">
        <v>408</v>
      </c>
      <c r="AX128">
        <v>2</v>
      </c>
      <c r="AY128" t="s">
        <v>412</v>
      </c>
      <c r="AZ128" t="s">
        <v>408</v>
      </c>
    </row>
    <row r="129" spans="1:52" x14ac:dyDescent="0.3">
      <c r="A129">
        <v>118</v>
      </c>
      <c r="B129" t="s">
        <v>880</v>
      </c>
      <c r="C129" t="s">
        <v>155</v>
      </c>
      <c r="D129" t="s">
        <v>881</v>
      </c>
      <c r="E129" t="s">
        <v>466</v>
      </c>
      <c r="F129" t="s">
        <v>408</v>
      </c>
      <c r="G129">
        <v>298</v>
      </c>
      <c r="H129">
        <v>299</v>
      </c>
      <c r="I129" t="s">
        <v>882</v>
      </c>
      <c r="J129">
        <v>2</v>
      </c>
      <c r="K129">
        <v>1</v>
      </c>
      <c r="L129" t="s">
        <v>883</v>
      </c>
      <c r="M129">
        <v>3</v>
      </c>
      <c r="N129" t="s">
        <v>165</v>
      </c>
      <c r="O129" t="s">
        <v>165</v>
      </c>
      <c r="P129" t="s">
        <v>414</v>
      </c>
      <c r="Q129" t="s">
        <v>408</v>
      </c>
      <c r="R129" t="s">
        <v>703</v>
      </c>
      <c r="S129">
        <v>2014</v>
      </c>
      <c r="T129">
        <v>7</v>
      </c>
      <c r="U129" t="s">
        <v>408</v>
      </c>
      <c r="V129" t="s">
        <v>482</v>
      </c>
      <c r="W129">
        <v>2018</v>
      </c>
      <c r="X129">
        <v>9</v>
      </c>
      <c r="Y129" t="s">
        <v>370</v>
      </c>
      <c r="Z129">
        <v>2018</v>
      </c>
      <c r="AA129">
        <v>2018</v>
      </c>
      <c r="AB129" s="5">
        <v>0.25157677705199999</v>
      </c>
      <c r="AC129" s="5">
        <v>0.50315355410399998</v>
      </c>
      <c r="AD129" t="s">
        <v>408</v>
      </c>
      <c r="AE129" t="s">
        <v>152</v>
      </c>
      <c r="AF129" t="s">
        <v>408</v>
      </c>
      <c r="AG129" t="s">
        <v>408</v>
      </c>
      <c r="AH129" t="s">
        <v>408</v>
      </c>
      <c r="AI129" t="s">
        <v>408</v>
      </c>
      <c r="AJ129" t="s">
        <v>408</v>
      </c>
      <c r="AK129" t="s">
        <v>408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 s="58">
        <f t="shared" si="1"/>
        <v>1</v>
      </c>
      <c r="AU129" s="79">
        <v>43343</v>
      </c>
      <c r="AV129" s="78" t="s">
        <v>410</v>
      </c>
      <c r="AW129" t="s">
        <v>152</v>
      </c>
      <c r="AX129">
        <v>2</v>
      </c>
      <c r="AY129" t="s">
        <v>412</v>
      </c>
      <c r="AZ129" t="s">
        <v>408</v>
      </c>
    </row>
    <row r="130" spans="1:52" x14ac:dyDescent="0.3">
      <c r="A130">
        <v>119</v>
      </c>
      <c r="B130" t="s">
        <v>477</v>
      </c>
      <c r="C130" t="s">
        <v>155</v>
      </c>
      <c r="D130" t="s">
        <v>478</v>
      </c>
      <c r="E130" t="s">
        <v>417</v>
      </c>
      <c r="F130" t="s">
        <v>408</v>
      </c>
      <c r="G130">
        <v>1239</v>
      </c>
      <c r="H130">
        <v>1238</v>
      </c>
      <c r="I130" t="s">
        <v>884</v>
      </c>
      <c r="J130">
        <v>1201</v>
      </c>
      <c r="K130">
        <v>1200</v>
      </c>
      <c r="L130" t="s">
        <v>631</v>
      </c>
      <c r="M130">
        <v>2</v>
      </c>
      <c r="N130" t="s">
        <v>167</v>
      </c>
      <c r="O130" t="s">
        <v>167</v>
      </c>
      <c r="P130" t="s">
        <v>414</v>
      </c>
      <c r="Q130" t="s">
        <v>408</v>
      </c>
      <c r="R130" t="s">
        <v>885</v>
      </c>
      <c r="S130">
        <v>2013</v>
      </c>
      <c r="T130">
        <v>10</v>
      </c>
      <c r="U130" t="s">
        <v>408</v>
      </c>
      <c r="V130" t="s">
        <v>511</v>
      </c>
      <c r="W130">
        <v>2018</v>
      </c>
      <c r="X130">
        <v>8</v>
      </c>
      <c r="Y130" t="s">
        <v>408</v>
      </c>
      <c r="Z130">
        <v>2018</v>
      </c>
      <c r="AA130">
        <v>2015</v>
      </c>
      <c r="AB130" s="5">
        <v>0.16366569616099999</v>
      </c>
      <c r="AC130" s="5">
        <v>0.32733139232199998</v>
      </c>
      <c r="AD130" t="s">
        <v>408</v>
      </c>
      <c r="AE130" t="s">
        <v>152</v>
      </c>
      <c r="AF130" t="s">
        <v>408</v>
      </c>
      <c r="AG130" t="s">
        <v>408</v>
      </c>
      <c r="AH130" t="s">
        <v>408</v>
      </c>
      <c r="AI130" t="s">
        <v>408</v>
      </c>
      <c r="AJ130" t="s">
        <v>408</v>
      </c>
      <c r="AK130" t="s">
        <v>408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 s="58">
        <f t="shared" si="1"/>
        <v>1</v>
      </c>
      <c r="AU130" s="79">
        <v>43333</v>
      </c>
      <c r="AV130" s="78" t="s">
        <v>410</v>
      </c>
      <c r="AW130" t="s">
        <v>408</v>
      </c>
      <c r="AX130">
        <v>2</v>
      </c>
      <c r="AY130" t="s">
        <v>412</v>
      </c>
      <c r="AZ130" t="s">
        <v>408</v>
      </c>
    </row>
    <row r="131" spans="1:52" x14ac:dyDescent="0.3">
      <c r="A131">
        <v>120</v>
      </c>
      <c r="B131" t="s">
        <v>886</v>
      </c>
      <c r="C131" t="s">
        <v>154</v>
      </c>
      <c r="D131" t="s">
        <v>887</v>
      </c>
      <c r="E131" t="s">
        <v>417</v>
      </c>
      <c r="F131" t="s">
        <v>408</v>
      </c>
      <c r="G131">
        <v>2401</v>
      </c>
      <c r="H131">
        <v>2400</v>
      </c>
      <c r="I131" t="s">
        <v>619</v>
      </c>
      <c r="J131">
        <v>2801</v>
      </c>
      <c r="K131">
        <v>2800</v>
      </c>
      <c r="L131" t="s">
        <v>761</v>
      </c>
      <c r="M131">
        <v>3</v>
      </c>
      <c r="N131" t="s">
        <v>165</v>
      </c>
      <c r="O131" t="s">
        <v>165</v>
      </c>
      <c r="P131" t="s">
        <v>420</v>
      </c>
      <c r="Q131" t="s">
        <v>408</v>
      </c>
      <c r="R131" t="s">
        <v>445</v>
      </c>
      <c r="S131">
        <v>2012</v>
      </c>
      <c r="T131">
        <v>5</v>
      </c>
      <c r="U131" t="s">
        <v>408</v>
      </c>
      <c r="V131" t="s">
        <v>487</v>
      </c>
      <c r="W131">
        <v>2020</v>
      </c>
      <c r="X131">
        <v>0</v>
      </c>
      <c r="Y131" t="s">
        <v>408</v>
      </c>
      <c r="Z131">
        <v>2020</v>
      </c>
      <c r="AA131">
        <v>2014</v>
      </c>
      <c r="AB131" s="5">
        <v>0.50803817688499997</v>
      </c>
      <c r="AC131" s="5">
        <v>1.0160763537699999</v>
      </c>
      <c r="AD131" t="s">
        <v>408</v>
      </c>
      <c r="AE131" t="s">
        <v>152</v>
      </c>
      <c r="AF131" t="s">
        <v>408</v>
      </c>
      <c r="AG131" t="s">
        <v>408</v>
      </c>
      <c r="AH131" t="s">
        <v>408</v>
      </c>
      <c r="AI131" t="s">
        <v>408</v>
      </c>
      <c r="AJ131" t="s">
        <v>408</v>
      </c>
      <c r="AK131" t="s">
        <v>408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 s="58">
        <f t="shared" si="1"/>
        <v>1</v>
      </c>
      <c r="AU131" s="79" t="s">
        <v>592</v>
      </c>
      <c r="AV131" s="78" t="s">
        <v>410</v>
      </c>
      <c r="AW131" t="s">
        <v>152</v>
      </c>
      <c r="AX131">
        <v>2</v>
      </c>
      <c r="AY131" t="s">
        <v>412</v>
      </c>
      <c r="AZ131" t="s">
        <v>408</v>
      </c>
    </row>
    <row r="132" spans="1:52" x14ac:dyDescent="0.3">
      <c r="A132">
        <v>121</v>
      </c>
      <c r="B132" t="s">
        <v>888</v>
      </c>
      <c r="C132" t="s">
        <v>152</v>
      </c>
      <c r="D132" t="s">
        <v>889</v>
      </c>
      <c r="E132" t="s">
        <v>460</v>
      </c>
      <c r="F132" t="s">
        <v>408</v>
      </c>
      <c r="G132">
        <v>2400</v>
      </c>
      <c r="H132">
        <v>2401</v>
      </c>
      <c r="I132" t="s">
        <v>890</v>
      </c>
      <c r="J132">
        <v>2784</v>
      </c>
      <c r="K132">
        <v>2785</v>
      </c>
      <c r="L132" t="s">
        <v>891</v>
      </c>
      <c r="M132">
        <v>2</v>
      </c>
      <c r="N132" t="s">
        <v>167</v>
      </c>
      <c r="O132" t="s">
        <v>167</v>
      </c>
      <c r="P132" t="s">
        <v>420</v>
      </c>
      <c r="Q132" t="s">
        <v>892</v>
      </c>
      <c r="R132" t="s">
        <v>608</v>
      </c>
      <c r="S132">
        <v>2011</v>
      </c>
      <c r="T132">
        <v>5</v>
      </c>
      <c r="U132" t="s">
        <v>370</v>
      </c>
      <c r="V132" t="s">
        <v>511</v>
      </c>
      <c r="W132">
        <v>2018</v>
      </c>
      <c r="X132">
        <v>8</v>
      </c>
      <c r="Y132" t="s">
        <v>408</v>
      </c>
      <c r="Z132">
        <v>2018</v>
      </c>
      <c r="AA132">
        <v>2011</v>
      </c>
      <c r="AB132" s="5">
        <v>0.50564745076499995</v>
      </c>
      <c r="AC132" s="5">
        <v>1.0112949015299999</v>
      </c>
      <c r="AD132" t="s">
        <v>408</v>
      </c>
      <c r="AE132" t="s">
        <v>152</v>
      </c>
      <c r="AF132" t="s">
        <v>408</v>
      </c>
      <c r="AG132" t="s">
        <v>408</v>
      </c>
      <c r="AH132" t="s">
        <v>408</v>
      </c>
      <c r="AI132" t="s">
        <v>408</v>
      </c>
      <c r="AJ132" t="s">
        <v>408</v>
      </c>
      <c r="AK132" t="s">
        <v>408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 s="58">
        <f t="shared" si="1"/>
        <v>1</v>
      </c>
      <c r="AU132" s="79">
        <v>43343</v>
      </c>
      <c r="AV132" t="s">
        <v>410</v>
      </c>
      <c r="AW132" t="s">
        <v>408</v>
      </c>
      <c r="AX132">
        <v>2</v>
      </c>
      <c r="AY132" t="s">
        <v>412</v>
      </c>
      <c r="AZ132" t="s">
        <v>408</v>
      </c>
    </row>
    <row r="133" spans="1:52" x14ac:dyDescent="0.3">
      <c r="A133">
        <v>122</v>
      </c>
      <c r="B133" t="s">
        <v>693</v>
      </c>
      <c r="C133" t="s">
        <v>152</v>
      </c>
      <c r="D133" t="s">
        <v>694</v>
      </c>
      <c r="E133" t="s">
        <v>460</v>
      </c>
      <c r="F133" t="s">
        <v>408</v>
      </c>
      <c r="G133">
        <v>100</v>
      </c>
      <c r="H133">
        <v>101</v>
      </c>
      <c r="I133" t="s">
        <v>893</v>
      </c>
      <c r="J133">
        <v>158</v>
      </c>
      <c r="K133">
        <v>159</v>
      </c>
      <c r="L133" t="s">
        <v>628</v>
      </c>
      <c r="M133">
        <v>3</v>
      </c>
      <c r="N133" t="s">
        <v>167</v>
      </c>
      <c r="O133" t="s">
        <v>167</v>
      </c>
      <c r="P133" t="s">
        <v>420</v>
      </c>
      <c r="Q133" t="s">
        <v>894</v>
      </c>
      <c r="R133" t="s">
        <v>556</v>
      </c>
      <c r="S133">
        <v>2012</v>
      </c>
      <c r="T133">
        <v>10</v>
      </c>
      <c r="U133" t="s">
        <v>370</v>
      </c>
      <c r="V133" t="s">
        <v>408</v>
      </c>
      <c r="W133">
        <v>0</v>
      </c>
      <c r="X133">
        <v>0</v>
      </c>
      <c r="Y133" t="s">
        <v>408</v>
      </c>
      <c r="Z133">
        <v>2012</v>
      </c>
      <c r="AA133">
        <v>2012</v>
      </c>
      <c r="AB133" s="5">
        <v>0.12670910580899999</v>
      </c>
      <c r="AC133" s="5">
        <v>0.25341821161799999</v>
      </c>
      <c r="AD133" t="s">
        <v>408</v>
      </c>
      <c r="AE133" t="s">
        <v>152</v>
      </c>
      <c r="AF133" t="s">
        <v>408</v>
      </c>
      <c r="AG133" t="s">
        <v>408</v>
      </c>
      <c r="AH133" t="s">
        <v>408</v>
      </c>
      <c r="AI133" t="s">
        <v>408</v>
      </c>
      <c r="AJ133" t="s">
        <v>408</v>
      </c>
      <c r="AK133" t="s">
        <v>408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 s="58">
        <f t="shared" si="1"/>
        <v>1</v>
      </c>
      <c r="AU133" s="79">
        <v>43340</v>
      </c>
      <c r="AV133" s="78" t="s">
        <v>410</v>
      </c>
      <c r="AW133" t="s">
        <v>408</v>
      </c>
      <c r="AX133">
        <v>2</v>
      </c>
      <c r="AY133" t="s">
        <v>412</v>
      </c>
      <c r="AZ133" t="s">
        <v>408</v>
      </c>
    </row>
    <row r="134" spans="1:52" x14ac:dyDescent="0.3">
      <c r="A134">
        <v>123</v>
      </c>
      <c r="B134" t="s">
        <v>688</v>
      </c>
      <c r="C134" t="s">
        <v>155</v>
      </c>
      <c r="D134" t="s">
        <v>689</v>
      </c>
      <c r="E134" t="s">
        <v>426</v>
      </c>
      <c r="F134" t="s">
        <v>408</v>
      </c>
      <c r="G134">
        <v>5500</v>
      </c>
      <c r="H134">
        <v>5501</v>
      </c>
      <c r="I134" t="s">
        <v>638</v>
      </c>
      <c r="J134">
        <v>5100</v>
      </c>
      <c r="K134">
        <v>5101</v>
      </c>
      <c r="L134" t="s">
        <v>639</v>
      </c>
      <c r="M134">
        <v>3</v>
      </c>
      <c r="N134" t="s">
        <v>167</v>
      </c>
      <c r="O134" t="s">
        <v>167</v>
      </c>
      <c r="P134" t="s">
        <v>420</v>
      </c>
      <c r="Q134" t="s">
        <v>408</v>
      </c>
      <c r="R134" t="s">
        <v>719</v>
      </c>
      <c r="S134">
        <v>2005</v>
      </c>
      <c r="T134">
        <v>6</v>
      </c>
      <c r="U134" t="s">
        <v>760</v>
      </c>
      <c r="V134" t="s">
        <v>742</v>
      </c>
      <c r="W134">
        <v>2017</v>
      </c>
      <c r="X134">
        <v>6</v>
      </c>
      <c r="Y134" t="s">
        <v>370</v>
      </c>
      <c r="Z134">
        <v>2017</v>
      </c>
      <c r="AA134">
        <v>2017</v>
      </c>
      <c r="AB134" s="5">
        <v>0.52548656313099995</v>
      </c>
      <c r="AC134" s="5">
        <v>1.0509731262599999</v>
      </c>
      <c r="AD134" t="s">
        <v>408</v>
      </c>
      <c r="AE134" t="s">
        <v>152</v>
      </c>
      <c r="AF134" t="s">
        <v>408</v>
      </c>
      <c r="AG134" t="s">
        <v>408</v>
      </c>
      <c r="AH134" t="s">
        <v>408</v>
      </c>
      <c r="AI134" t="s">
        <v>408</v>
      </c>
      <c r="AJ134" t="s">
        <v>408</v>
      </c>
      <c r="AK134" t="s">
        <v>408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 s="58">
        <f t="shared" si="1"/>
        <v>1</v>
      </c>
      <c r="AU134" s="79" t="s">
        <v>602</v>
      </c>
      <c r="AV134" s="78" t="s">
        <v>410</v>
      </c>
      <c r="AW134" t="s">
        <v>411</v>
      </c>
      <c r="AX134">
        <v>2</v>
      </c>
      <c r="AY134" t="s">
        <v>412</v>
      </c>
      <c r="AZ134" t="s">
        <v>408</v>
      </c>
    </row>
    <row r="135" spans="1:52" x14ac:dyDescent="0.3">
      <c r="A135">
        <v>124</v>
      </c>
      <c r="B135" t="s">
        <v>489</v>
      </c>
      <c r="C135" t="s">
        <v>155</v>
      </c>
      <c r="D135" t="s">
        <v>490</v>
      </c>
      <c r="E135" t="s">
        <v>460</v>
      </c>
      <c r="F135" t="s">
        <v>408</v>
      </c>
      <c r="G135">
        <v>2133</v>
      </c>
      <c r="H135">
        <v>2132</v>
      </c>
      <c r="I135" t="s">
        <v>492</v>
      </c>
      <c r="J135">
        <v>1907</v>
      </c>
      <c r="K135">
        <v>1906</v>
      </c>
      <c r="L135" t="s">
        <v>651</v>
      </c>
      <c r="M135">
        <v>3</v>
      </c>
      <c r="N135" t="s">
        <v>167</v>
      </c>
      <c r="O135" t="s">
        <v>167</v>
      </c>
      <c r="P135" t="s">
        <v>420</v>
      </c>
      <c r="Q135" t="s">
        <v>895</v>
      </c>
      <c r="R135" t="s">
        <v>493</v>
      </c>
      <c r="S135">
        <v>2007</v>
      </c>
      <c r="T135">
        <v>10</v>
      </c>
      <c r="U135" t="s">
        <v>408</v>
      </c>
      <c r="V135" t="s">
        <v>408</v>
      </c>
      <c r="W135">
        <v>0</v>
      </c>
      <c r="X135">
        <v>0</v>
      </c>
      <c r="Y135" t="s">
        <v>408</v>
      </c>
      <c r="Z135">
        <v>2007</v>
      </c>
      <c r="AA135">
        <v>0</v>
      </c>
      <c r="AB135" s="5">
        <v>0.25198553747699998</v>
      </c>
      <c r="AC135" s="5">
        <v>0.50397107495399995</v>
      </c>
      <c r="AD135" t="s">
        <v>408</v>
      </c>
      <c r="AE135" t="s">
        <v>152</v>
      </c>
      <c r="AF135" t="s">
        <v>408</v>
      </c>
      <c r="AG135" t="s">
        <v>408</v>
      </c>
      <c r="AH135" t="s">
        <v>408</v>
      </c>
      <c r="AI135" t="s">
        <v>408</v>
      </c>
      <c r="AJ135" t="s">
        <v>408</v>
      </c>
      <c r="AK135" t="s">
        <v>408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s="58">
        <f t="shared" si="1"/>
        <v>1</v>
      </c>
      <c r="AU135" s="79">
        <v>43335</v>
      </c>
      <c r="AV135" t="s">
        <v>410</v>
      </c>
      <c r="AW135" t="s">
        <v>408</v>
      </c>
      <c r="AX135">
        <v>2</v>
      </c>
      <c r="AY135" t="s">
        <v>412</v>
      </c>
      <c r="AZ135" t="s">
        <v>408</v>
      </c>
    </row>
    <row r="136" spans="1:52" x14ac:dyDescent="0.3">
      <c r="A136">
        <v>125</v>
      </c>
      <c r="B136" t="s">
        <v>855</v>
      </c>
      <c r="C136" t="s">
        <v>447</v>
      </c>
      <c r="D136" t="s">
        <v>448</v>
      </c>
      <c r="E136" t="s">
        <v>417</v>
      </c>
      <c r="F136" t="s">
        <v>408</v>
      </c>
      <c r="G136">
        <v>1700</v>
      </c>
      <c r="H136">
        <v>1701</v>
      </c>
      <c r="I136" t="s">
        <v>857</v>
      </c>
      <c r="J136">
        <v>1776</v>
      </c>
      <c r="K136">
        <v>1777</v>
      </c>
      <c r="L136" t="s">
        <v>896</v>
      </c>
      <c r="M136">
        <v>2</v>
      </c>
      <c r="N136" t="s">
        <v>170</v>
      </c>
      <c r="O136" t="s">
        <v>170</v>
      </c>
      <c r="P136" t="s">
        <v>420</v>
      </c>
      <c r="Q136" t="s">
        <v>408</v>
      </c>
      <c r="R136" t="s">
        <v>897</v>
      </c>
      <c r="S136">
        <v>2005</v>
      </c>
      <c r="T136">
        <v>8</v>
      </c>
      <c r="U136" t="s">
        <v>408</v>
      </c>
      <c r="V136" t="s">
        <v>453</v>
      </c>
      <c r="W136">
        <v>2017</v>
      </c>
      <c r="X136">
        <v>6</v>
      </c>
      <c r="Y136" t="s">
        <v>408</v>
      </c>
      <c r="Z136">
        <v>2017</v>
      </c>
      <c r="AA136">
        <v>2005</v>
      </c>
      <c r="AB136" s="5">
        <v>0.15889196410199999</v>
      </c>
      <c r="AC136" s="5">
        <v>0.31778392820399998</v>
      </c>
      <c r="AD136" t="s">
        <v>408</v>
      </c>
      <c r="AE136" t="s">
        <v>152</v>
      </c>
      <c r="AF136" t="s">
        <v>408</v>
      </c>
      <c r="AG136" t="s">
        <v>408</v>
      </c>
      <c r="AH136" t="s">
        <v>408</v>
      </c>
      <c r="AI136" t="s">
        <v>408</v>
      </c>
      <c r="AJ136" t="s">
        <v>408</v>
      </c>
      <c r="AK136" t="s">
        <v>408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 s="58">
        <f t="shared" si="1"/>
        <v>1</v>
      </c>
      <c r="AU136" s="79">
        <v>43342</v>
      </c>
      <c r="AV136" t="s">
        <v>410</v>
      </c>
      <c r="AW136" t="s">
        <v>408</v>
      </c>
      <c r="AX136">
        <v>2</v>
      </c>
      <c r="AY136" t="s">
        <v>412</v>
      </c>
      <c r="AZ136" t="s">
        <v>408</v>
      </c>
    </row>
    <row r="137" spans="1:52" x14ac:dyDescent="0.3">
      <c r="A137">
        <v>126</v>
      </c>
      <c r="B137" t="s">
        <v>898</v>
      </c>
      <c r="C137" t="s">
        <v>447</v>
      </c>
      <c r="D137" t="s">
        <v>899</v>
      </c>
      <c r="E137" t="s">
        <v>417</v>
      </c>
      <c r="F137" t="s">
        <v>408</v>
      </c>
      <c r="G137">
        <v>501</v>
      </c>
      <c r="H137">
        <v>500</v>
      </c>
      <c r="I137" t="s">
        <v>496</v>
      </c>
      <c r="J137">
        <v>601</v>
      </c>
      <c r="K137">
        <v>600</v>
      </c>
      <c r="L137" t="s">
        <v>900</v>
      </c>
      <c r="M137">
        <v>2</v>
      </c>
      <c r="N137" t="s">
        <v>163</v>
      </c>
      <c r="O137" t="s">
        <v>163</v>
      </c>
      <c r="P137" t="s">
        <v>420</v>
      </c>
      <c r="Q137" t="s">
        <v>901</v>
      </c>
      <c r="R137" t="s">
        <v>902</v>
      </c>
      <c r="S137">
        <v>2012</v>
      </c>
      <c r="T137">
        <v>10</v>
      </c>
      <c r="U137" t="s">
        <v>452</v>
      </c>
      <c r="V137" t="s">
        <v>408</v>
      </c>
      <c r="W137">
        <v>0</v>
      </c>
      <c r="X137">
        <v>0</v>
      </c>
      <c r="Y137" t="s">
        <v>408</v>
      </c>
      <c r="Z137">
        <v>2012</v>
      </c>
      <c r="AA137">
        <v>0</v>
      </c>
      <c r="AB137" s="5">
        <v>0.18751153483800001</v>
      </c>
      <c r="AC137" s="5">
        <v>0.37502306967600002</v>
      </c>
      <c r="AD137" t="s">
        <v>400</v>
      </c>
      <c r="AE137" t="s">
        <v>152</v>
      </c>
      <c r="AF137" t="s">
        <v>400</v>
      </c>
      <c r="AG137" t="s">
        <v>400</v>
      </c>
      <c r="AH137" t="s">
        <v>400</v>
      </c>
      <c r="AI137" t="s">
        <v>470</v>
      </c>
      <c r="AJ137" t="s">
        <v>400</v>
      </c>
      <c r="AK137" t="s">
        <v>408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 s="58">
        <f t="shared" si="1"/>
        <v>1</v>
      </c>
      <c r="AU137" s="79" t="s">
        <v>602</v>
      </c>
      <c r="AV137" s="78" t="s">
        <v>410</v>
      </c>
      <c r="AW137" t="s">
        <v>411</v>
      </c>
      <c r="AX137">
        <v>1</v>
      </c>
      <c r="AY137" t="s">
        <v>412</v>
      </c>
      <c r="AZ137" t="s">
        <v>408</v>
      </c>
    </row>
    <row r="138" spans="1:52" x14ac:dyDescent="0.3">
      <c r="A138">
        <v>127</v>
      </c>
      <c r="B138" t="s">
        <v>903</v>
      </c>
      <c r="C138" t="s">
        <v>447</v>
      </c>
      <c r="D138" t="s">
        <v>904</v>
      </c>
      <c r="E138" t="s">
        <v>417</v>
      </c>
      <c r="F138" t="s">
        <v>408</v>
      </c>
      <c r="G138">
        <v>2</v>
      </c>
      <c r="H138">
        <v>1</v>
      </c>
      <c r="I138" t="s">
        <v>877</v>
      </c>
      <c r="J138">
        <v>79</v>
      </c>
      <c r="K138">
        <v>80</v>
      </c>
      <c r="L138" t="s">
        <v>905</v>
      </c>
      <c r="M138">
        <v>4</v>
      </c>
      <c r="N138" t="s">
        <v>170</v>
      </c>
      <c r="O138" t="s">
        <v>170</v>
      </c>
      <c r="P138" t="s">
        <v>420</v>
      </c>
      <c r="Q138" t="s">
        <v>408</v>
      </c>
      <c r="R138" t="s">
        <v>493</v>
      </c>
      <c r="S138">
        <v>2007</v>
      </c>
      <c r="T138">
        <v>7</v>
      </c>
      <c r="U138" t="s">
        <v>408</v>
      </c>
      <c r="V138" t="s">
        <v>778</v>
      </c>
      <c r="W138">
        <v>2014</v>
      </c>
      <c r="X138">
        <v>6</v>
      </c>
      <c r="Y138" t="s">
        <v>370</v>
      </c>
      <c r="Z138">
        <v>2014</v>
      </c>
      <c r="AA138">
        <v>2014</v>
      </c>
      <c r="AB138" s="5">
        <v>0.16367943229000001</v>
      </c>
      <c r="AC138" s="5">
        <v>0.32735886458000002</v>
      </c>
      <c r="AD138" t="s">
        <v>408</v>
      </c>
      <c r="AE138" t="s">
        <v>152</v>
      </c>
      <c r="AF138" t="s">
        <v>408</v>
      </c>
      <c r="AG138" t="s">
        <v>408</v>
      </c>
      <c r="AH138" t="s">
        <v>408</v>
      </c>
      <c r="AI138" t="s">
        <v>408</v>
      </c>
      <c r="AJ138" t="s">
        <v>408</v>
      </c>
      <c r="AK138" t="s">
        <v>408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 s="58">
        <f t="shared" si="1"/>
        <v>1</v>
      </c>
      <c r="AU138" s="79">
        <v>43343</v>
      </c>
      <c r="AV138" s="78" t="s">
        <v>410</v>
      </c>
      <c r="AW138" t="s">
        <v>408</v>
      </c>
      <c r="AX138">
        <v>3</v>
      </c>
      <c r="AY138" t="s">
        <v>412</v>
      </c>
      <c r="AZ138" t="s">
        <v>408</v>
      </c>
    </row>
    <row r="139" spans="1:52" x14ac:dyDescent="0.3">
      <c r="A139">
        <v>128</v>
      </c>
      <c r="B139" t="s">
        <v>720</v>
      </c>
      <c r="C139" t="s">
        <v>152</v>
      </c>
      <c r="D139" t="s">
        <v>721</v>
      </c>
      <c r="E139" t="s">
        <v>460</v>
      </c>
      <c r="F139" t="s">
        <v>400</v>
      </c>
      <c r="G139">
        <v>3600</v>
      </c>
      <c r="H139">
        <v>3601</v>
      </c>
      <c r="I139" t="s">
        <v>625</v>
      </c>
      <c r="J139">
        <v>4800</v>
      </c>
      <c r="K139">
        <v>4801</v>
      </c>
      <c r="L139" t="s">
        <v>826</v>
      </c>
      <c r="M139">
        <v>2</v>
      </c>
      <c r="N139" t="s">
        <v>167</v>
      </c>
      <c r="O139" t="s">
        <v>569</v>
      </c>
      <c r="P139" t="s">
        <v>403</v>
      </c>
      <c r="Q139" t="s">
        <v>906</v>
      </c>
      <c r="R139" t="s">
        <v>53</v>
      </c>
      <c r="S139">
        <v>2022</v>
      </c>
      <c r="T139">
        <v>11</v>
      </c>
      <c r="U139" t="s">
        <v>408</v>
      </c>
      <c r="V139" t="s">
        <v>408</v>
      </c>
      <c r="W139">
        <v>0</v>
      </c>
      <c r="X139">
        <v>0</v>
      </c>
      <c r="Y139" t="s">
        <v>408</v>
      </c>
      <c r="Z139">
        <v>2022</v>
      </c>
      <c r="AA139">
        <v>2005</v>
      </c>
      <c r="AB139" s="5">
        <v>1.5557331405499999</v>
      </c>
      <c r="AC139" s="5">
        <v>3.1114660000000001</v>
      </c>
      <c r="AD139" t="s">
        <v>400</v>
      </c>
      <c r="AE139" t="s">
        <v>400</v>
      </c>
      <c r="AF139" t="s">
        <v>400</v>
      </c>
      <c r="AG139" t="s">
        <v>400</v>
      </c>
      <c r="AH139" t="s">
        <v>400</v>
      </c>
      <c r="AI139" t="s">
        <v>400</v>
      </c>
      <c r="AJ139" t="s">
        <v>400</v>
      </c>
      <c r="AK139" t="s">
        <v>400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 s="58">
        <f t="shared" ref="AT139:AT202" si="2">SUM(AM139:AS139)</f>
        <v>1</v>
      </c>
      <c r="AU139" s="79" t="s">
        <v>666</v>
      </c>
      <c r="AV139" s="78" t="s">
        <v>410</v>
      </c>
      <c r="AW139" t="s">
        <v>400</v>
      </c>
      <c r="AX139">
        <v>2</v>
      </c>
      <c r="AY139" t="s">
        <v>412</v>
      </c>
      <c r="AZ139">
        <v>30</v>
      </c>
    </row>
    <row r="140" spans="1:52" x14ac:dyDescent="0.3">
      <c r="A140">
        <v>129</v>
      </c>
      <c r="B140" t="s">
        <v>709</v>
      </c>
      <c r="C140" t="s">
        <v>154</v>
      </c>
      <c r="D140" t="s">
        <v>710</v>
      </c>
      <c r="E140" t="s">
        <v>460</v>
      </c>
      <c r="F140" t="s">
        <v>408</v>
      </c>
      <c r="G140">
        <v>2800</v>
      </c>
      <c r="H140">
        <v>2801</v>
      </c>
      <c r="I140" t="s">
        <v>761</v>
      </c>
      <c r="J140">
        <v>2401</v>
      </c>
      <c r="K140">
        <v>2400</v>
      </c>
      <c r="L140" t="s">
        <v>619</v>
      </c>
      <c r="M140">
        <v>2</v>
      </c>
      <c r="N140" t="s">
        <v>167</v>
      </c>
      <c r="O140" t="s">
        <v>167</v>
      </c>
      <c r="P140" t="s">
        <v>414</v>
      </c>
      <c r="Q140" t="s">
        <v>408</v>
      </c>
      <c r="R140" t="s">
        <v>510</v>
      </c>
      <c r="S140">
        <v>2002</v>
      </c>
      <c r="T140">
        <v>6</v>
      </c>
      <c r="U140" t="s">
        <v>408</v>
      </c>
      <c r="V140" t="s">
        <v>487</v>
      </c>
      <c r="W140">
        <v>2020</v>
      </c>
      <c r="X140">
        <v>0</v>
      </c>
      <c r="Y140" t="s">
        <v>408</v>
      </c>
      <c r="Z140">
        <v>2020</v>
      </c>
      <c r="AA140">
        <v>2006</v>
      </c>
      <c r="AB140" s="5">
        <v>0.50487894271599998</v>
      </c>
      <c r="AC140" s="5">
        <v>1.00975788543</v>
      </c>
      <c r="AD140" t="s">
        <v>408</v>
      </c>
      <c r="AE140" t="s">
        <v>152</v>
      </c>
      <c r="AF140" t="s">
        <v>408</v>
      </c>
      <c r="AG140" t="s">
        <v>408</v>
      </c>
      <c r="AH140" t="s">
        <v>408</v>
      </c>
      <c r="AI140" t="s">
        <v>408</v>
      </c>
      <c r="AJ140" t="s">
        <v>408</v>
      </c>
      <c r="AK140" t="s">
        <v>408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58">
        <f t="shared" si="2"/>
        <v>1</v>
      </c>
      <c r="AU140" s="79" t="s">
        <v>488</v>
      </c>
      <c r="AV140" t="s">
        <v>410</v>
      </c>
      <c r="AW140" t="s">
        <v>408</v>
      </c>
      <c r="AX140">
        <v>2</v>
      </c>
      <c r="AY140" t="s">
        <v>412</v>
      </c>
      <c r="AZ140" t="s">
        <v>408</v>
      </c>
    </row>
    <row r="141" spans="1:52" x14ac:dyDescent="0.3">
      <c r="A141">
        <v>130</v>
      </c>
      <c r="B141" t="s">
        <v>907</v>
      </c>
      <c r="C141" t="s">
        <v>154</v>
      </c>
      <c r="D141" t="s">
        <v>908</v>
      </c>
      <c r="E141" t="s">
        <v>426</v>
      </c>
      <c r="F141" t="s">
        <v>447</v>
      </c>
      <c r="G141">
        <v>3434</v>
      </c>
      <c r="H141">
        <v>3435</v>
      </c>
      <c r="I141" t="s">
        <v>893</v>
      </c>
      <c r="J141">
        <v>3400</v>
      </c>
      <c r="K141">
        <v>3401</v>
      </c>
      <c r="L141" t="s">
        <v>909</v>
      </c>
      <c r="M141">
        <v>4</v>
      </c>
      <c r="N141" t="s">
        <v>167</v>
      </c>
      <c r="O141" t="s">
        <v>167</v>
      </c>
      <c r="P141" t="s">
        <v>420</v>
      </c>
      <c r="Q141" t="s">
        <v>408</v>
      </c>
      <c r="R141" t="s">
        <v>910</v>
      </c>
      <c r="S141">
        <v>2003</v>
      </c>
      <c r="T141">
        <v>10</v>
      </c>
      <c r="U141" t="s">
        <v>408</v>
      </c>
      <c r="V141" t="s">
        <v>662</v>
      </c>
      <c r="W141">
        <v>2015</v>
      </c>
      <c r="X141">
        <v>12</v>
      </c>
      <c r="Y141" t="s">
        <v>370</v>
      </c>
      <c r="Z141">
        <v>2015</v>
      </c>
      <c r="AA141">
        <v>2015</v>
      </c>
      <c r="AB141" s="5">
        <v>7.9153990015600001E-2</v>
      </c>
      <c r="AC141" s="5">
        <v>7.9153990015600001E-2</v>
      </c>
      <c r="AD141" t="s">
        <v>408</v>
      </c>
      <c r="AE141" t="s">
        <v>411</v>
      </c>
      <c r="AF141" t="s">
        <v>447</v>
      </c>
      <c r="AG141" t="s">
        <v>152</v>
      </c>
      <c r="AH141" t="s">
        <v>408</v>
      </c>
      <c r="AI141" t="s">
        <v>408</v>
      </c>
      <c r="AJ141" t="s">
        <v>408</v>
      </c>
      <c r="AK141" t="s">
        <v>408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 s="58">
        <f t="shared" si="2"/>
        <v>1</v>
      </c>
      <c r="AU141" s="79">
        <v>43343</v>
      </c>
      <c r="AV141" s="78" t="s">
        <v>410</v>
      </c>
      <c r="AW141" t="s">
        <v>408</v>
      </c>
      <c r="AX141">
        <v>2</v>
      </c>
      <c r="AY141" t="s">
        <v>412</v>
      </c>
      <c r="AZ141" t="s">
        <v>408</v>
      </c>
    </row>
    <row r="142" spans="1:52" x14ac:dyDescent="0.3">
      <c r="A142">
        <v>131</v>
      </c>
      <c r="B142" t="s">
        <v>911</v>
      </c>
      <c r="C142" t="s">
        <v>154</v>
      </c>
      <c r="D142" t="s">
        <v>912</v>
      </c>
      <c r="E142" t="s">
        <v>417</v>
      </c>
      <c r="F142" t="s">
        <v>408</v>
      </c>
      <c r="G142">
        <v>2358</v>
      </c>
      <c r="H142">
        <v>2359</v>
      </c>
      <c r="I142" t="s">
        <v>576</v>
      </c>
      <c r="J142">
        <v>2166</v>
      </c>
      <c r="K142">
        <v>2167</v>
      </c>
      <c r="L142" t="s">
        <v>913</v>
      </c>
      <c r="M142">
        <v>4</v>
      </c>
      <c r="N142" t="s">
        <v>167</v>
      </c>
      <c r="O142" t="s">
        <v>167</v>
      </c>
      <c r="P142" t="s">
        <v>420</v>
      </c>
      <c r="Q142" t="s">
        <v>914</v>
      </c>
      <c r="R142" t="s">
        <v>624</v>
      </c>
      <c r="S142">
        <v>2007</v>
      </c>
      <c r="T142">
        <v>8</v>
      </c>
      <c r="U142" t="s">
        <v>370</v>
      </c>
      <c r="V142" t="s">
        <v>494</v>
      </c>
      <c r="W142">
        <v>2018</v>
      </c>
      <c r="X142">
        <v>9</v>
      </c>
      <c r="Y142" t="s">
        <v>408</v>
      </c>
      <c r="Z142">
        <v>2018</v>
      </c>
      <c r="AA142">
        <v>2007</v>
      </c>
      <c r="AB142" s="5">
        <v>0.27011431662099999</v>
      </c>
      <c r="AC142" s="5">
        <v>0.54022863324199999</v>
      </c>
      <c r="AD142" t="s">
        <v>408</v>
      </c>
      <c r="AE142" t="s">
        <v>152</v>
      </c>
      <c r="AF142" t="s">
        <v>408</v>
      </c>
      <c r="AG142" t="s">
        <v>408</v>
      </c>
      <c r="AH142" t="s">
        <v>408</v>
      </c>
      <c r="AI142" t="s">
        <v>408</v>
      </c>
      <c r="AJ142" t="s">
        <v>408</v>
      </c>
      <c r="AK142" t="s">
        <v>408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 s="58">
        <f t="shared" si="2"/>
        <v>1</v>
      </c>
      <c r="AU142" s="79">
        <v>43343</v>
      </c>
      <c r="AV142" t="s">
        <v>410</v>
      </c>
      <c r="AW142" t="s">
        <v>408</v>
      </c>
      <c r="AX142">
        <v>2</v>
      </c>
      <c r="AY142" t="s">
        <v>412</v>
      </c>
      <c r="AZ142" t="s">
        <v>408</v>
      </c>
    </row>
    <row r="143" spans="1:52" x14ac:dyDescent="0.3">
      <c r="A143">
        <v>132</v>
      </c>
      <c r="B143" t="s">
        <v>506</v>
      </c>
      <c r="C143" t="s">
        <v>447</v>
      </c>
      <c r="D143" t="s">
        <v>507</v>
      </c>
      <c r="E143" t="s">
        <v>466</v>
      </c>
      <c r="F143" t="s">
        <v>408</v>
      </c>
      <c r="G143">
        <v>844</v>
      </c>
      <c r="H143">
        <v>845</v>
      </c>
      <c r="I143" t="s">
        <v>496</v>
      </c>
      <c r="J143">
        <v>864</v>
      </c>
      <c r="K143">
        <v>863</v>
      </c>
      <c r="L143" t="s">
        <v>915</v>
      </c>
      <c r="M143">
        <v>3</v>
      </c>
      <c r="N143" t="s">
        <v>167</v>
      </c>
      <c r="O143" t="s">
        <v>167</v>
      </c>
      <c r="P143" t="s">
        <v>403</v>
      </c>
      <c r="Q143" t="s">
        <v>916</v>
      </c>
      <c r="R143" t="s">
        <v>742</v>
      </c>
      <c r="S143">
        <v>2016</v>
      </c>
      <c r="T143">
        <v>11</v>
      </c>
      <c r="U143" t="s">
        <v>370</v>
      </c>
      <c r="V143" t="s">
        <v>408</v>
      </c>
      <c r="W143">
        <v>0</v>
      </c>
      <c r="X143">
        <v>0</v>
      </c>
      <c r="Y143" t="s">
        <v>408</v>
      </c>
      <c r="Z143">
        <v>2016</v>
      </c>
      <c r="AA143">
        <v>2016</v>
      </c>
      <c r="AB143" s="5">
        <v>0.179532340703</v>
      </c>
      <c r="AC143" s="5">
        <v>0.35906468140600001</v>
      </c>
      <c r="AD143" t="s">
        <v>408</v>
      </c>
      <c r="AE143" t="s">
        <v>152</v>
      </c>
      <c r="AF143" t="s">
        <v>408</v>
      </c>
      <c r="AG143" t="s">
        <v>408</v>
      </c>
      <c r="AH143" t="s">
        <v>408</v>
      </c>
      <c r="AI143" t="s">
        <v>408</v>
      </c>
      <c r="AJ143" t="s">
        <v>408</v>
      </c>
      <c r="AK143" t="s">
        <v>408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 s="58">
        <f t="shared" si="2"/>
        <v>1</v>
      </c>
      <c r="AU143" s="79">
        <v>43335</v>
      </c>
      <c r="AV143" s="78" t="s">
        <v>410</v>
      </c>
      <c r="AW143" t="s">
        <v>408</v>
      </c>
      <c r="AX143">
        <v>2</v>
      </c>
      <c r="AY143" t="s">
        <v>412</v>
      </c>
      <c r="AZ143" t="s">
        <v>408</v>
      </c>
    </row>
    <row r="144" spans="1:52" x14ac:dyDescent="0.3">
      <c r="A144">
        <v>133</v>
      </c>
      <c r="B144" t="s">
        <v>500</v>
      </c>
      <c r="C144" t="s">
        <v>154</v>
      </c>
      <c r="D144" t="s">
        <v>501</v>
      </c>
      <c r="E144" t="s">
        <v>466</v>
      </c>
      <c r="F144" t="s">
        <v>408</v>
      </c>
      <c r="G144">
        <v>4359</v>
      </c>
      <c r="H144">
        <v>4358</v>
      </c>
      <c r="I144" t="s">
        <v>670</v>
      </c>
      <c r="J144">
        <v>3801</v>
      </c>
      <c r="K144">
        <v>3800</v>
      </c>
      <c r="L144" t="s">
        <v>917</v>
      </c>
      <c r="M144">
        <v>4</v>
      </c>
      <c r="N144" t="s">
        <v>165</v>
      </c>
      <c r="O144" t="s">
        <v>165</v>
      </c>
      <c r="P144" t="s">
        <v>403</v>
      </c>
      <c r="Q144" t="s">
        <v>408</v>
      </c>
      <c r="R144" t="s">
        <v>648</v>
      </c>
      <c r="S144">
        <v>2018</v>
      </c>
      <c r="T144">
        <v>9</v>
      </c>
      <c r="U144" t="s">
        <v>408</v>
      </c>
      <c r="V144" t="s">
        <v>408</v>
      </c>
      <c r="W144">
        <v>0</v>
      </c>
      <c r="X144">
        <v>0</v>
      </c>
      <c r="Y144" t="s">
        <v>408</v>
      </c>
      <c r="Z144">
        <v>2018</v>
      </c>
      <c r="AA144">
        <v>0</v>
      </c>
      <c r="AB144" s="5">
        <v>0.75899875689899998</v>
      </c>
      <c r="AC144" s="5">
        <v>1.5179975137999999</v>
      </c>
      <c r="AD144" t="s">
        <v>408</v>
      </c>
      <c r="AE144" t="s">
        <v>152</v>
      </c>
      <c r="AF144" t="s">
        <v>408</v>
      </c>
      <c r="AG144" t="s">
        <v>408</v>
      </c>
      <c r="AH144" t="s">
        <v>408</v>
      </c>
      <c r="AI144" t="s">
        <v>408</v>
      </c>
      <c r="AJ144" t="s">
        <v>408</v>
      </c>
      <c r="AK144" t="s">
        <v>408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s="58">
        <f t="shared" si="2"/>
        <v>1</v>
      </c>
      <c r="AU144" s="79">
        <v>43335</v>
      </c>
      <c r="AV144" s="78" t="s">
        <v>410</v>
      </c>
      <c r="AW144" t="s">
        <v>152</v>
      </c>
      <c r="AX144">
        <v>2</v>
      </c>
      <c r="AY144" t="s">
        <v>412</v>
      </c>
      <c r="AZ144" t="s">
        <v>408</v>
      </c>
    </row>
    <row r="145" spans="1:52" x14ac:dyDescent="0.3">
      <c r="A145">
        <v>134</v>
      </c>
      <c r="B145" t="s">
        <v>918</v>
      </c>
      <c r="C145" t="s">
        <v>154</v>
      </c>
      <c r="D145" t="s">
        <v>919</v>
      </c>
      <c r="E145" t="s">
        <v>460</v>
      </c>
      <c r="F145" t="s">
        <v>408</v>
      </c>
      <c r="G145">
        <v>1061</v>
      </c>
      <c r="H145">
        <v>1064</v>
      </c>
      <c r="I145" t="s">
        <v>920</v>
      </c>
      <c r="J145">
        <v>801</v>
      </c>
      <c r="K145">
        <v>800</v>
      </c>
      <c r="L145" t="s">
        <v>921</v>
      </c>
      <c r="M145">
        <v>4</v>
      </c>
      <c r="N145" t="s">
        <v>170</v>
      </c>
      <c r="O145" t="s">
        <v>170</v>
      </c>
      <c r="P145" t="s">
        <v>420</v>
      </c>
      <c r="Q145" t="s">
        <v>408</v>
      </c>
      <c r="R145" t="s">
        <v>719</v>
      </c>
      <c r="S145">
        <v>2005</v>
      </c>
      <c r="T145">
        <v>9</v>
      </c>
      <c r="U145" t="s">
        <v>408</v>
      </c>
      <c r="V145" t="s">
        <v>922</v>
      </c>
      <c r="W145">
        <v>2018</v>
      </c>
      <c r="X145">
        <v>12</v>
      </c>
      <c r="Y145" t="s">
        <v>408</v>
      </c>
      <c r="Z145">
        <v>2018</v>
      </c>
      <c r="AA145">
        <v>2018</v>
      </c>
      <c r="AB145" s="5">
        <v>0.38409050529599997</v>
      </c>
      <c r="AC145" s="5">
        <v>0.76818101059199995</v>
      </c>
      <c r="AD145" t="s">
        <v>408</v>
      </c>
      <c r="AE145" t="s">
        <v>152</v>
      </c>
      <c r="AF145" t="s">
        <v>408</v>
      </c>
      <c r="AG145" t="s">
        <v>408</v>
      </c>
      <c r="AH145" t="s">
        <v>408</v>
      </c>
      <c r="AI145" t="s">
        <v>408</v>
      </c>
      <c r="AJ145" t="s">
        <v>408</v>
      </c>
      <c r="AK145" t="s">
        <v>408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58">
        <f t="shared" si="2"/>
        <v>1</v>
      </c>
      <c r="AU145" s="79">
        <v>43343</v>
      </c>
      <c r="AV145" t="s">
        <v>410</v>
      </c>
      <c r="AW145" t="s">
        <v>408</v>
      </c>
      <c r="AX145">
        <v>2</v>
      </c>
      <c r="AY145" t="s">
        <v>412</v>
      </c>
      <c r="AZ145" t="s">
        <v>408</v>
      </c>
    </row>
    <row r="146" spans="1:52" x14ac:dyDescent="0.3">
      <c r="A146">
        <v>135</v>
      </c>
      <c r="B146" t="s">
        <v>918</v>
      </c>
      <c r="C146" t="s">
        <v>154</v>
      </c>
      <c r="D146" t="s">
        <v>919</v>
      </c>
      <c r="E146" t="s">
        <v>460</v>
      </c>
      <c r="F146" t="s">
        <v>408</v>
      </c>
      <c r="G146">
        <v>1777</v>
      </c>
      <c r="H146">
        <v>1776</v>
      </c>
      <c r="I146" t="s">
        <v>923</v>
      </c>
      <c r="J146">
        <v>1301</v>
      </c>
      <c r="K146">
        <v>1300</v>
      </c>
      <c r="L146" t="s">
        <v>924</v>
      </c>
      <c r="M146">
        <v>4</v>
      </c>
      <c r="N146" t="s">
        <v>170</v>
      </c>
      <c r="O146" t="s">
        <v>170</v>
      </c>
      <c r="P146" t="s">
        <v>420</v>
      </c>
      <c r="Q146" t="s">
        <v>925</v>
      </c>
      <c r="R146" t="s">
        <v>493</v>
      </c>
      <c r="S146">
        <v>2007</v>
      </c>
      <c r="T146">
        <v>5</v>
      </c>
      <c r="U146" t="s">
        <v>408</v>
      </c>
      <c r="V146" t="s">
        <v>922</v>
      </c>
      <c r="W146">
        <v>2018</v>
      </c>
      <c r="X146">
        <v>12</v>
      </c>
      <c r="Y146" t="s">
        <v>408</v>
      </c>
      <c r="Z146">
        <v>2018</v>
      </c>
      <c r="AA146">
        <v>2018</v>
      </c>
      <c r="AB146" s="5">
        <v>0.61290450409300001</v>
      </c>
      <c r="AC146" s="5">
        <v>1.2258090081899999</v>
      </c>
      <c r="AD146" t="s">
        <v>408</v>
      </c>
      <c r="AE146" t="s">
        <v>152</v>
      </c>
      <c r="AF146" t="s">
        <v>408</v>
      </c>
      <c r="AG146" t="s">
        <v>408</v>
      </c>
      <c r="AH146" t="s">
        <v>408</v>
      </c>
      <c r="AI146" t="s">
        <v>408</v>
      </c>
      <c r="AJ146" t="s">
        <v>408</v>
      </c>
      <c r="AK146" t="s">
        <v>408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s="58">
        <f t="shared" si="2"/>
        <v>1</v>
      </c>
      <c r="AU146" s="79">
        <v>43343</v>
      </c>
      <c r="AV146" t="s">
        <v>410</v>
      </c>
      <c r="AW146" t="s">
        <v>408</v>
      </c>
      <c r="AX146">
        <v>2</v>
      </c>
      <c r="AY146" t="s">
        <v>412</v>
      </c>
      <c r="AZ146" t="s">
        <v>408</v>
      </c>
    </row>
    <row r="147" spans="1:52" x14ac:dyDescent="0.3">
      <c r="A147">
        <v>136</v>
      </c>
      <c r="B147" t="s">
        <v>926</v>
      </c>
      <c r="C147" t="s">
        <v>154</v>
      </c>
      <c r="D147" t="s">
        <v>927</v>
      </c>
      <c r="E147" t="s">
        <v>460</v>
      </c>
      <c r="F147" t="s">
        <v>408</v>
      </c>
      <c r="G147">
        <v>1458</v>
      </c>
      <c r="H147">
        <v>1459</v>
      </c>
      <c r="I147" t="s">
        <v>928</v>
      </c>
      <c r="J147">
        <v>1200</v>
      </c>
      <c r="K147">
        <v>1201</v>
      </c>
      <c r="L147" t="s">
        <v>929</v>
      </c>
      <c r="M147">
        <v>2</v>
      </c>
      <c r="N147" t="s">
        <v>167</v>
      </c>
      <c r="O147" t="s">
        <v>167</v>
      </c>
      <c r="P147" t="s">
        <v>420</v>
      </c>
      <c r="Q147" t="s">
        <v>408</v>
      </c>
      <c r="R147" t="s">
        <v>748</v>
      </c>
      <c r="S147">
        <v>2004</v>
      </c>
      <c r="T147">
        <v>9</v>
      </c>
      <c r="U147" t="s">
        <v>408</v>
      </c>
      <c r="V147" t="s">
        <v>624</v>
      </c>
      <c r="W147">
        <v>2016</v>
      </c>
      <c r="X147">
        <v>11</v>
      </c>
      <c r="Y147" t="s">
        <v>370</v>
      </c>
      <c r="Z147">
        <v>2016</v>
      </c>
      <c r="AA147">
        <v>2016</v>
      </c>
      <c r="AB147" s="5">
        <v>0.37711009650499999</v>
      </c>
      <c r="AC147" s="5">
        <v>0.75422019300999998</v>
      </c>
      <c r="AD147" t="s">
        <v>408</v>
      </c>
      <c r="AE147" t="s">
        <v>152</v>
      </c>
      <c r="AF147" t="s">
        <v>408</v>
      </c>
      <c r="AG147" t="s">
        <v>408</v>
      </c>
      <c r="AH147" t="s">
        <v>408</v>
      </c>
      <c r="AI147" t="s">
        <v>408</v>
      </c>
      <c r="AJ147" t="s">
        <v>408</v>
      </c>
      <c r="AK147" t="s">
        <v>408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s="58">
        <f t="shared" si="2"/>
        <v>1</v>
      </c>
      <c r="AU147" s="79">
        <v>43343</v>
      </c>
      <c r="AV147" s="78" t="s">
        <v>410</v>
      </c>
      <c r="AW147" t="s">
        <v>408</v>
      </c>
      <c r="AX147">
        <v>2</v>
      </c>
      <c r="AY147" t="s">
        <v>412</v>
      </c>
      <c r="AZ147" t="s">
        <v>408</v>
      </c>
    </row>
    <row r="148" spans="1:52" x14ac:dyDescent="0.3">
      <c r="A148">
        <v>137</v>
      </c>
      <c r="B148" t="s">
        <v>819</v>
      </c>
      <c r="C148" t="s">
        <v>447</v>
      </c>
      <c r="D148" t="s">
        <v>820</v>
      </c>
      <c r="E148" t="s">
        <v>417</v>
      </c>
      <c r="F148" t="s">
        <v>447</v>
      </c>
      <c r="G148">
        <v>2</v>
      </c>
      <c r="H148">
        <v>1</v>
      </c>
      <c r="I148" t="s">
        <v>566</v>
      </c>
      <c r="J148">
        <v>358</v>
      </c>
      <c r="K148">
        <v>359</v>
      </c>
      <c r="L148" t="s">
        <v>930</v>
      </c>
      <c r="M148">
        <v>4</v>
      </c>
      <c r="N148" t="s">
        <v>167</v>
      </c>
      <c r="O148" t="s">
        <v>167</v>
      </c>
      <c r="P148" t="s">
        <v>414</v>
      </c>
      <c r="Q148" t="s">
        <v>408</v>
      </c>
      <c r="R148" t="s">
        <v>547</v>
      </c>
      <c r="S148">
        <v>2010</v>
      </c>
      <c r="T148">
        <v>11</v>
      </c>
      <c r="U148" t="s">
        <v>408</v>
      </c>
      <c r="V148" t="s">
        <v>487</v>
      </c>
      <c r="W148">
        <v>2020</v>
      </c>
      <c r="X148">
        <v>0</v>
      </c>
      <c r="Y148" t="s">
        <v>408</v>
      </c>
      <c r="Z148">
        <v>2020</v>
      </c>
      <c r="AA148">
        <v>2014</v>
      </c>
      <c r="AB148" s="5">
        <v>0.53581943989299996</v>
      </c>
      <c r="AC148" s="5">
        <v>0.53581943989299996</v>
      </c>
      <c r="AD148" t="s">
        <v>408</v>
      </c>
      <c r="AE148" t="s">
        <v>411</v>
      </c>
      <c r="AF148" t="s">
        <v>447</v>
      </c>
      <c r="AG148" t="s">
        <v>152</v>
      </c>
      <c r="AH148" t="s">
        <v>408</v>
      </c>
      <c r="AI148" t="s">
        <v>408</v>
      </c>
      <c r="AJ148" t="s">
        <v>408</v>
      </c>
      <c r="AK148" t="s">
        <v>408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 s="58">
        <f t="shared" si="2"/>
        <v>1</v>
      </c>
      <c r="AU148" s="79" t="s">
        <v>488</v>
      </c>
      <c r="AV148" s="78" t="s">
        <v>410</v>
      </c>
      <c r="AW148" t="s">
        <v>408</v>
      </c>
      <c r="AX148">
        <v>2</v>
      </c>
      <c r="AY148" t="s">
        <v>412</v>
      </c>
      <c r="AZ148" t="s">
        <v>408</v>
      </c>
    </row>
    <row r="149" spans="1:52" x14ac:dyDescent="0.3">
      <c r="A149">
        <v>138</v>
      </c>
      <c r="B149" t="s">
        <v>527</v>
      </c>
      <c r="C149" t="s">
        <v>154</v>
      </c>
      <c r="D149" t="s">
        <v>528</v>
      </c>
      <c r="E149" t="s">
        <v>417</v>
      </c>
      <c r="F149" t="s">
        <v>408</v>
      </c>
      <c r="G149">
        <v>448</v>
      </c>
      <c r="H149">
        <v>449</v>
      </c>
      <c r="I149" t="s">
        <v>509</v>
      </c>
      <c r="J149">
        <v>200</v>
      </c>
      <c r="K149">
        <v>201</v>
      </c>
      <c r="L149" t="s">
        <v>931</v>
      </c>
      <c r="M149">
        <v>3</v>
      </c>
      <c r="N149" t="s">
        <v>165</v>
      </c>
      <c r="O149" t="s">
        <v>165</v>
      </c>
      <c r="P149" t="s">
        <v>403</v>
      </c>
      <c r="Q149" t="s">
        <v>932</v>
      </c>
      <c r="R149" t="s">
        <v>662</v>
      </c>
      <c r="S149">
        <v>2015</v>
      </c>
      <c r="T149">
        <v>11</v>
      </c>
      <c r="U149" t="s">
        <v>370</v>
      </c>
      <c r="V149" t="s">
        <v>408</v>
      </c>
      <c r="W149">
        <v>0</v>
      </c>
      <c r="X149">
        <v>0</v>
      </c>
      <c r="Y149" t="s">
        <v>408</v>
      </c>
      <c r="Z149">
        <v>2015</v>
      </c>
      <c r="AA149">
        <v>2015</v>
      </c>
      <c r="AB149" s="5">
        <v>0.36412387314700001</v>
      </c>
      <c r="AC149" s="5">
        <v>0.72824774629400002</v>
      </c>
      <c r="AD149" t="s">
        <v>408</v>
      </c>
      <c r="AE149" t="s">
        <v>152</v>
      </c>
      <c r="AF149" t="s">
        <v>408</v>
      </c>
      <c r="AG149" t="s">
        <v>408</v>
      </c>
      <c r="AH149" t="s">
        <v>408</v>
      </c>
      <c r="AI149" t="s">
        <v>408</v>
      </c>
      <c r="AJ149" t="s">
        <v>408</v>
      </c>
      <c r="AK149" t="s">
        <v>408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 s="58">
        <f t="shared" si="2"/>
        <v>1</v>
      </c>
      <c r="AU149" s="79">
        <v>43335</v>
      </c>
      <c r="AV149" t="s">
        <v>410</v>
      </c>
      <c r="AW149" t="s">
        <v>152</v>
      </c>
      <c r="AX149">
        <v>2</v>
      </c>
      <c r="AY149" t="s">
        <v>412</v>
      </c>
      <c r="AZ149" t="s">
        <v>408</v>
      </c>
    </row>
    <row r="150" spans="1:52" x14ac:dyDescent="0.3">
      <c r="A150">
        <v>139</v>
      </c>
      <c r="B150" t="s">
        <v>557</v>
      </c>
      <c r="C150" t="s">
        <v>152</v>
      </c>
      <c r="D150" t="s">
        <v>558</v>
      </c>
      <c r="E150" t="s">
        <v>460</v>
      </c>
      <c r="F150" t="s">
        <v>408</v>
      </c>
      <c r="G150">
        <v>784</v>
      </c>
      <c r="H150">
        <v>787</v>
      </c>
      <c r="I150" t="s">
        <v>647</v>
      </c>
      <c r="J150">
        <v>796</v>
      </c>
      <c r="K150">
        <v>799</v>
      </c>
      <c r="L150" t="s">
        <v>554</v>
      </c>
      <c r="M150">
        <v>3</v>
      </c>
      <c r="N150" t="s">
        <v>167</v>
      </c>
      <c r="O150" t="s">
        <v>167</v>
      </c>
      <c r="P150" t="s">
        <v>414</v>
      </c>
      <c r="Q150" t="s">
        <v>408</v>
      </c>
      <c r="R150" t="s">
        <v>885</v>
      </c>
      <c r="S150">
        <v>2013</v>
      </c>
      <c r="T150">
        <v>6</v>
      </c>
      <c r="U150" t="s">
        <v>933</v>
      </c>
      <c r="V150" t="s">
        <v>408</v>
      </c>
      <c r="W150">
        <v>0</v>
      </c>
      <c r="X150">
        <v>0</v>
      </c>
      <c r="Y150" t="s">
        <v>408</v>
      </c>
      <c r="Z150">
        <v>2013</v>
      </c>
      <c r="AA150">
        <v>2002</v>
      </c>
      <c r="AB150" s="5">
        <v>3.6167018409200002E-2</v>
      </c>
      <c r="AC150" s="5">
        <v>7.2334036818400005E-2</v>
      </c>
      <c r="AD150" t="s">
        <v>408</v>
      </c>
      <c r="AE150" t="s">
        <v>152</v>
      </c>
      <c r="AF150" t="s">
        <v>408</v>
      </c>
      <c r="AG150" t="s">
        <v>408</v>
      </c>
      <c r="AH150" t="s">
        <v>408</v>
      </c>
      <c r="AI150" t="s">
        <v>408</v>
      </c>
      <c r="AJ150" t="s">
        <v>408</v>
      </c>
      <c r="AK150" t="s">
        <v>408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s="58">
        <f t="shared" si="2"/>
        <v>1</v>
      </c>
      <c r="AU150" s="79">
        <v>43336</v>
      </c>
      <c r="AV150" s="78" t="s">
        <v>410</v>
      </c>
      <c r="AW150" t="s">
        <v>408</v>
      </c>
      <c r="AX150">
        <v>2</v>
      </c>
      <c r="AY150" t="s">
        <v>412</v>
      </c>
      <c r="AZ150" t="s">
        <v>408</v>
      </c>
    </row>
    <row r="151" spans="1:52" x14ac:dyDescent="0.3">
      <c r="A151">
        <v>140</v>
      </c>
      <c r="B151" t="s">
        <v>557</v>
      </c>
      <c r="C151" t="s">
        <v>152</v>
      </c>
      <c r="D151" t="s">
        <v>558</v>
      </c>
      <c r="E151" t="s">
        <v>460</v>
      </c>
      <c r="F151" t="s">
        <v>408</v>
      </c>
      <c r="G151">
        <v>548</v>
      </c>
      <c r="H151">
        <v>545</v>
      </c>
      <c r="I151" t="s">
        <v>934</v>
      </c>
      <c r="J151">
        <v>638</v>
      </c>
      <c r="K151">
        <v>639</v>
      </c>
      <c r="L151" t="s">
        <v>646</v>
      </c>
      <c r="M151">
        <v>3</v>
      </c>
      <c r="N151" t="s">
        <v>163</v>
      </c>
      <c r="O151" t="s">
        <v>163</v>
      </c>
      <c r="P151" t="s">
        <v>403</v>
      </c>
      <c r="Q151" t="s">
        <v>408</v>
      </c>
      <c r="R151" t="s">
        <v>648</v>
      </c>
      <c r="S151">
        <v>2018</v>
      </c>
      <c r="T151">
        <v>8</v>
      </c>
      <c r="U151" t="s">
        <v>438</v>
      </c>
      <c r="V151" t="s">
        <v>408</v>
      </c>
      <c r="W151">
        <v>0</v>
      </c>
      <c r="X151">
        <v>0</v>
      </c>
      <c r="Y151" t="s">
        <v>408</v>
      </c>
      <c r="Z151">
        <v>2018</v>
      </c>
      <c r="AA151">
        <v>0</v>
      </c>
      <c r="AB151" s="5">
        <v>0.117557975111</v>
      </c>
      <c r="AC151" s="5">
        <v>0.23511595022199999</v>
      </c>
      <c r="AD151" t="s">
        <v>408</v>
      </c>
      <c r="AE151" t="s">
        <v>152</v>
      </c>
      <c r="AF151" t="s">
        <v>408</v>
      </c>
      <c r="AG151" t="s">
        <v>408</v>
      </c>
      <c r="AH151" t="s">
        <v>152</v>
      </c>
      <c r="AI151" t="s">
        <v>438</v>
      </c>
      <c r="AJ151" t="s">
        <v>411</v>
      </c>
      <c r="AK151" t="s">
        <v>408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 s="58">
        <f t="shared" si="2"/>
        <v>1</v>
      </c>
      <c r="AU151" s="79" t="s">
        <v>471</v>
      </c>
      <c r="AV151" t="s">
        <v>410</v>
      </c>
      <c r="AW151" t="s">
        <v>411</v>
      </c>
      <c r="AX151">
        <v>1</v>
      </c>
      <c r="AY151" t="s">
        <v>412</v>
      </c>
      <c r="AZ151" t="s">
        <v>408</v>
      </c>
    </row>
    <row r="152" spans="1:52" x14ac:dyDescent="0.3">
      <c r="A152">
        <v>141</v>
      </c>
      <c r="B152" t="s">
        <v>935</v>
      </c>
      <c r="C152" t="s">
        <v>152</v>
      </c>
      <c r="D152" t="s">
        <v>936</v>
      </c>
      <c r="E152" t="s">
        <v>460</v>
      </c>
      <c r="F152" t="s">
        <v>408</v>
      </c>
      <c r="G152">
        <v>4000</v>
      </c>
      <c r="H152">
        <v>4001</v>
      </c>
      <c r="I152" t="s">
        <v>717</v>
      </c>
      <c r="J152">
        <v>4558</v>
      </c>
      <c r="K152">
        <v>4559</v>
      </c>
      <c r="L152" t="s">
        <v>686</v>
      </c>
      <c r="M152">
        <v>2</v>
      </c>
      <c r="N152" t="s">
        <v>170</v>
      </c>
      <c r="O152" t="s">
        <v>170</v>
      </c>
      <c r="P152" t="s">
        <v>420</v>
      </c>
      <c r="Q152" t="s">
        <v>408</v>
      </c>
      <c r="R152" t="s">
        <v>493</v>
      </c>
      <c r="S152">
        <v>2007</v>
      </c>
      <c r="T152">
        <v>5</v>
      </c>
      <c r="U152" t="s">
        <v>408</v>
      </c>
      <c r="V152" t="s">
        <v>532</v>
      </c>
      <c r="W152">
        <v>2013</v>
      </c>
      <c r="X152">
        <v>11</v>
      </c>
      <c r="Y152" t="s">
        <v>370</v>
      </c>
      <c r="Z152">
        <v>2013</v>
      </c>
      <c r="AA152">
        <v>2013</v>
      </c>
      <c r="AB152" s="5">
        <v>0.75431891986999999</v>
      </c>
      <c r="AC152" s="5">
        <v>1.50863783974</v>
      </c>
      <c r="AD152" t="s">
        <v>408</v>
      </c>
      <c r="AE152" t="s">
        <v>152</v>
      </c>
      <c r="AF152" t="s">
        <v>408</v>
      </c>
      <c r="AG152" t="s">
        <v>408</v>
      </c>
      <c r="AH152" t="s">
        <v>408</v>
      </c>
      <c r="AI152" t="s">
        <v>408</v>
      </c>
      <c r="AJ152" t="s">
        <v>408</v>
      </c>
      <c r="AK152" t="s">
        <v>408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58">
        <f t="shared" si="2"/>
        <v>1</v>
      </c>
      <c r="AU152" s="79">
        <v>43343</v>
      </c>
      <c r="AV152" s="78" t="s">
        <v>410</v>
      </c>
      <c r="AW152" t="s">
        <v>408</v>
      </c>
      <c r="AX152">
        <v>2</v>
      </c>
      <c r="AY152" t="s">
        <v>412</v>
      </c>
      <c r="AZ152" t="s">
        <v>408</v>
      </c>
    </row>
    <row r="153" spans="1:52" x14ac:dyDescent="0.3">
      <c r="A153">
        <v>142</v>
      </c>
      <c r="B153" t="s">
        <v>684</v>
      </c>
      <c r="C153" t="s">
        <v>152</v>
      </c>
      <c r="D153" t="s">
        <v>684</v>
      </c>
      <c r="E153" t="s">
        <v>408</v>
      </c>
      <c r="F153" t="s">
        <v>408</v>
      </c>
      <c r="G153">
        <v>3800</v>
      </c>
      <c r="H153">
        <v>3801</v>
      </c>
      <c r="I153" t="s">
        <v>937</v>
      </c>
      <c r="J153">
        <v>3910</v>
      </c>
      <c r="K153">
        <v>3911</v>
      </c>
      <c r="L153" t="s">
        <v>921</v>
      </c>
      <c r="M153">
        <v>2</v>
      </c>
      <c r="N153" t="s">
        <v>165</v>
      </c>
      <c r="O153" t="s">
        <v>165</v>
      </c>
      <c r="P153" t="s">
        <v>403</v>
      </c>
      <c r="Q153" t="s">
        <v>938</v>
      </c>
      <c r="R153" t="s">
        <v>742</v>
      </c>
      <c r="S153">
        <v>2017</v>
      </c>
      <c r="T153">
        <v>6</v>
      </c>
      <c r="U153" t="s">
        <v>370</v>
      </c>
      <c r="V153" t="s">
        <v>408</v>
      </c>
      <c r="W153">
        <v>0</v>
      </c>
      <c r="X153">
        <v>0</v>
      </c>
      <c r="Y153" t="s">
        <v>408</v>
      </c>
      <c r="Z153">
        <v>2017</v>
      </c>
      <c r="AA153">
        <v>2017</v>
      </c>
      <c r="AB153" s="5">
        <v>0.13775287452099999</v>
      </c>
      <c r="AC153" s="5">
        <v>0.27550574904199998</v>
      </c>
      <c r="AD153" t="s">
        <v>408</v>
      </c>
      <c r="AE153" t="s">
        <v>152</v>
      </c>
      <c r="AF153" t="s">
        <v>408</v>
      </c>
      <c r="AG153" t="s">
        <v>408</v>
      </c>
      <c r="AH153" t="s">
        <v>408</v>
      </c>
      <c r="AI153" t="s">
        <v>408</v>
      </c>
      <c r="AJ153" t="s">
        <v>408</v>
      </c>
      <c r="AK153" t="s">
        <v>408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58">
        <f t="shared" si="2"/>
        <v>1</v>
      </c>
      <c r="AU153" s="79">
        <v>43339</v>
      </c>
      <c r="AV153" s="78" t="s">
        <v>410</v>
      </c>
      <c r="AW153" t="s">
        <v>152</v>
      </c>
      <c r="AX153">
        <v>2</v>
      </c>
      <c r="AY153" t="s">
        <v>412</v>
      </c>
      <c r="AZ153" t="s">
        <v>408</v>
      </c>
    </row>
    <row r="154" spans="1:52" x14ac:dyDescent="0.3">
      <c r="A154">
        <v>143</v>
      </c>
      <c r="B154" t="s">
        <v>754</v>
      </c>
      <c r="C154" t="s">
        <v>152</v>
      </c>
      <c r="D154" t="s">
        <v>755</v>
      </c>
      <c r="E154" t="s">
        <v>460</v>
      </c>
      <c r="F154" t="s">
        <v>408</v>
      </c>
      <c r="G154">
        <v>2400</v>
      </c>
      <c r="H154">
        <v>2401</v>
      </c>
      <c r="I154" t="s">
        <v>890</v>
      </c>
      <c r="J154">
        <v>2784</v>
      </c>
      <c r="K154">
        <v>2785</v>
      </c>
      <c r="L154" t="s">
        <v>483</v>
      </c>
      <c r="M154">
        <v>2</v>
      </c>
      <c r="N154" t="s">
        <v>167</v>
      </c>
      <c r="O154" t="s">
        <v>167</v>
      </c>
      <c r="P154" t="s">
        <v>414</v>
      </c>
      <c r="Q154" t="s">
        <v>408</v>
      </c>
      <c r="R154" t="s">
        <v>748</v>
      </c>
      <c r="S154">
        <v>2004</v>
      </c>
      <c r="T154">
        <v>9</v>
      </c>
      <c r="U154" t="s">
        <v>408</v>
      </c>
      <c r="V154" t="s">
        <v>511</v>
      </c>
      <c r="W154">
        <v>2018</v>
      </c>
      <c r="X154">
        <v>8</v>
      </c>
      <c r="Y154" t="s">
        <v>408</v>
      </c>
      <c r="Z154">
        <v>2018</v>
      </c>
      <c r="AA154">
        <v>2014</v>
      </c>
      <c r="AB154" s="5">
        <v>0.70940160317400003</v>
      </c>
      <c r="AC154" s="5">
        <v>1.41880320635</v>
      </c>
      <c r="AD154" t="s">
        <v>408</v>
      </c>
      <c r="AE154" t="s">
        <v>152</v>
      </c>
      <c r="AF154" t="s">
        <v>408</v>
      </c>
      <c r="AG154" t="s">
        <v>408</v>
      </c>
      <c r="AH154" t="s">
        <v>408</v>
      </c>
      <c r="AI154" t="s">
        <v>408</v>
      </c>
      <c r="AJ154" t="s">
        <v>408</v>
      </c>
      <c r="AK154" t="s">
        <v>408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58">
        <f t="shared" si="2"/>
        <v>1</v>
      </c>
      <c r="AU154" s="79">
        <v>43341</v>
      </c>
      <c r="AV154" t="s">
        <v>410</v>
      </c>
      <c r="AW154" t="s">
        <v>408</v>
      </c>
      <c r="AX154">
        <v>2</v>
      </c>
      <c r="AY154" t="s">
        <v>412</v>
      </c>
      <c r="AZ154" t="s">
        <v>408</v>
      </c>
    </row>
    <row r="155" spans="1:52" x14ac:dyDescent="0.3">
      <c r="A155">
        <v>144</v>
      </c>
      <c r="B155" t="s">
        <v>693</v>
      </c>
      <c r="C155" t="s">
        <v>152</v>
      </c>
      <c r="D155" t="s">
        <v>694</v>
      </c>
      <c r="E155" t="s">
        <v>460</v>
      </c>
      <c r="F155" t="s">
        <v>408</v>
      </c>
      <c r="G155">
        <v>3200</v>
      </c>
      <c r="H155">
        <v>3201</v>
      </c>
      <c r="I155" t="s">
        <v>803</v>
      </c>
      <c r="J155">
        <v>3458</v>
      </c>
      <c r="K155">
        <v>3459</v>
      </c>
      <c r="L155" t="s">
        <v>939</v>
      </c>
      <c r="M155">
        <v>3</v>
      </c>
      <c r="N155" t="s">
        <v>170</v>
      </c>
      <c r="O155" t="s">
        <v>170</v>
      </c>
      <c r="P155" t="s">
        <v>420</v>
      </c>
      <c r="Q155" t="s">
        <v>408</v>
      </c>
      <c r="R155" t="s">
        <v>493</v>
      </c>
      <c r="S155">
        <v>2007</v>
      </c>
      <c r="T155">
        <v>6</v>
      </c>
      <c r="U155" t="s">
        <v>408</v>
      </c>
      <c r="V155" t="s">
        <v>778</v>
      </c>
      <c r="W155">
        <v>2009</v>
      </c>
      <c r="X155">
        <v>6</v>
      </c>
      <c r="Y155" t="s">
        <v>370</v>
      </c>
      <c r="Z155">
        <v>2009</v>
      </c>
      <c r="AA155">
        <v>2009</v>
      </c>
      <c r="AB155" s="5">
        <v>0.37801205862199999</v>
      </c>
      <c r="AC155" s="5">
        <v>0.75602411724399998</v>
      </c>
      <c r="AD155" t="s">
        <v>408</v>
      </c>
      <c r="AE155" t="s">
        <v>152</v>
      </c>
      <c r="AF155" t="s">
        <v>408</v>
      </c>
      <c r="AG155" t="s">
        <v>408</v>
      </c>
      <c r="AH155" t="s">
        <v>408</v>
      </c>
      <c r="AI155" t="s">
        <v>408</v>
      </c>
      <c r="AJ155" t="s">
        <v>408</v>
      </c>
      <c r="AK155" t="s">
        <v>408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58">
        <f t="shared" si="2"/>
        <v>1</v>
      </c>
      <c r="AU155" s="79">
        <v>43340</v>
      </c>
      <c r="AV155" t="s">
        <v>410</v>
      </c>
      <c r="AW155" t="s">
        <v>408</v>
      </c>
      <c r="AX155">
        <v>2</v>
      </c>
      <c r="AY155" t="s">
        <v>412</v>
      </c>
      <c r="AZ155" t="s">
        <v>408</v>
      </c>
    </row>
    <row r="156" spans="1:52" x14ac:dyDescent="0.3">
      <c r="A156">
        <v>145</v>
      </c>
      <c r="B156" t="s">
        <v>867</v>
      </c>
      <c r="C156" t="s">
        <v>154</v>
      </c>
      <c r="D156" t="s">
        <v>868</v>
      </c>
      <c r="E156" t="s">
        <v>466</v>
      </c>
      <c r="F156" t="s">
        <v>408</v>
      </c>
      <c r="G156">
        <v>1357</v>
      </c>
      <c r="H156">
        <v>1356</v>
      </c>
      <c r="I156" t="s">
        <v>940</v>
      </c>
      <c r="J156">
        <v>1328</v>
      </c>
      <c r="K156">
        <v>1321</v>
      </c>
      <c r="L156" t="s">
        <v>474</v>
      </c>
      <c r="M156">
        <v>4</v>
      </c>
      <c r="N156" t="s">
        <v>170</v>
      </c>
      <c r="O156" t="s">
        <v>170</v>
      </c>
      <c r="P156" t="s">
        <v>403</v>
      </c>
      <c r="Q156" t="s">
        <v>941</v>
      </c>
      <c r="R156" t="s">
        <v>942</v>
      </c>
      <c r="S156">
        <v>2015</v>
      </c>
      <c r="T156">
        <v>8</v>
      </c>
      <c r="U156" t="s">
        <v>943</v>
      </c>
      <c r="V156" t="s">
        <v>454</v>
      </c>
      <c r="W156">
        <v>2018</v>
      </c>
      <c r="X156">
        <v>11</v>
      </c>
      <c r="Y156" t="s">
        <v>818</v>
      </c>
      <c r="Z156">
        <v>2018</v>
      </c>
      <c r="AA156">
        <v>2018</v>
      </c>
      <c r="AB156" s="5">
        <v>7.9677738298200004E-2</v>
      </c>
      <c r="AC156" s="5">
        <v>0.159355476596</v>
      </c>
      <c r="AD156" t="s">
        <v>408</v>
      </c>
      <c r="AE156" t="s">
        <v>152</v>
      </c>
      <c r="AF156" t="s">
        <v>408</v>
      </c>
      <c r="AG156" t="s">
        <v>408</v>
      </c>
      <c r="AH156" t="s">
        <v>408</v>
      </c>
      <c r="AI156" t="s">
        <v>408</v>
      </c>
      <c r="AJ156" t="s">
        <v>408</v>
      </c>
      <c r="AK156" t="s">
        <v>408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 s="58">
        <f t="shared" si="2"/>
        <v>1</v>
      </c>
      <c r="AU156" s="79">
        <v>43342</v>
      </c>
      <c r="AV156" s="78" t="s">
        <v>410</v>
      </c>
      <c r="AW156" t="s">
        <v>408</v>
      </c>
      <c r="AX156">
        <v>2</v>
      </c>
      <c r="AY156" t="s">
        <v>412</v>
      </c>
      <c r="AZ156" t="s">
        <v>408</v>
      </c>
    </row>
    <row r="157" spans="1:52" x14ac:dyDescent="0.3">
      <c r="A157">
        <v>146</v>
      </c>
      <c r="B157" t="s">
        <v>918</v>
      </c>
      <c r="C157" t="s">
        <v>154</v>
      </c>
      <c r="D157" t="s">
        <v>919</v>
      </c>
      <c r="E157" t="s">
        <v>460</v>
      </c>
      <c r="F157" t="s">
        <v>408</v>
      </c>
      <c r="G157">
        <v>2251</v>
      </c>
      <c r="H157">
        <v>2252</v>
      </c>
      <c r="I157" t="s">
        <v>722</v>
      </c>
      <c r="J157">
        <v>2201</v>
      </c>
      <c r="K157">
        <v>2200</v>
      </c>
      <c r="L157" t="s">
        <v>568</v>
      </c>
      <c r="M157">
        <v>4</v>
      </c>
      <c r="N157" t="s">
        <v>170</v>
      </c>
      <c r="O157" t="s">
        <v>170</v>
      </c>
      <c r="P157" t="s">
        <v>420</v>
      </c>
      <c r="Q157" t="s">
        <v>408</v>
      </c>
      <c r="R157" t="s">
        <v>815</v>
      </c>
      <c r="S157">
        <v>2008</v>
      </c>
      <c r="T157">
        <v>9</v>
      </c>
      <c r="U157" t="s">
        <v>408</v>
      </c>
      <c r="V157" t="s">
        <v>679</v>
      </c>
      <c r="W157">
        <v>2014</v>
      </c>
      <c r="X157">
        <v>6</v>
      </c>
      <c r="Y157" t="s">
        <v>370</v>
      </c>
      <c r="Z157">
        <v>2014</v>
      </c>
      <c r="AA157">
        <v>2014</v>
      </c>
      <c r="AB157" s="5">
        <v>0.113564836487</v>
      </c>
      <c r="AC157" s="5">
        <v>0.227129672974</v>
      </c>
      <c r="AD157" t="s">
        <v>408</v>
      </c>
      <c r="AE157" t="s">
        <v>152</v>
      </c>
      <c r="AF157" t="s">
        <v>408</v>
      </c>
      <c r="AG157" t="s">
        <v>408</v>
      </c>
      <c r="AH157" t="s">
        <v>408</v>
      </c>
      <c r="AI157" t="s">
        <v>408</v>
      </c>
      <c r="AJ157" t="s">
        <v>408</v>
      </c>
      <c r="AK157" t="s">
        <v>408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58">
        <f t="shared" si="2"/>
        <v>1</v>
      </c>
      <c r="AU157" s="79">
        <v>43343</v>
      </c>
      <c r="AV157" s="78" t="s">
        <v>410</v>
      </c>
      <c r="AW157" t="s">
        <v>408</v>
      </c>
      <c r="AX157">
        <v>2</v>
      </c>
      <c r="AY157" t="s">
        <v>412</v>
      </c>
      <c r="AZ157" t="s">
        <v>408</v>
      </c>
    </row>
    <row r="158" spans="1:52" x14ac:dyDescent="0.3">
      <c r="A158">
        <v>147</v>
      </c>
      <c r="B158" t="s">
        <v>724</v>
      </c>
      <c r="C158" t="s">
        <v>154</v>
      </c>
      <c r="D158" t="s">
        <v>725</v>
      </c>
      <c r="E158" t="s">
        <v>417</v>
      </c>
      <c r="F158" t="s">
        <v>408</v>
      </c>
      <c r="G158">
        <v>1550</v>
      </c>
      <c r="H158">
        <v>1551</v>
      </c>
      <c r="I158" t="s">
        <v>545</v>
      </c>
      <c r="J158">
        <v>1525</v>
      </c>
      <c r="K158">
        <v>1526</v>
      </c>
      <c r="L158" t="s">
        <v>625</v>
      </c>
      <c r="M158">
        <v>3</v>
      </c>
      <c r="N158" t="s">
        <v>167</v>
      </c>
      <c r="O158" t="s">
        <v>167</v>
      </c>
      <c r="P158" t="s">
        <v>420</v>
      </c>
      <c r="Q158" t="s">
        <v>944</v>
      </c>
      <c r="R158" t="s">
        <v>671</v>
      </c>
      <c r="S158">
        <v>2002</v>
      </c>
      <c r="T158">
        <v>8</v>
      </c>
      <c r="U158" t="s">
        <v>370</v>
      </c>
      <c r="V158" t="s">
        <v>407</v>
      </c>
      <c r="W158">
        <v>2020</v>
      </c>
      <c r="X158">
        <v>0</v>
      </c>
      <c r="Y158" t="s">
        <v>408</v>
      </c>
      <c r="Z158">
        <v>2020</v>
      </c>
      <c r="AA158">
        <v>2002</v>
      </c>
      <c r="AB158" s="5">
        <v>7.6079644831000007E-2</v>
      </c>
      <c r="AC158" s="5">
        <v>0.15215928966200001</v>
      </c>
      <c r="AD158" t="s">
        <v>408</v>
      </c>
      <c r="AE158" t="s">
        <v>152</v>
      </c>
      <c r="AF158" t="s">
        <v>408</v>
      </c>
      <c r="AG158" t="s">
        <v>408</v>
      </c>
      <c r="AH158" t="s">
        <v>408</v>
      </c>
      <c r="AI158" t="s">
        <v>408</v>
      </c>
      <c r="AJ158" t="s">
        <v>408</v>
      </c>
      <c r="AK158" t="s">
        <v>408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 s="58">
        <f t="shared" si="2"/>
        <v>1</v>
      </c>
      <c r="AU158" s="79" t="s">
        <v>431</v>
      </c>
      <c r="AV158" s="78" t="s">
        <v>410</v>
      </c>
      <c r="AW158" t="s">
        <v>408</v>
      </c>
      <c r="AX158">
        <v>2</v>
      </c>
      <c r="AY158" t="s">
        <v>412</v>
      </c>
      <c r="AZ158" t="s">
        <v>408</v>
      </c>
    </row>
    <row r="159" spans="1:52" x14ac:dyDescent="0.3">
      <c r="A159">
        <v>148</v>
      </c>
      <c r="B159" t="s">
        <v>886</v>
      </c>
      <c r="C159" t="s">
        <v>154</v>
      </c>
      <c r="D159" t="s">
        <v>887</v>
      </c>
      <c r="E159" t="s">
        <v>417</v>
      </c>
      <c r="F159" t="s">
        <v>408</v>
      </c>
      <c r="G159">
        <v>1959</v>
      </c>
      <c r="H159">
        <v>1958</v>
      </c>
      <c r="I159" t="s">
        <v>435</v>
      </c>
      <c r="J159">
        <v>1535</v>
      </c>
      <c r="K159">
        <v>1546</v>
      </c>
      <c r="L159" t="s">
        <v>945</v>
      </c>
      <c r="M159">
        <v>3</v>
      </c>
      <c r="N159" t="s">
        <v>165</v>
      </c>
      <c r="O159" t="s">
        <v>165</v>
      </c>
      <c r="P159" t="s">
        <v>403</v>
      </c>
      <c r="Q159" t="s">
        <v>946</v>
      </c>
      <c r="R159" t="s">
        <v>703</v>
      </c>
      <c r="S159">
        <v>2015</v>
      </c>
      <c r="T159">
        <v>6</v>
      </c>
      <c r="U159" t="s">
        <v>408</v>
      </c>
      <c r="V159" t="s">
        <v>408</v>
      </c>
      <c r="W159">
        <v>0</v>
      </c>
      <c r="X159">
        <v>0</v>
      </c>
      <c r="Y159" t="s">
        <v>408</v>
      </c>
      <c r="Z159">
        <v>2015</v>
      </c>
      <c r="AA159">
        <v>0</v>
      </c>
      <c r="AB159" s="5">
        <v>0.44027712568799998</v>
      </c>
      <c r="AC159" s="5">
        <v>0.88055425137599996</v>
      </c>
      <c r="AD159" t="s">
        <v>408</v>
      </c>
      <c r="AE159" t="s">
        <v>152</v>
      </c>
      <c r="AF159" t="s">
        <v>408</v>
      </c>
      <c r="AG159" t="s">
        <v>408</v>
      </c>
      <c r="AH159" t="s">
        <v>408</v>
      </c>
      <c r="AI159" t="s">
        <v>408</v>
      </c>
      <c r="AJ159" t="s">
        <v>408</v>
      </c>
      <c r="AK159" t="s">
        <v>408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 s="58">
        <f t="shared" si="2"/>
        <v>1</v>
      </c>
      <c r="AU159" s="79">
        <v>43343</v>
      </c>
      <c r="AV159" s="78" t="s">
        <v>410</v>
      </c>
      <c r="AW159" t="s">
        <v>152</v>
      </c>
      <c r="AX159">
        <v>2</v>
      </c>
      <c r="AY159" t="s">
        <v>412</v>
      </c>
      <c r="AZ159" t="s">
        <v>408</v>
      </c>
    </row>
    <row r="160" spans="1:52" x14ac:dyDescent="0.3">
      <c r="A160">
        <v>149</v>
      </c>
      <c r="B160" t="s">
        <v>557</v>
      </c>
      <c r="C160" t="s">
        <v>152</v>
      </c>
      <c r="D160" t="s">
        <v>558</v>
      </c>
      <c r="E160" t="s">
        <v>460</v>
      </c>
      <c r="F160" t="s">
        <v>400</v>
      </c>
      <c r="G160">
        <v>456</v>
      </c>
      <c r="H160">
        <v>455</v>
      </c>
      <c r="I160" t="s">
        <v>947</v>
      </c>
      <c r="J160">
        <v>546</v>
      </c>
      <c r="K160">
        <v>535</v>
      </c>
      <c r="L160" t="s">
        <v>934</v>
      </c>
      <c r="M160">
        <v>3</v>
      </c>
      <c r="N160" t="s">
        <v>163</v>
      </c>
      <c r="O160" t="s">
        <v>163</v>
      </c>
      <c r="P160" t="s">
        <v>403</v>
      </c>
      <c r="Q160" t="s">
        <v>408</v>
      </c>
      <c r="R160" t="s">
        <v>437</v>
      </c>
      <c r="S160">
        <v>2022</v>
      </c>
      <c r="T160">
        <v>11</v>
      </c>
      <c r="U160" t="s">
        <v>408</v>
      </c>
      <c r="V160" t="s">
        <v>408</v>
      </c>
      <c r="W160">
        <v>0</v>
      </c>
      <c r="X160">
        <v>0</v>
      </c>
      <c r="Y160" t="s">
        <v>408</v>
      </c>
      <c r="Z160">
        <v>2022</v>
      </c>
      <c r="AA160">
        <v>2022</v>
      </c>
      <c r="AB160" s="5">
        <v>0.222835321359</v>
      </c>
      <c r="AC160" s="5">
        <v>0.445670642718</v>
      </c>
      <c r="AD160" t="s">
        <v>400</v>
      </c>
      <c r="AE160" t="s">
        <v>152</v>
      </c>
      <c r="AF160" t="s">
        <v>400</v>
      </c>
      <c r="AG160" t="s">
        <v>400</v>
      </c>
      <c r="AH160" t="s">
        <v>400</v>
      </c>
      <c r="AI160" t="s">
        <v>438</v>
      </c>
      <c r="AJ160" t="s">
        <v>400</v>
      </c>
      <c r="AK160" t="s">
        <v>408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 s="58">
        <f t="shared" si="2"/>
        <v>1</v>
      </c>
      <c r="AU160" s="79" t="s">
        <v>439</v>
      </c>
      <c r="AV160" t="s">
        <v>410</v>
      </c>
      <c r="AW160" t="s">
        <v>411</v>
      </c>
      <c r="AX160">
        <v>2</v>
      </c>
      <c r="AY160" t="s">
        <v>412</v>
      </c>
      <c r="AZ160">
        <v>30</v>
      </c>
    </row>
    <row r="161" spans="1:52" x14ac:dyDescent="0.3">
      <c r="A161">
        <v>150</v>
      </c>
      <c r="B161" t="s">
        <v>754</v>
      </c>
      <c r="C161" t="s">
        <v>152</v>
      </c>
      <c r="D161" t="s">
        <v>755</v>
      </c>
      <c r="E161" t="s">
        <v>460</v>
      </c>
      <c r="F161" t="s">
        <v>408</v>
      </c>
      <c r="G161">
        <v>2000</v>
      </c>
      <c r="H161">
        <v>2001</v>
      </c>
      <c r="I161" t="s">
        <v>479</v>
      </c>
      <c r="J161">
        <v>2076</v>
      </c>
      <c r="K161">
        <v>2077</v>
      </c>
      <c r="L161" t="s">
        <v>948</v>
      </c>
      <c r="M161">
        <v>3</v>
      </c>
      <c r="N161" t="s">
        <v>165</v>
      </c>
      <c r="O161" t="s">
        <v>165</v>
      </c>
      <c r="P161" t="s">
        <v>403</v>
      </c>
      <c r="Q161" t="s">
        <v>949</v>
      </c>
      <c r="R161" t="s">
        <v>562</v>
      </c>
      <c r="S161">
        <v>2015</v>
      </c>
      <c r="T161">
        <v>5</v>
      </c>
      <c r="U161" t="s">
        <v>370</v>
      </c>
      <c r="V161" t="s">
        <v>408</v>
      </c>
      <c r="W161">
        <v>0</v>
      </c>
      <c r="X161">
        <v>0</v>
      </c>
      <c r="Y161" t="s">
        <v>408</v>
      </c>
      <c r="Z161">
        <v>2015</v>
      </c>
      <c r="AA161">
        <v>2015</v>
      </c>
      <c r="AB161" s="5">
        <v>0.17798738585000001</v>
      </c>
      <c r="AC161" s="5">
        <v>0.35597477170000003</v>
      </c>
      <c r="AD161" t="s">
        <v>408</v>
      </c>
      <c r="AE161" t="s">
        <v>152</v>
      </c>
      <c r="AF161" t="s">
        <v>408</v>
      </c>
      <c r="AG161" t="s">
        <v>408</v>
      </c>
      <c r="AH161" t="s">
        <v>408</v>
      </c>
      <c r="AI161" t="s">
        <v>408</v>
      </c>
      <c r="AJ161" t="s">
        <v>408</v>
      </c>
      <c r="AK161" t="s">
        <v>408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58">
        <f t="shared" si="2"/>
        <v>1</v>
      </c>
      <c r="AU161" s="79">
        <v>43341</v>
      </c>
      <c r="AV161" t="s">
        <v>410</v>
      </c>
      <c r="AW161" t="s">
        <v>152</v>
      </c>
      <c r="AX161">
        <v>2</v>
      </c>
      <c r="AY161" t="s">
        <v>412</v>
      </c>
      <c r="AZ161" t="s">
        <v>408</v>
      </c>
    </row>
    <row r="162" spans="1:52" x14ac:dyDescent="0.3">
      <c r="A162">
        <v>151</v>
      </c>
      <c r="B162" t="s">
        <v>693</v>
      </c>
      <c r="C162" t="s">
        <v>155</v>
      </c>
      <c r="D162" t="s">
        <v>694</v>
      </c>
      <c r="E162" t="s">
        <v>460</v>
      </c>
      <c r="F162" t="s">
        <v>408</v>
      </c>
      <c r="G162">
        <v>1136</v>
      </c>
      <c r="H162">
        <v>1137</v>
      </c>
      <c r="I162" t="s">
        <v>631</v>
      </c>
      <c r="J162">
        <v>500</v>
      </c>
      <c r="K162">
        <v>501</v>
      </c>
      <c r="L162" t="s">
        <v>747</v>
      </c>
      <c r="M162">
        <v>3</v>
      </c>
      <c r="N162" t="s">
        <v>167</v>
      </c>
      <c r="O162" t="s">
        <v>167</v>
      </c>
      <c r="P162" t="s">
        <v>420</v>
      </c>
      <c r="Q162" t="s">
        <v>408</v>
      </c>
      <c r="R162" t="s">
        <v>950</v>
      </c>
      <c r="S162">
        <v>2001</v>
      </c>
      <c r="T162">
        <v>9</v>
      </c>
      <c r="U162" t="s">
        <v>408</v>
      </c>
      <c r="V162" t="s">
        <v>849</v>
      </c>
      <c r="W162">
        <v>2016</v>
      </c>
      <c r="X162">
        <v>6</v>
      </c>
      <c r="Y162" t="s">
        <v>408</v>
      </c>
      <c r="Z162">
        <v>2016</v>
      </c>
      <c r="AA162">
        <v>2001</v>
      </c>
      <c r="AB162" s="5">
        <v>0.57068595816699996</v>
      </c>
      <c r="AC162" s="5">
        <v>1.14137191633</v>
      </c>
      <c r="AD162" t="s">
        <v>408</v>
      </c>
      <c r="AE162" t="s">
        <v>152</v>
      </c>
      <c r="AF162" t="s">
        <v>408</v>
      </c>
      <c r="AG162" t="s">
        <v>408</v>
      </c>
      <c r="AH162" t="s">
        <v>408</v>
      </c>
      <c r="AI162" t="s">
        <v>408</v>
      </c>
      <c r="AJ162" t="s">
        <v>408</v>
      </c>
      <c r="AK162" t="s">
        <v>408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 s="58">
        <f t="shared" si="2"/>
        <v>1</v>
      </c>
      <c r="AU162" s="79">
        <v>43340</v>
      </c>
      <c r="AV162" s="78" t="s">
        <v>410</v>
      </c>
      <c r="AW162" t="s">
        <v>408</v>
      </c>
      <c r="AX162">
        <v>2</v>
      </c>
      <c r="AY162" t="s">
        <v>412</v>
      </c>
      <c r="AZ162" t="s">
        <v>408</v>
      </c>
    </row>
    <row r="163" spans="1:52" x14ac:dyDescent="0.3">
      <c r="A163">
        <v>152</v>
      </c>
      <c r="B163" t="s">
        <v>693</v>
      </c>
      <c r="C163" t="s">
        <v>152</v>
      </c>
      <c r="D163" t="s">
        <v>694</v>
      </c>
      <c r="E163" t="s">
        <v>460</v>
      </c>
      <c r="F163" t="s">
        <v>408</v>
      </c>
      <c r="G163">
        <v>2300</v>
      </c>
      <c r="H163">
        <v>2301</v>
      </c>
      <c r="I163" t="s">
        <v>951</v>
      </c>
      <c r="J163">
        <v>2347</v>
      </c>
      <c r="K163">
        <v>2375</v>
      </c>
      <c r="L163" t="s">
        <v>890</v>
      </c>
      <c r="M163">
        <v>3</v>
      </c>
      <c r="N163" t="s">
        <v>170</v>
      </c>
      <c r="O163" t="s">
        <v>170</v>
      </c>
      <c r="P163" t="s">
        <v>420</v>
      </c>
      <c r="Q163" t="s">
        <v>952</v>
      </c>
      <c r="R163" t="s">
        <v>493</v>
      </c>
      <c r="S163">
        <v>2007</v>
      </c>
      <c r="T163">
        <v>6</v>
      </c>
      <c r="U163" t="s">
        <v>408</v>
      </c>
      <c r="V163" t="s">
        <v>695</v>
      </c>
      <c r="W163">
        <v>2020</v>
      </c>
      <c r="X163">
        <v>0</v>
      </c>
      <c r="Y163" t="s">
        <v>370</v>
      </c>
      <c r="Z163">
        <v>2020</v>
      </c>
      <c r="AA163">
        <v>2020</v>
      </c>
      <c r="AB163" s="5">
        <v>8.56327051192E-2</v>
      </c>
      <c r="AC163" s="5">
        <v>0.17126541023799999</v>
      </c>
      <c r="AD163" t="s">
        <v>408</v>
      </c>
      <c r="AE163" t="s">
        <v>152</v>
      </c>
      <c r="AF163" t="s">
        <v>408</v>
      </c>
      <c r="AG163" t="s">
        <v>408</v>
      </c>
      <c r="AH163" t="s">
        <v>408</v>
      </c>
      <c r="AI163" t="s">
        <v>408</v>
      </c>
      <c r="AJ163" t="s">
        <v>408</v>
      </c>
      <c r="AK163" t="s">
        <v>408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 s="58">
        <f t="shared" si="2"/>
        <v>1</v>
      </c>
      <c r="AU163" s="79" t="s">
        <v>431</v>
      </c>
      <c r="AV163" s="78" t="s">
        <v>410</v>
      </c>
      <c r="AW163" t="s">
        <v>408</v>
      </c>
      <c r="AX163">
        <v>2</v>
      </c>
      <c r="AY163" t="s">
        <v>412</v>
      </c>
      <c r="AZ163" t="s">
        <v>408</v>
      </c>
    </row>
    <row r="164" spans="1:52" x14ac:dyDescent="0.3">
      <c r="A164">
        <v>153</v>
      </c>
      <c r="B164" t="s">
        <v>489</v>
      </c>
      <c r="C164" t="s">
        <v>155</v>
      </c>
      <c r="D164" t="s">
        <v>490</v>
      </c>
      <c r="E164" t="s">
        <v>466</v>
      </c>
      <c r="F164" t="s">
        <v>408</v>
      </c>
      <c r="G164">
        <v>1658</v>
      </c>
      <c r="H164">
        <v>1659</v>
      </c>
      <c r="I164" t="s">
        <v>953</v>
      </c>
      <c r="J164">
        <v>1200</v>
      </c>
      <c r="K164">
        <v>1201</v>
      </c>
      <c r="L164" t="s">
        <v>631</v>
      </c>
      <c r="M164">
        <v>3</v>
      </c>
      <c r="N164" t="s">
        <v>167</v>
      </c>
      <c r="O164" t="s">
        <v>167</v>
      </c>
      <c r="P164" t="s">
        <v>420</v>
      </c>
      <c r="Q164" t="s">
        <v>408</v>
      </c>
      <c r="R164" t="s">
        <v>493</v>
      </c>
      <c r="S164">
        <v>2007</v>
      </c>
      <c r="T164">
        <v>10</v>
      </c>
      <c r="U164" t="s">
        <v>408</v>
      </c>
      <c r="V164" t="s">
        <v>692</v>
      </c>
      <c r="W164">
        <v>2014</v>
      </c>
      <c r="X164">
        <v>6</v>
      </c>
      <c r="Y164" t="s">
        <v>408</v>
      </c>
      <c r="Z164">
        <v>2014</v>
      </c>
      <c r="AA164">
        <v>2014</v>
      </c>
      <c r="AB164" s="5">
        <v>0.62975666217199999</v>
      </c>
      <c r="AC164" s="5">
        <v>1.2595133243400001</v>
      </c>
      <c r="AD164" t="s">
        <v>408</v>
      </c>
      <c r="AE164" t="s">
        <v>152</v>
      </c>
      <c r="AF164" t="s">
        <v>408</v>
      </c>
      <c r="AG164" t="s">
        <v>408</v>
      </c>
      <c r="AH164" t="s">
        <v>408</v>
      </c>
      <c r="AI164" t="s">
        <v>408</v>
      </c>
      <c r="AJ164" t="s">
        <v>408</v>
      </c>
      <c r="AK164" t="s">
        <v>408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s="58">
        <f t="shared" si="2"/>
        <v>1</v>
      </c>
      <c r="AU164" s="79">
        <v>43335</v>
      </c>
      <c r="AV164" s="78" t="s">
        <v>410</v>
      </c>
      <c r="AW164" t="s">
        <v>408</v>
      </c>
      <c r="AX164">
        <v>2</v>
      </c>
      <c r="AY164" t="s">
        <v>412</v>
      </c>
      <c r="AZ164" t="s">
        <v>408</v>
      </c>
    </row>
    <row r="165" spans="1:52" x14ac:dyDescent="0.3">
      <c r="A165">
        <v>154</v>
      </c>
      <c r="B165" t="s">
        <v>911</v>
      </c>
      <c r="C165" t="s">
        <v>154</v>
      </c>
      <c r="D165" t="s">
        <v>912</v>
      </c>
      <c r="E165" t="s">
        <v>417</v>
      </c>
      <c r="F165" t="s">
        <v>408</v>
      </c>
      <c r="G165">
        <v>1601</v>
      </c>
      <c r="H165">
        <v>1600</v>
      </c>
      <c r="I165" t="s">
        <v>813</v>
      </c>
      <c r="J165">
        <v>2001</v>
      </c>
      <c r="K165">
        <v>2000</v>
      </c>
      <c r="L165" t="s">
        <v>418</v>
      </c>
      <c r="M165">
        <v>4</v>
      </c>
      <c r="N165" t="s">
        <v>167</v>
      </c>
      <c r="O165" t="s">
        <v>167</v>
      </c>
      <c r="P165" t="s">
        <v>420</v>
      </c>
      <c r="Q165" t="s">
        <v>408</v>
      </c>
      <c r="R165" t="s">
        <v>497</v>
      </c>
      <c r="S165">
        <v>2003</v>
      </c>
      <c r="T165">
        <v>6</v>
      </c>
      <c r="U165" t="s">
        <v>408</v>
      </c>
      <c r="V165" t="s">
        <v>487</v>
      </c>
      <c r="W165">
        <v>2020</v>
      </c>
      <c r="X165">
        <v>0</v>
      </c>
      <c r="Y165" t="s">
        <v>408</v>
      </c>
      <c r="Z165">
        <v>2020</v>
      </c>
      <c r="AA165">
        <v>2006</v>
      </c>
      <c r="AB165" s="5">
        <v>0.50862482777999996</v>
      </c>
      <c r="AC165" s="5">
        <v>1.0172496555599999</v>
      </c>
      <c r="AD165" t="s">
        <v>408</v>
      </c>
      <c r="AE165" t="s">
        <v>152</v>
      </c>
      <c r="AF165" t="s">
        <v>408</v>
      </c>
      <c r="AG165" t="s">
        <v>408</v>
      </c>
      <c r="AH165" t="s">
        <v>408</v>
      </c>
      <c r="AI165" t="s">
        <v>408</v>
      </c>
      <c r="AJ165" t="s">
        <v>408</v>
      </c>
      <c r="AK165" t="s">
        <v>408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 s="58">
        <f t="shared" si="2"/>
        <v>1</v>
      </c>
      <c r="AU165" s="79" t="s">
        <v>592</v>
      </c>
      <c r="AV165" s="78" t="s">
        <v>410</v>
      </c>
      <c r="AW165" t="s">
        <v>408</v>
      </c>
      <c r="AX165">
        <v>2</v>
      </c>
      <c r="AY165" t="s">
        <v>412</v>
      </c>
      <c r="AZ165" t="s">
        <v>408</v>
      </c>
    </row>
    <row r="166" spans="1:52" x14ac:dyDescent="0.3">
      <c r="A166">
        <v>155</v>
      </c>
      <c r="B166" t="s">
        <v>754</v>
      </c>
      <c r="C166" t="s">
        <v>152</v>
      </c>
      <c r="D166" t="s">
        <v>755</v>
      </c>
      <c r="E166" t="s">
        <v>460</v>
      </c>
      <c r="F166" t="s">
        <v>408</v>
      </c>
      <c r="G166">
        <v>3200</v>
      </c>
      <c r="H166">
        <v>3201</v>
      </c>
      <c r="I166" t="s">
        <v>803</v>
      </c>
      <c r="J166">
        <v>4000</v>
      </c>
      <c r="K166">
        <v>4001</v>
      </c>
      <c r="L166" t="s">
        <v>717</v>
      </c>
      <c r="M166">
        <v>3</v>
      </c>
      <c r="N166" t="s">
        <v>167</v>
      </c>
      <c r="O166" t="s">
        <v>167</v>
      </c>
      <c r="P166" t="s">
        <v>403</v>
      </c>
      <c r="Q166" t="s">
        <v>408</v>
      </c>
      <c r="R166" t="s">
        <v>756</v>
      </c>
      <c r="S166">
        <v>2018</v>
      </c>
      <c r="T166">
        <v>10</v>
      </c>
      <c r="U166" t="s">
        <v>757</v>
      </c>
      <c r="V166" t="s">
        <v>756</v>
      </c>
      <c r="W166">
        <v>2018</v>
      </c>
      <c r="X166">
        <v>10</v>
      </c>
      <c r="Y166" t="s">
        <v>408</v>
      </c>
      <c r="Z166">
        <v>2018</v>
      </c>
      <c r="AA166">
        <v>0</v>
      </c>
      <c r="AB166" s="5">
        <v>1.1242804067600001</v>
      </c>
      <c r="AC166" s="5">
        <v>2.2485608135200001</v>
      </c>
      <c r="AD166" t="s">
        <v>408</v>
      </c>
      <c r="AE166" t="s">
        <v>152</v>
      </c>
      <c r="AF166" t="s">
        <v>408</v>
      </c>
      <c r="AG166" t="s">
        <v>408</v>
      </c>
      <c r="AH166" t="s">
        <v>408</v>
      </c>
      <c r="AI166" t="s">
        <v>408</v>
      </c>
      <c r="AJ166" t="s">
        <v>408</v>
      </c>
      <c r="AK166" t="s">
        <v>408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58">
        <f t="shared" si="2"/>
        <v>1</v>
      </c>
      <c r="AU166" s="79">
        <v>43370</v>
      </c>
      <c r="AV166" s="78" t="s">
        <v>410</v>
      </c>
      <c r="AW166" t="s">
        <v>408</v>
      </c>
      <c r="AX166">
        <v>2</v>
      </c>
      <c r="AY166" t="s">
        <v>412</v>
      </c>
      <c r="AZ166" t="s">
        <v>408</v>
      </c>
    </row>
    <row r="167" spans="1:52" x14ac:dyDescent="0.3">
      <c r="A167">
        <v>156</v>
      </c>
      <c r="B167" t="s">
        <v>724</v>
      </c>
      <c r="C167" t="s">
        <v>154</v>
      </c>
      <c r="D167" t="s">
        <v>725</v>
      </c>
      <c r="E167" t="s">
        <v>417</v>
      </c>
      <c r="F167" t="s">
        <v>408</v>
      </c>
      <c r="G167">
        <v>1374</v>
      </c>
      <c r="H167">
        <v>1377</v>
      </c>
      <c r="I167" t="s">
        <v>644</v>
      </c>
      <c r="J167">
        <v>1300</v>
      </c>
      <c r="K167">
        <v>1301</v>
      </c>
      <c r="L167" t="s">
        <v>954</v>
      </c>
      <c r="M167">
        <v>3</v>
      </c>
      <c r="N167" t="s">
        <v>167</v>
      </c>
      <c r="O167" t="s">
        <v>167</v>
      </c>
      <c r="P167" t="s">
        <v>420</v>
      </c>
      <c r="Q167" t="s">
        <v>408</v>
      </c>
      <c r="R167" t="s">
        <v>719</v>
      </c>
      <c r="S167">
        <v>2005</v>
      </c>
      <c r="T167">
        <v>8</v>
      </c>
      <c r="U167" t="s">
        <v>955</v>
      </c>
      <c r="V167" t="s">
        <v>407</v>
      </c>
      <c r="W167">
        <v>2020</v>
      </c>
      <c r="X167">
        <v>0</v>
      </c>
      <c r="Y167" t="s">
        <v>408</v>
      </c>
      <c r="Z167">
        <v>2020</v>
      </c>
      <c r="AA167">
        <v>2005</v>
      </c>
      <c r="AB167" s="5">
        <v>0.15040853210999999</v>
      </c>
      <c r="AC167" s="5">
        <v>0.30081706421999999</v>
      </c>
      <c r="AD167" t="s">
        <v>408</v>
      </c>
      <c r="AE167" t="s">
        <v>152</v>
      </c>
      <c r="AF167" t="s">
        <v>408</v>
      </c>
      <c r="AG167" t="s">
        <v>408</v>
      </c>
      <c r="AH167" t="s">
        <v>408</v>
      </c>
      <c r="AI167" t="s">
        <v>408</v>
      </c>
      <c r="AJ167" t="s">
        <v>408</v>
      </c>
      <c r="AK167" t="s">
        <v>408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58">
        <f t="shared" si="2"/>
        <v>1</v>
      </c>
      <c r="AU167" s="79" t="s">
        <v>431</v>
      </c>
      <c r="AV167" t="s">
        <v>410</v>
      </c>
      <c r="AW167" t="s">
        <v>408</v>
      </c>
      <c r="AX167">
        <v>2</v>
      </c>
      <c r="AY167" t="s">
        <v>412</v>
      </c>
      <c r="AZ167" t="s">
        <v>408</v>
      </c>
    </row>
    <row r="168" spans="1:52" x14ac:dyDescent="0.3">
      <c r="A168">
        <v>157</v>
      </c>
      <c r="B168" t="s">
        <v>956</v>
      </c>
      <c r="C168" t="s">
        <v>155</v>
      </c>
      <c r="D168" t="s">
        <v>957</v>
      </c>
      <c r="E168" t="s">
        <v>417</v>
      </c>
      <c r="F168" t="s">
        <v>155</v>
      </c>
      <c r="G168">
        <v>922</v>
      </c>
      <c r="H168">
        <v>923</v>
      </c>
      <c r="I168" t="s">
        <v>958</v>
      </c>
      <c r="J168">
        <v>600</v>
      </c>
      <c r="K168">
        <v>601</v>
      </c>
      <c r="L168" t="s">
        <v>535</v>
      </c>
      <c r="M168">
        <v>4</v>
      </c>
      <c r="N168" t="s">
        <v>165</v>
      </c>
      <c r="O168" t="s">
        <v>165</v>
      </c>
      <c r="P168" t="s">
        <v>403</v>
      </c>
      <c r="Q168" t="s">
        <v>408</v>
      </c>
      <c r="R168" t="s">
        <v>505</v>
      </c>
      <c r="S168">
        <v>2018</v>
      </c>
      <c r="T168">
        <v>5</v>
      </c>
      <c r="U168" t="s">
        <v>408</v>
      </c>
      <c r="V168" t="s">
        <v>800</v>
      </c>
      <c r="W168">
        <v>2012</v>
      </c>
      <c r="X168">
        <v>11</v>
      </c>
      <c r="Y168" t="s">
        <v>370</v>
      </c>
      <c r="Z168">
        <v>2012</v>
      </c>
      <c r="AA168">
        <v>2012</v>
      </c>
      <c r="AB168" s="5">
        <v>0.32112561693199998</v>
      </c>
      <c r="AC168" s="5">
        <v>0.32112561693199998</v>
      </c>
      <c r="AD168" t="s">
        <v>408</v>
      </c>
      <c r="AE168" t="s">
        <v>411</v>
      </c>
      <c r="AF168" t="s">
        <v>155</v>
      </c>
      <c r="AG168" t="s">
        <v>152</v>
      </c>
      <c r="AH168" t="s">
        <v>408</v>
      </c>
      <c r="AI168" t="s">
        <v>408</v>
      </c>
      <c r="AJ168" t="s">
        <v>408</v>
      </c>
      <c r="AK168" t="s">
        <v>408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s="58">
        <f t="shared" si="2"/>
        <v>1</v>
      </c>
      <c r="AU168" s="79">
        <v>43343</v>
      </c>
      <c r="AV168" t="s">
        <v>410</v>
      </c>
      <c r="AW168" t="s">
        <v>152</v>
      </c>
      <c r="AX168">
        <v>2</v>
      </c>
      <c r="AY168" t="s">
        <v>412</v>
      </c>
      <c r="AZ168" t="s">
        <v>408</v>
      </c>
    </row>
    <row r="169" spans="1:52" x14ac:dyDescent="0.3">
      <c r="A169">
        <v>158</v>
      </c>
      <c r="B169" t="s">
        <v>959</v>
      </c>
      <c r="C169" t="s">
        <v>155</v>
      </c>
      <c r="D169" t="s">
        <v>490</v>
      </c>
      <c r="E169" t="s">
        <v>466</v>
      </c>
      <c r="F169" t="s">
        <v>408</v>
      </c>
      <c r="G169">
        <v>3055</v>
      </c>
      <c r="H169">
        <v>3054</v>
      </c>
      <c r="I169" t="s">
        <v>960</v>
      </c>
      <c r="J169">
        <v>2600</v>
      </c>
      <c r="K169">
        <v>2601</v>
      </c>
      <c r="L169" t="s">
        <v>961</v>
      </c>
      <c r="M169">
        <v>4</v>
      </c>
      <c r="N169" t="s">
        <v>165</v>
      </c>
      <c r="O169" t="s">
        <v>165</v>
      </c>
      <c r="P169" t="s">
        <v>403</v>
      </c>
      <c r="Q169" t="s">
        <v>962</v>
      </c>
      <c r="R169" t="s">
        <v>703</v>
      </c>
      <c r="S169">
        <v>2014</v>
      </c>
      <c r="T169">
        <v>10</v>
      </c>
      <c r="U169" t="s">
        <v>408</v>
      </c>
      <c r="V169" t="s">
        <v>407</v>
      </c>
      <c r="W169">
        <v>2020</v>
      </c>
      <c r="X169">
        <v>0</v>
      </c>
      <c r="Y169" t="s">
        <v>408</v>
      </c>
      <c r="Z169">
        <v>2020</v>
      </c>
      <c r="AA169">
        <v>0</v>
      </c>
      <c r="AB169" s="5">
        <v>0.456637316362</v>
      </c>
      <c r="AC169" s="5">
        <v>0.913274632724</v>
      </c>
      <c r="AD169" t="s">
        <v>408</v>
      </c>
      <c r="AE169" t="s">
        <v>152</v>
      </c>
      <c r="AF169" t="s">
        <v>408</v>
      </c>
      <c r="AG169" t="s">
        <v>408</v>
      </c>
      <c r="AH169" t="s">
        <v>408</v>
      </c>
      <c r="AI169" t="s">
        <v>408</v>
      </c>
      <c r="AJ169" t="s">
        <v>408</v>
      </c>
      <c r="AK169" t="s">
        <v>408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 s="58">
        <f t="shared" si="2"/>
        <v>1</v>
      </c>
      <c r="AU169" s="79" t="s">
        <v>431</v>
      </c>
      <c r="AV169" s="78" t="s">
        <v>410</v>
      </c>
      <c r="AW169" t="s">
        <v>152</v>
      </c>
      <c r="AX169">
        <v>2</v>
      </c>
      <c r="AY169" t="s">
        <v>412</v>
      </c>
      <c r="AZ169" t="s">
        <v>408</v>
      </c>
    </row>
    <row r="170" spans="1:52" x14ac:dyDescent="0.3">
      <c r="A170">
        <v>159</v>
      </c>
      <c r="B170" t="s">
        <v>397</v>
      </c>
      <c r="C170" t="s">
        <v>154</v>
      </c>
      <c r="D170" t="s">
        <v>398</v>
      </c>
      <c r="E170" t="s">
        <v>399</v>
      </c>
      <c r="F170" t="s">
        <v>400</v>
      </c>
      <c r="G170">
        <v>2959</v>
      </c>
      <c r="H170">
        <v>2958</v>
      </c>
      <c r="I170" t="s">
        <v>413</v>
      </c>
      <c r="J170">
        <v>2801</v>
      </c>
      <c r="K170">
        <v>2800</v>
      </c>
      <c r="L170" t="s">
        <v>683</v>
      </c>
      <c r="M170">
        <v>3</v>
      </c>
      <c r="N170" t="s">
        <v>165</v>
      </c>
      <c r="O170" t="s">
        <v>165</v>
      </c>
      <c r="P170" t="s">
        <v>403</v>
      </c>
      <c r="Q170" t="s">
        <v>404</v>
      </c>
      <c r="R170" t="s">
        <v>405</v>
      </c>
      <c r="S170">
        <v>2019</v>
      </c>
      <c r="T170">
        <v>0</v>
      </c>
      <c r="U170" t="s">
        <v>406</v>
      </c>
      <c r="V170" t="s">
        <v>407</v>
      </c>
      <c r="W170">
        <v>2020</v>
      </c>
      <c r="X170">
        <v>0</v>
      </c>
      <c r="Y170" t="s">
        <v>408</v>
      </c>
      <c r="Z170">
        <v>2020</v>
      </c>
      <c r="AA170">
        <v>2019</v>
      </c>
      <c r="AB170" s="5">
        <v>0.25204050324600002</v>
      </c>
      <c r="AC170" s="5">
        <v>0.50408100649200005</v>
      </c>
      <c r="AD170" t="s">
        <v>400</v>
      </c>
      <c r="AE170" t="s">
        <v>152</v>
      </c>
      <c r="AF170" t="s">
        <v>400</v>
      </c>
      <c r="AG170" t="s">
        <v>400</v>
      </c>
      <c r="AH170" t="s">
        <v>400</v>
      </c>
      <c r="AI170" t="s">
        <v>400</v>
      </c>
      <c r="AJ170" t="s">
        <v>400</v>
      </c>
      <c r="AK170" t="s">
        <v>400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 s="58">
        <f t="shared" si="2"/>
        <v>1</v>
      </c>
      <c r="AU170" s="79">
        <v>44658</v>
      </c>
      <c r="AV170" t="s">
        <v>410</v>
      </c>
      <c r="AW170" t="s">
        <v>411</v>
      </c>
      <c r="AX170">
        <v>2</v>
      </c>
      <c r="AY170" t="s">
        <v>412</v>
      </c>
      <c r="AZ170" t="s">
        <v>400</v>
      </c>
    </row>
    <row r="171" spans="1:52" x14ac:dyDescent="0.3">
      <c r="A171">
        <v>160</v>
      </c>
      <c r="B171" t="s">
        <v>956</v>
      </c>
      <c r="C171" t="s">
        <v>152</v>
      </c>
      <c r="D171" t="s">
        <v>957</v>
      </c>
      <c r="E171" t="s">
        <v>417</v>
      </c>
      <c r="F171" t="s">
        <v>155</v>
      </c>
      <c r="G171">
        <v>2</v>
      </c>
      <c r="H171">
        <v>1</v>
      </c>
      <c r="I171" t="s">
        <v>536</v>
      </c>
      <c r="J171">
        <v>136</v>
      </c>
      <c r="K171">
        <v>137</v>
      </c>
      <c r="L171" t="s">
        <v>963</v>
      </c>
      <c r="M171">
        <v>4</v>
      </c>
      <c r="N171" t="s">
        <v>163</v>
      </c>
      <c r="O171" t="s">
        <v>163</v>
      </c>
      <c r="P171" t="s">
        <v>403</v>
      </c>
      <c r="Q171" t="s">
        <v>408</v>
      </c>
      <c r="R171" t="s">
        <v>505</v>
      </c>
      <c r="S171">
        <v>2015</v>
      </c>
      <c r="T171">
        <v>10</v>
      </c>
      <c r="U171" t="s">
        <v>964</v>
      </c>
      <c r="V171" t="s">
        <v>408</v>
      </c>
      <c r="W171">
        <v>0</v>
      </c>
      <c r="X171">
        <v>0</v>
      </c>
      <c r="Y171" t="s">
        <v>408</v>
      </c>
      <c r="Z171">
        <v>2015</v>
      </c>
      <c r="AA171">
        <v>2015</v>
      </c>
      <c r="AB171" s="5">
        <v>0.17787169543299999</v>
      </c>
      <c r="AC171" s="5">
        <v>0.35574339086599999</v>
      </c>
      <c r="AD171" t="s">
        <v>505</v>
      </c>
      <c r="AE171" t="s">
        <v>152</v>
      </c>
      <c r="AF171" t="s">
        <v>400</v>
      </c>
      <c r="AG171" t="s">
        <v>400</v>
      </c>
      <c r="AH171" t="s">
        <v>411</v>
      </c>
      <c r="AI171" t="s">
        <v>470</v>
      </c>
      <c r="AJ171" t="s">
        <v>400</v>
      </c>
      <c r="AK171" t="s">
        <v>408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 s="58">
        <f t="shared" si="2"/>
        <v>1</v>
      </c>
      <c r="AU171" s="79" t="s">
        <v>457</v>
      </c>
      <c r="AV171" s="78" t="s">
        <v>410</v>
      </c>
      <c r="AW171" t="s">
        <v>411</v>
      </c>
      <c r="AX171">
        <v>1</v>
      </c>
      <c r="AY171" t="s">
        <v>412</v>
      </c>
      <c r="AZ171" t="s">
        <v>408</v>
      </c>
    </row>
    <row r="172" spans="1:52" x14ac:dyDescent="0.3">
      <c r="A172">
        <v>161</v>
      </c>
      <c r="B172" t="s">
        <v>522</v>
      </c>
      <c r="C172" t="s">
        <v>152</v>
      </c>
      <c r="D172" t="s">
        <v>523</v>
      </c>
      <c r="E172" t="s">
        <v>460</v>
      </c>
      <c r="F172" t="s">
        <v>152</v>
      </c>
      <c r="G172">
        <v>5936</v>
      </c>
      <c r="H172">
        <v>5937</v>
      </c>
      <c r="I172" t="s">
        <v>525</v>
      </c>
      <c r="J172">
        <v>6176</v>
      </c>
      <c r="K172">
        <v>6177</v>
      </c>
      <c r="L172" t="s">
        <v>965</v>
      </c>
      <c r="M172">
        <v>4</v>
      </c>
      <c r="N172" t="s">
        <v>167</v>
      </c>
      <c r="O172" t="s">
        <v>167</v>
      </c>
      <c r="P172" t="s">
        <v>414</v>
      </c>
      <c r="Q172" t="s">
        <v>408</v>
      </c>
      <c r="R172" t="s">
        <v>497</v>
      </c>
      <c r="S172">
        <v>2003</v>
      </c>
      <c r="T172">
        <v>6</v>
      </c>
      <c r="U172" t="s">
        <v>408</v>
      </c>
      <c r="V172" t="s">
        <v>408</v>
      </c>
      <c r="W172">
        <v>0</v>
      </c>
      <c r="X172">
        <v>0</v>
      </c>
      <c r="Y172" t="s">
        <v>408</v>
      </c>
      <c r="Z172">
        <v>2014</v>
      </c>
      <c r="AA172">
        <v>2012</v>
      </c>
      <c r="AB172" s="5">
        <v>0.31133739307800001</v>
      </c>
      <c r="AC172" s="5">
        <v>0.31133739307800001</v>
      </c>
      <c r="AD172" t="s">
        <v>408</v>
      </c>
      <c r="AE172" t="s">
        <v>411</v>
      </c>
      <c r="AF172" t="s">
        <v>152</v>
      </c>
      <c r="AG172" t="s">
        <v>152</v>
      </c>
      <c r="AH172" t="s">
        <v>408</v>
      </c>
      <c r="AI172" t="s">
        <v>408</v>
      </c>
      <c r="AJ172" t="s">
        <v>408</v>
      </c>
      <c r="AK172" t="s">
        <v>408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58">
        <f t="shared" si="2"/>
        <v>1</v>
      </c>
      <c r="AU172" s="79">
        <v>43335</v>
      </c>
      <c r="AV172" t="s">
        <v>410</v>
      </c>
      <c r="AW172" t="s">
        <v>408</v>
      </c>
      <c r="AX172">
        <v>3</v>
      </c>
      <c r="AY172" t="s">
        <v>17</v>
      </c>
      <c r="AZ172">
        <v>20</v>
      </c>
    </row>
    <row r="173" spans="1:52" x14ac:dyDescent="0.3">
      <c r="A173">
        <v>162</v>
      </c>
      <c r="B173" t="s">
        <v>966</v>
      </c>
      <c r="C173" t="s">
        <v>154</v>
      </c>
      <c r="D173" t="s">
        <v>899</v>
      </c>
      <c r="E173" t="s">
        <v>417</v>
      </c>
      <c r="F173" t="s">
        <v>408</v>
      </c>
      <c r="G173">
        <v>2740</v>
      </c>
      <c r="H173">
        <v>2741</v>
      </c>
      <c r="I173" t="s">
        <v>967</v>
      </c>
      <c r="J173">
        <v>2538</v>
      </c>
      <c r="K173">
        <v>2539</v>
      </c>
      <c r="L173" t="s">
        <v>968</v>
      </c>
      <c r="M173">
        <v>4</v>
      </c>
      <c r="N173" t="s">
        <v>167</v>
      </c>
      <c r="O173" t="s">
        <v>167</v>
      </c>
      <c r="P173" t="s">
        <v>420</v>
      </c>
      <c r="Q173" t="s">
        <v>408</v>
      </c>
      <c r="R173" t="s">
        <v>497</v>
      </c>
      <c r="S173">
        <v>2002</v>
      </c>
      <c r="T173">
        <v>6</v>
      </c>
      <c r="U173" t="s">
        <v>408</v>
      </c>
      <c r="V173" t="s">
        <v>662</v>
      </c>
      <c r="W173">
        <v>2015</v>
      </c>
      <c r="X173">
        <v>1</v>
      </c>
      <c r="Y173" t="s">
        <v>370</v>
      </c>
      <c r="Z173">
        <v>2015</v>
      </c>
      <c r="AA173">
        <v>2015</v>
      </c>
      <c r="AB173" s="5">
        <v>0.23722424396399999</v>
      </c>
      <c r="AC173" s="5">
        <v>0.47444848792799998</v>
      </c>
      <c r="AD173" t="s">
        <v>408</v>
      </c>
      <c r="AE173" t="s">
        <v>152</v>
      </c>
      <c r="AF173" t="s">
        <v>408</v>
      </c>
      <c r="AG173" t="s">
        <v>408</v>
      </c>
      <c r="AH173" t="s">
        <v>408</v>
      </c>
      <c r="AI173" t="s">
        <v>408</v>
      </c>
      <c r="AJ173" t="s">
        <v>408</v>
      </c>
      <c r="AK173" t="s">
        <v>408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 s="58">
        <f t="shared" si="2"/>
        <v>1</v>
      </c>
      <c r="AU173" s="79">
        <v>43347</v>
      </c>
      <c r="AV173" t="s">
        <v>410</v>
      </c>
      <c r="AW173" t="s">
        <v>408</v>
      </c>
      <c r="AX173">
        <v>2</v>
      </c>
      <c r="AY173" t="s">
        <v>412</v>
      </c>
      <c r="AZ173" t="s">
        <v>408</v>
      </c>
    </row>
    <row r="174" spans="1:52" x14ac:dyDescent="0.3">
      <c r="A174">
        <v>163</v>
      </c>
      <c r="B174" t="s">
        <v>527</v>
      </c>
      <c r="C174" t="s">
        <v>447</v>
      </c>
      <c r="D174" t="s">
        <v>528</v>
      </c>
      <c r="E174" t="s">
        <v>417</v>
      </c>
      <c r="F174" t="s">
        <v>408</v>
      </c>
      <c r="G174">
        <v>44</v>
      </c>
      <c r="H174">
        <v>43</v>
      </c>
      <c r="I174" t="s">
        <v>878</v>
      </c>
      <c r="J174">
        <v>380</v>
      </c>
      <c r="K174">
        <v>379</v>
      </c>
      <c r="L174" t="s">
        <v>508</v>
      </c>
      <c r="M174">
        <v>3</v>
      </c>
      <c r="N174" t="s">
        <v>167</v>
      </c>
      <c r="O174" t="s">
        <v>167</v>
      </c>
      <c r="P174" t="s">
        <v>420</v>
      </c>
      <c r="Q174" t="s">
        <v>408</v>
      </c>
      <c r="R174" t="s">
        <v>510</v>
      </c>
      <c r="S174">
        <v>2002</v>
      </c>
      <c r="T174">
        <v>6</v>
      </c>
      <c r="U174" t="s">
        <v>408</v>
      </c>
      <c r="V174" t="s">
        <v>487</v>
      </c>
      <c r="W174">
        <v>2020</v>
      </c>
      <c r="X174">
        <v>0</v>
      </c>
      <c r="Y174" t="s">
        <v>408</v>
      </c>
      <c r="Z174">
        <v>2020</v>
      </c>
      <c r="AA174">
        <v>2013</v>
      </c>
      <c r="AB174" s="5">
        <v>0.416430629838</v>
      </c>
      <c r="AC174" s="5">
        <v>0.832861259676</v>
      </c>
      <c r="AD174" t="s">
        <v>408</v>
      </c>
      <c r="AE174" t="s">
        <v>152</v>
      </c>
      <c r="AF174" t="s">
        <v>408</v>
      </c>
      <c r="AG174" t="s">
        <v>408</v>
      </c>
      <c r="AH174" t="s">
        <v>408</v>
      </c>
      <c r="AI174" t="s">
        <v>408</v>
      </c>
      <c r="AJ174" t="s">
        <v>408</v>
      </c>
      <c r="AK174" t="s">
        <v>408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 s="58">
        <f t="shared" si="2"/>
        <v>1</v>
      </c>
      <c r="AU174" s="79" t="s">
        <v>592</v>
      </c>
      <c r="AV174" s="78" t="s">
        <v>410</v>
      </c>
      <c r="AW174" t="s">
        <v>408</v>
      </c>
      <c r="AX174">
        <v>2</v>
      </c>
      <c r="AY174" t="s">
        <v>412</v>
      </c>
      <c r="AZ174" t="s">
        <v>408</v>
      </c>
    </row>
    <row r="175" spans="1:52" x14ac:dyDescent="0.3">
      <c r="A175">
        <v>164</v>
      </c>
      <c r="B175" t="s">
        <v>458</v>
      </c>
      <c r="C175" t="s">
        <v>155</v>
      </c>
      <c r="D175" t="s">
        <v>459</v>
      </c>
      <c r="E175" t="s">
        <v>460</v>
      </c>
      <c r="F175" t="s">
        <v>408</v>
      </c>
      <c r="G175">
        <v>1738</v>
      </c>
      <c r="H175">
        <v>1739</v>
      </c>
      <c r="I175" t="s">
        <v>585</v>
      </c>
      <c r="J175">
        <v>1200</v>
      </c>
      <c r="K175">
        <v>1201</v>
      </c>
      <c r="L175" t="s">
        <v>969</v>
      </c>
      <c r="M175">
        <v>4</v>
      </c>
      <c r="N175" t="s">
        <v>165</v>
      </c>
      <c r="O175" t="s">
        <v>165</v>
      </c>
      <c r="P175" t="s">
        <v>403</v>
      </c>
      <c r="Q175" t="s">
        <v>408</v>
      </c>
      <c r="R175" t="s">
        <v>579</v>
      </c>
      <c r="S175">
        <v>2011</v>
      </c>
      <c r="T175">
        <v>11</v>
      </c>
      <c r="U175" t="s">
        <v>370</v>
      </c>
      <c r="V175" t="s">
        <v>407</v>
      </c>
      <c r="W175">
        <v>2020</v>
      </c>
      <c r="X175">
        <v>0</v>
      </c>
      <c r="Y175" t="s">
        <v>408</v>
      </c>
      <c r="Z175">
        <v>2020</v>
      </c>
      <c r="AA175">
        <v>2011</v>
      </c>
      <c r="AB175" s="5">
        <v>0.66106776016199997</v>
      </c>
      <c r="AC175" s="5">
        <v>1.32213552032</v>
      </c>
      <c r="AD175" t="s">
        <v>408</v>
      </c>
      <c r="AE175" t="s">
        <v>152</v>
      </c>
      <c r="AF175" t="s">
        <v>408</v>
      </c>
      <c r="AG175" t="s">
        <v>408</v>
      </c>
      <c r="AH175" t="s">
        <v>408</v>
      </c>
      <c r="AI175" t="s">
        <v>408</v>
      </c>
      <c r="AJ175" t="s">
        <v>408</v>
      </c>
      <c r="AK175" t="s">
        <v>408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 s="58">
        <f t="shared" si="2"/>
        <v>1</v>
      </c>
      <c r="AU175" s="79" t="s">
        <v>431</v>
      </c>
      <c r="AV175" t="s">
        <v>410</v>
      </c>
      <c r="AW175" t="s">
        <v>152</v>
      </c>
      <c r="AX175">
        <v>2</v>
      </c>
      <c r="AY175" t="s">
        <v>412</v>
      </c>
      <c r="AZ175" t="s">
        <v>408</v>
      </c>
    </row>
    <row r="176" spans="1:52" x14ac:dyDescent="0.3">
      <c r="A176">
        <v>165</v>
      </c>
      <c r="B176" t="s">
        <v>693</v>
      </c>
      <c r="C176" t="s">
        <v>152</v>
      </c>
      <c r="D176" t="s">
        <v>694</v>
      </c>
      <c r="E176" t="s">
        <v>460</v>
      </c>
      <c r="F176" t="s">
        <v>408</v>
      </c>
      <c r="G176">
        <v>2551</v>
      </c>
      <c r="H176">
        <v>2550</v>
      </c>
      <c r="I176" t="s">
        <v>970</v>
      </c>
      <c r="J176">
        <v>2790</v>
      </c>
      <c r="K176">
        <v>2791</v>
      </c>
      <c r="L176" t="s">
        <v>483</v>
      </c>
      <c r="M176">
        <v>3</v>
      </c>
      <c r="N176" t="s">
        <v>163</v>
      </c>
      <c r="O176" t="s">
        <v>163</v>
      </c>
      <c r="P176" t="s">
        <v>403</v>
      </c>
      <c r="Q176" t="s">
        <v>408</v>
      </c>
      <c r="R176" t="s">
        <v>971</v>
      </c>
      <c r="S176">
        <v>2021</v>
      </c>
      <c r="T176">
        <v>5</v>
      </c>
      <c r="U176" t="s">
        <v>408</v>
      </c>
      <c r="V176" t="s">
        <v>408</v>
      </c>
      <c r="W176">
        <v>0</v>
      </c>
      <c r="X176">
        <v>0</v>
      </c>
      <c r="Y176" t="s">
        <v>408</v>
      </c>
      <c r="Z176">
        <v>2021</v>
      </c>
      <c r="AA176">
        <v>0</v>
      </c>
      <c r="AB176" s="5">
        <v>0.29111364424899999</v>
      </c>
      <c r="AC176" s="5">
        <v>0.58222728849799998</v>
      </c>
      <c r="AD176" t="s">
        <v>400</v>
      </c>
      <c r="AE176" t="s">
        <v>152</v>
      </c>
      <c r="AF176" t="s">
        <v>400</v>
      </c>
      <c r="AG176" t="s">
        <v>152</v>
      </c>
      <c r="AH176" t="s">
        <v>411</v>
      </c>
      <c r="AI176" t="s">
        <v>470</v>
      </c>
      <c r="AJ176" t="s">
        <v>411</v>
      </c>
      <c r="AK176" t="s">
        <v>411</v>
      </c>
      <c r="AL176">
        <v>2015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s="58">
        <f t="shared" si="2"/>
        <v>1</v>
      </c>
      <c r="AU176" s="79" t="s">
        <v>602</v>
      </c>
      <c r="AV176" t="s">
        <v>410</v>
      </c>
      <c r="AW176" t="s">
        <v>411</v>
      </c>
      <c r="AX176">
        <v>2</v>
      </c>
      <c r="AY176" t="s">
        <v>412</v>
      </c>
      <c r="AZ176" t="s">
        <v>408</v>
      </c>
    </row>
    <row r="177" spans="1:52" x14ac:dyDescent="0.3">
      <c r="A177">
        <v>166</v>
      </c>
      <c r="B177" t="s">
        <v>557</v>
      </c>
      <c r="C177" t="s">
        <v>152</v>
      </c>
      <c r="D177" t="s">
        <v>558</v>
      </c>
      <c r="E177" t="s">
        <v>460</v>
      </c>
      <c r="F177" t="s">
        <v>152</v>
      </c>
      <c r="G177">
        <v>200</v>
      </c>
      <c r="H177">
        <v>201</v>
      </c>
      <c r="I177" t="s">
        <v>628</v>
      </c>
      <c r="J177">
        <v>236</v>
      </c>
      <c r="K177">
        <v>237</v>
      </c>
      <c r="L177" t="s">
        <v>972</v>
      </c>
      <c r="M177">
        <v>4</v>
      </c>
      <c r="N177" t="s">
        <v>165</v>
      </c>
      <c r="O177" t="s">
        <v>165</v>
      </c>
      <c r="P177" t="s">
        <v>403</v>
      </c>
      <c r="Q177" t="s">
        <v>973</v>
      </c>
      <c r="R177" t="s">
        <v>532</v>
      </c>
      <c r="S177">
        <v>2017</v>
      </c>
      <c r="T177">
        <v>5</v>
      </c>
      <c r="U177" t="s">
        <v>370</v>
      </c>
      <c r="V177" t="s">
        <v>408</v>
      </c>
      <c r="W177">
        <v>0</v>
      </c>
      <c r="X177">
        <v>0</v>
      </c>
      <c r="Y177" t="s">
        <v>408</v>
      </c>
      <c r="Z177">
        <v>2017</v>
      </c>
      <c r="AA177">
        <v>2017</v>
      </c>
      <c r="AB177" s="5">
        <v>0.10755415356299999</v>
      </c>
      <c r="AC177" s="5">
        <v>0.10755415356299999</v>
      </c>
      <c r="AD177" t="s">
        <v>408</v>
      </c>
      <c r="AE177" t="s">
        <v>411</v>
      </c>
      <c r="AF177" t="s">
        <v>153</v>
      </c>
      <c r="AG177" t="s">
        <v>152</v>
      </c>
      <c r="AH177" t="s">
        <v>408</v>
      </c>
      <c r="AI177" t="s">
        <v>408</v>
      </c>
      <c r="AJ177" t="s">
        <v>408</v>
      </c>
      <c r="AK177" t="s">
        <v>408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 s="58">
        <f t="shared" si="2"/>
        <v>1</v>
      </c>
      <c r="AU177" s="79">
        <v>43336</v>
      </c>
      <c r="AV177" t="s">
        <v>410</v>
      </c>
      <c r="AW177" t="s">
        <v>152</v>
      </c>
      <c r="AX177">
        <v>2</v>
      </c>
      <c r="AY177" t="s">
        <v>412</v>
      </c>
      <c r="AZ177" t="s">
        <v>408</v>
      </c>
    </row>
    <row r="178" spans="1:52" x14ac:dyDescent="0.3">
      <c r="A178">
        <v>167</v>
      </c>
      <c r="B178" t="s">
        <v>974</v>
      </c>
      <c r="C178" t="s">
        <v>154</v>
      </c>
      <c r="D178" t="s">
        <v>975</v>
      </c>
      <c r="E178" t="s">
        <v>460</v>
      </c>
      <c r="F178" t="s">
        <v>408</v>
      </c>
      <c r="G178">
        <v>758</v>
      </c>
      <c r="H178">
        <v>759</v>
      </c>
      <c r="I178" t="s">
        <v>502</v>
      </c>
      <c r="J178">
        <v>300</v>
      </c>
      <c r="K178">
        <v>301</v>
      </c>
      <c r="L178" t="s">
        <v>718</v>
      </c>
      <c r="M178">
        <v>3</v>
      </c>
      <c r="N178" t="s">
        <v>167</v>
      </c>
      <c r="O178" t="s">
        <v>167</v>
      </c>
      <c r="P178" t="s">
        <v>420</v>
      </c>
      <c r="Q178" t="s">
        <v>408</v>
      </c>
      <c r="R178" t="s">
        <v>976</v>
      </c>
      <c r="S178">
        <v>2001</v>
      </c>
      <c r="T178">
        <v>6</v>
      </c>
      <c r="U178" t="s">
        <v>408</v>
      </c>
      <c r="V178" t="s">
        <v>494</v>
      </c>
      <c r="W178">
        <v>2018</v>
      </c>
      <c r="X178">
        <v>9</v>
      </c>
      <c r="Y178" t="s">
        <v>408</v>
      </c>
      <c r="Z178">
        <v>2018</v>
      </c>
      <c r="AA178">
        <v>2001</v>
      </c>
      <c r="AB178" s="5">
        <v>0.64036894456799998</v>
      </c>
      <c r="AC178" s="5">
        <v>1.2807378891400001</v>
      </c>
      <c r="AD178" t="s">
        <v>408</v>
      </c>
      <c r="AE178" t="s">
        <v>152</v>
      </c>
      <c r="AF178" t="s">
        <v>408</v>
      </c>
      <c r="AG178" t="s">
        <v>408</v>
      </c>
      <c r="AH178" t="s">
        <v>408</v>
      </c>
      <c r="AI178" t="s">
        <v>408</v>
      </c>
      <c r="AJ178" t="s">
        <v>408</v>
      </c>
      <c r="AK178" t="s">
        <v>408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58">
        <f t="shared" si="2"/>
        <v>1</v>
      </c>
      <c r="AU178" s="79">
        <v>43347</v>
      </c>
      <c r="AV178" s="78" t="s">
        <v>410</v>
      </c>
      <c r="AW178" t="s">
        <v>408</v>
      </c>
      <c r="AX178">
        <v>2</v>
      </c>
      <c r="AY178" t="s">
        <v>412</v>
      </c>
      <c r="AZ178" t="s">
        <v>408</v>
      </c>
    </row>
    <row r="179" spans="1:52" x14ac:dyDescent="0.3">
      <c r="A179">
        <v>168</v>
      </c>
      <c r="B179" t="s">
        <v>977</v>
      </c>
      <c r="C179" t="s">
        <v>155</v>
      </c>
      <c r="D179" t="s">
        <v>978</v>
      </c>
      <c r="E179" t="s">
        <v>460</v>
      </c>
      <c r="F179" t="s">
        <v>408</v>
      </c>
      <c r="G179">
        <v>3300</v>
      </c>
      <c r="H179">
        <v>3301</v>
      </c>
      <c r="I179" t="s">
        <v>979</v>
      </c>
      <c r="J179">
        <v>3046</v>
      </c>
      <c r="K179">
        <v>3047</v>
      </c>
      <c r="L179" t="s">
        <v>968</v>
      </c>
      <c r="M179">
        <v>2</v>
      </c>
      <c r="N179" t="s">
        <v>167</v>
      </c>
      <c r="O179" t="s">
        <v>167</v>
      </c>
      <c r="P179" t="s">
        <v>420</v>
      </c>
      <c r="Q179" t="s">
        <v>980</v>
      </c>
      <c r="R179" t="s">
        <v>748</v>
      </c>
      <c r="S179">
        <v>2004</v>
      </c>
      <c r="T179">
        <v>10</v>
      </c>
      <c r="U179" t="s">
        <v>408</v>
      </c>
      <c r="V179" t="s">
        <v>407</v>
      </c>
      <c r="W179">
        <v>2020</v>
      </c>
      <c r="X179">
        <v>0</v>
      </c>
      <c r="Y179" t="s">
        <v>408</v>
      </c>
      <c r="Z179">
        <v>2020</v>
      </c>
      <c r="AA179">
        <v>0</v>
      </c>
      <c r="AB179" s="5">
        <v>0.38072476476900002</v>
      </c>
      <c r="AC179" s="5">
        <v>0.76144952953800005</v>
      </c>
      <c r="AD179" t="s">
        <v>408</v>
      </c>
      <c r="AE179" t="s">
        <v>152</v>
      </c>
      <c r="AF179" t="s">
        <v>408</v>
      </c>
      <c r="AG179" t="s">
        <v>408</v>
      </c>
      <c r="AH179" t="s">
        <v>408</v>
      </c>
      <c r="AI179" t="s">
        <v>408</v>
      </c>
      <c r="AJ179" t="s">
        <v>408</v>
      </c>
      <c r="AK179" t="s">
        <v>408</v>
      </c>
      <c r="AL179">
        <v>0</v>
      </c>
      <c r="AM179">
        <v>0</v>
      </c>
      <c r="AN179">
        <v>0</v>
      </c>
      <c r="AO179">
        <v>0.67</v>
      </c>
      <c r="AP179">
        <v>0</v>
      </c>
      <c r="AQ179">
        <v>0.33</v>
      </c>
      <c r="AR179">
        <v>0</v>
      </c>
      <c r="AS179">
        <v>0</v>
      </c>
      <c r="AT179" s="58">
        <f t="shared" si="2"/>
        <v>1</v>
      </c>
      <c r="AU179" s="79" t="s">
        <v>431</v>
      </c>
      <c r="AV179" s="78" t="s">
        <v>410</v>
      </c>
      <c r="AW179" t="s">
        <v>408</v>
      </c>
      <c r="AX179">
        <v>2</v>
      </c>
      <c r="AY179" t="s">
        <v>412</v>
      </c>
      <c r="AZ179" t="s">
        <v>408</v>
      </c>
    </row>
    <row r="180" spans="1:52" x14ac:dyDescent="0.3">
      <c r="A180">
        <v>169</v>
      </c>
      <c r="B180" t="s">
        <v>981</v>
      </c>
      <c r="C180" t="s">
        <v>155</v>
      </c>
      <c r="D180" t="s">
        <v>982</v>
      </c>
      <c r="E180" t="s">
        <v>460</v>
      </c>
      <c r="F180" t="s">
        <v>408</v>
      </c>
      <c r="G180">
        <v>1400</v>
      </c>
      <c r="H180">
        <v>1405</v>
      </c>
      <c r="I180" t="s">
        <v>983</v>
      </c>
      <c r="J180">
        <v>1200</v>
      </c>
      <c r="K180">
        <v>1201</v>
      </c>
      <c r="L180" t="s">
        <v>631</v>
      </c>
      <c r="M180">
        <v>4</v>
      </c>
      <c r="N180" t="s">
        <v>165</v>
      </c>
      <c r="O180" t="s">
        <v>165</v>
      </c>
      <c r="P180" t="s">
        <v>403</v>
      </c>
      <c r="Q180" t="s">
        <v>984</v>
      </c>
      <c r="R180" t="s">
        <v>849</v>
      </c>
      <c r="S180">
        <v>2016</v>
      </c>
      <c r="T180">
        <v>10</v>
      </c>
      <c r="U180" t="s">
        <v>408</v>
      </c>
      <c r="V180" t="s">
        <v>408</v>
      </c>
      <c r="W180">
        <v>0</v>
      </c>
      <c r="X180">
        <v>0</v>
      </c>
      <c r="Y180" t="s">
        <v>408</v>
      </c>
      <c r="Z180">
        <v>2016</v>
      </c>
      <c r="AA180">
        <v>2005</v>
      </c>
      <c r="AB180" s="5">
        <v>0.31225812406499998</v>
      </c>
      <c r="AC180" s="5">
        <v>0.62451624812999995</v>
      </c>
      <c r="AD180" t="s">
        <v>408</v>
      </c>
      <c r="AE180" t="s">
        <v>152</v>
      </c>
      <c r="AF180" t="s">
        <v>408</v>
      </c>
      <c r="AG180" t="s">
        <v>408</v>
      </c>
      <c r="AH180" t="s">
        <v>408</v>
      </c>
      <c r="AI180" t="s">
        <v>408</v>
      </c>
      <c r="AJ180" t="s">
        <v>408</v>
      </c>
      <c r="AK180" t="s">
        <v>408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 s="58">
        <f t="shared" si="2"/>
        <v>1</v>
      </c>
      <c r="AU180" s="79">
        <v>43347</v>
      </c>
      <c r="AV180" t="s">
        <v>410</v>
      </c>
      <c r="AW180" t="s">
        <v>152</v>
      </c>
      <c r="AX180">
        <v>2</v>
      </c>
      <c r="AY180" t="s">
        <v>412</v>
      </c>
      <c r="AZ180" t="s">
        <v>408</v>
      </c>
    </row>
    <row r="181" spans="1:52" x14ac:dyDescent="0.3">
      <c r="A181">
        <v>170</v>
      </c>
      <c r="B181" t="s">
        <v>477</v>
      </c>
      <c r="C181" t="s">
        <v>155</v>
      </c>
      <c r="D181" t="s">
        <v>478</v>
      </c>
      <c r="E181" t="s">
        <v>417</v>
      </c>
      <c r="F181" t="s">
        <v>408</v>
      </c>
      <c r="G181">
        <v>1156</v>
      </c>
      <c r="H181">
        <v>1157</v>
      </c>
      <c r="I181" t="s">
        <v>631</v>
      </c>
      <c r="J181">
        <v>600</v>
      </c>
      <c r="K181">
        <v>601</v>
      </c>
      <c r="L181" t="s">
        <v>535</v>
      </c>
      <c r="M181">
        <v>2</v>
      </c>
      <c r="N181" t="s">
        <v>165</v>
      </c>
      <c r="O181" t="s">
        <v>165</v>
      </c>
      <c r="P181" t="s">
        <v>403</v>
      </c>
      <c r="Q181" t="s">
        <v>408</v>
      </c>
      <c r="R181" t="s">
        <v>885</v>
      </c>
      <c r="S181">
        <v>2013</v>
      </c>
      <c r="T181">
        <v>10</v>
      </c>
      <c r="U181" t="s">
        <v>408</v>
      </c>
      <c r="V181" t="s">
        <v>482</v>
      </c>
      <c r="W181">
        <v>2018</v>
      </c>
      <c r="X181">
        <v>9</v>
      </c>
      <c r="Y181" t="s">
        <v>818</v>
      </c>
      <c r="Z181">
        <v>2018</v>
      </c>
      <c r="AA181">
        <v>2018</v>
      </c>
      <c r="AB181" s="5">
        <v>0.496099448695</v>
      </c>
      <c r="AC181" s="5">
        <v>0.99219889739</v>
      </c>
      <c r="AD181" t="s">
        <v>408</v>
      </c>
      <c r="AE181" t="s">
        <v>152</v>
      </c>
      <c r="AF181" t="s">
        <v>408</v>
      </c>
      <c r="AG181" t="s">
        <v>408</v>
      </c>
      <c r="AH181" t="s">
        <v>408</v>
      </c>
      <c r="AI181" t="s">
        <v>408</v>
      </c>
      <c r="AJ181" t="s">
        <v>408</v>
      </c>
      <c r="AK181" t="s">
        <v>408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 s="58">
        <f t="shared" si="2"/>
        <v>1</v>
      </c>
      <c r="AU181" s="79">
        <v>43333</v>
      </c>
      <c r="AV181" s="78" t="s">
        <v>410</v>
      </c>
      <c r="AW181" t="s">
        <v>411</v>
      </c>
      <c r="AX181">
        <v>2</v>
      </c>
      <c r="AY181" t="s">
        <v>412</v>
      </c>
      <c r="AZ181" t="s">
        <v>408</v>
      </c>
    </row>
    <row r="182" spans="1:52" x14ac:dyDescent="0.3">
      <c r="A182">
        <v>171</v>
      </c>
      <c r="B182" t="s">
        <v>598</v>
      </c>
      <c r="C182" t="s">
        <v>155</v>
      </c>
      <c r="D182" t="s">
        <v>599</v>
      </c>
      <c r="E182" t="s">
        <v>460</v>
      </c>
      <c r="F182" t="s">
        <v>400</v>
      </c>
      <c r="G182">
        <v>10259</v>
      </c>
      <c r="H182">
        <v>10258</v>
      </c>
      <c r="I182" t="s">
        <v>985</v>
      </c>
      <c r="J182">
        <v>8900</v>
      </c>
      <c r="K182">
        <v>8901</v>
      </c>
      <c r="L182" t="s">
        <v>986</v>
      </c>
      <c r="M182">
        <v>3</v>
      </c>
      <c r="N182" t="s">
        <v>163</v>
      </c>
      <c r="O182" t="s">
        <v>163</v>
      </c>
      <c r="P182" t="s">
        <v>403</v>
      </c>
      <c r="Q182" t="s">
        <v>987</v>
      </c>
      <c r="R182" t="s">
        <v>556</v>
      </c>
      <c r="S182">
        <v>2013</v>
      </c>
      <c r="T182">
        <v>9</v>
      </c>
      <c r="U182" t="s">
        <v>452</v>
      </c>
      <c r="V182" t="s">
        <v>408</v>
      </c>
      <c r="W182">
        <v>0</v>
      </c>
      <c r="X182">
        <v>0</v>
      </c>
      <c r="Y182" t="s">
        <v>408</v>
      </c>
      <c r="Z182">
        <v>2013</v>
      </c>
      <c r="AA182">
        <v>2013</v>
      </c>
      <c r="AB182" s="5">
        <v>1.8433247917</v>
      </c>
      <c r="AC182" s="5">
        <v>3.6866495833999999</v>
      </c>
      <c r="AD182" t="s">
        <v>400</v>
      </c>
      <c r="AE182" t="s">
        <v>400</v>
      </c>
      <c r="AF182" t="s">
        <v>400</v>
      </c>
      <c r="AG182" t="s">
        <v>400</v>
      </c>
      <c r="AH182" t="s">
        <v>400</v>
      </c>
      <c r="AI182" t="s">
        <v>470</v>
      </c>
      <c r="AJ182" t="s">
        <v>400</v>
      </c>
      <c r="AK182" t="s">
        <v>400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 s="58">
        <f t="shared" si="2"/>
        <v>1</v>
      </c>
      <c r="AU182" s="79" t="s">
        <v>602</v>
      </c>
      <c r="AV182" s="78" t="s">
        <v>410</v>
      </c>
      <c r="AW182" t="s">
        <v>411</v>
      </c>
      <c r="AX182">
        <v>1</v>
      </c>
      <c r="AY182" t="s">
        <v>412</v>
      </c>
      <c r="AZ182" t="s">
        <v>408</v>
      </c>
    </row>
    <row r="183" spans="1:52" x14ac:dyDescent="0.3">
      <c r="A183">
        <v>172</v>
      </c>
      <c r="B183" t="s">
        <v>538</v>
      </c>
      <c r="C183" t="s">
        <v>152</v>
      </c>
      <c r="D183" t="s">
        <v>539</v>
      </c>
      <c r="E183" t="s">
        <v>417</v>
      </c>
      <c r="F183" t="s">
        <v>408</v>
      </c>
      <c r="G183">
        <v>2300</v>
      </c>
      <c r="H183">
        <v>2301</v>
      </c>
      <c r="I183" t="s">
        <v>988</v>
      </c>
      <c r="J183">
        <v>2472</v>
      </c>
      <c r="K183">
        <v>2483</v>
      </c>
      <c r="L183" t="s">
        <v>816</v>
      </c>
      <c r="M183">
        <v>3</v>
      </c>
      <c r="N183" t="s">
        <v>167</v>
      </c>
      <c r="O183" t="s">
        <v>167</v>
      </c>
      <c r="P183" t="s">
        <v>420</v>
      </c>
      <c r="Q183" t="s">
        <v>408</v>
      </c>
      <c r="R183" t="s">
        <v>624</v>
      </c>
      <c r="S183">
        <v>2004</v>
      </c>
      <c r="T183">
        <v>8</v>
      </c>
      <c r="U183" t="s">
        <v>989</v>
      </c>
      <c r="V183" t="s">
        <v>482</v>
      </c>
      <c r="W183">
        <v>2018</v>
      </c>
      <c r="X183">
        <v>11</v>
      </c>
      <c r="Y183" t="s">
        <v>818</v>
      </c>
      <c r="Z183">
        <v>2018</v>
      </c>
      <c r="AA183">
        <v>2018</v>
      </c>
      <c r="AB183" s="5">
        <v>0.30611801010200002</v>
      </c>
      <c r="AC183" s="5">
        <v>0.61223602020400003</v>
      </c>
      <c r="AD183" t="s">
        <v>408</v>
      </c>
      <c r="AE183" t="s">
        <v>152</v>
      </c>
      <c r="AF183" t="s">
        <v>408</v>
      </c>
      <c r="AG183" t="s">
        <v>408</v>
      </c>
      <c r="AH183" t="s">
        <v>408</v>
      </c>
      <c r="AI183" t="s">
        <v>408</v>
      </c>
      <c r="AJ183" t="s">
        <v>408</v>
      </c>
      <c r="AK183" t="s">
        <v>408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s="58">
        <f t="shared" si="2"/>
        <v>1</v>
      </c>
      <c r="AU183" s="79">
        <v>43336</v>
      </c>
      <c r="AV183" t="s">
        <v>410</v>
      </c>
      <c r="AW183" t="s">
        <v>408</v>
      </c>
      <c r="AX183">
        <v>2</v>
      </c>
      <c r="AY183" t="s">
        <v>412</v>
      </c>
      <c r="AZ183" t="s">
        <v>408</v>
      </c>
    </row>
    <row r="184" spans="1:52" x14ac:dyDescent="0.3">
      <c r="A184">
        <v>173</v>
      </c>
      <c r="B184" t="s">
        <v>990</v>
      </c>
      <c r="C184" t="s">
        <v>155</v>
      </c>
      <c r="D184" t="s">
        <v>326</v>
      </c>
      <c r="E184" t="s">
        <v>426</v>
      </c>
      <c r="F184" t="s">
        <v>408</v>
      </c>
      <c r="G184">
        <v>8059</v>
      </c>
      <c r="H184">
        <v>8058</v>
      </c>
      <c r="I184" t="s">
        <v>427</v>
      </c>
      <c r="J184">
        <v>7959</v>
      </c>
      <c r="K184">
        <v>7958</v>
      </c>
      <c r="L184" t="s">
        <v>551</v>
      </c>
      <c r="M184">
        <v>4</v>
      </c>
      <c r="N184" t="s">
        <v>167</v>
      </c>
      <c r="O184" t="s">
        <v>167</v>
      </c>
      <c r="P184" t="s">
        <v>403</v>
      </c>
      <c r="Q184" t="s">
        <v>991</v>
      </c>
      <c r="R184" t="s">
        <v>497</v>
      </c>
      <c r="S184">
        <v>2004</v>
      </c>
      <c r="T184">
        <v>9</v>
      </c>
      <c r="U184" t="s">
        <v>408</v>
      </c>
      <c r="V184" t="s">
        <v>453</v>
      </c>
      <c r="W184">
        <v>2011</v>
      </c>
      <c r="X184">
        <v>10</v>
      </c>
      <c r="Y184" t="s">
        <v>408</v>
      </c>
      <c r="Z184">
        <v>2011</v>
      </c>
      <c r="AA184">
        <v>0</v>
      </c>
      <c r="AB184" s="5">
        <v>0.25141213158600001</v>
      </c>
      <c r="AC184" s="5">
        <v>0.50282426317200002</v>
      </c>
      <c r="AD184" t="s">
        <v>408</v>
      </c>
      <c r="AE184" t="s">
        <v>152</v>
      </c>
      <c r="AF184" t="s">
        <v>408</v>
      </c>
      <c r="AG184" t="s">
        <v>408</v>
      </c>
      <c r="AH184" t="s">
        <v>408</v>
      </c>
      <c r="AI184" t="s">
        <v>408</v>
      </c>
      <c r="AJ184" t="s">
        <v>408</v>
      </c>
      <c r="AK184" t="s">
        <v>408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 s="58">
        <f t="shared" si="2"/>
        <v>1</v>
      </c>
      <c r="AU184" s="79">
        <v>43347</v>
      </c>
      <c r="AV184" t="s">
        <v>410</v>
      </c>
      <c r="AW184" t="s">
        <v>408</v>
      </c>
      <c r="AX184">
        <v>3</v>
      </c>
      <c r="AY184" t="s">
        <v>412</v>
      </c>
      <c r="AZ184" t="s">
        <v>408</v>
      </c>
    </row>
    <row r="185" spans="1:52" x14ac:dyDescent="0.3">
      <c r="A185">
        <v>174</v>
      </c>
      <c r="B185" t="s">
        <v>992</v>
      </c>
      <c r="C185" t="s">
        <v>154</v>
      </c>
      <c r="D185" t="s">
        <v>993</v>
      </c>
      <c r="E185" t="s">
        <v>466</v>
      </c>
      <c r="F185" t="s">
        <v>400</v>
      </c>
      <c r="G185">
        <v>2359</v>
      </c>
      <c r="H185">
        <v>2358</v>
      </c>
      <c r="I185" t="s">
        <v>994</v>
      </c>
      <c r="J185">
        <v>2301</v>
      </c>
      <c r="K185">
        <v>2300</v>
      </c>
      <c r="L185" t="s">
        <v>625</v>
      </c>
      <c r="M185">
        <v>3</v>
      </c>
      <c r="N185" t="s">
        <v>163</v>
      </c>
      <c r="O185" t="s">
        <v>995</v>
      </c>
      <c r="P185" t="s">
        <v>403</v>
      </c>
      <c r="Q185" t="s">
        <v>408</v>
      </c>
      <c r="R185" t="s">
        <v>740</v>
      </c>
      <c r="S185">
        <v>2022</v>
      </c>
      <c r="T185">
        <v>9</v>
      </c>
      <c r="U185" t="s">
        <v>996</v>
      </c>
      <c r="V185" t="s">
        <v>408</v>
      </c>
      <c r="W185">
        <v>0</v>
      </c>
      <c r="X185">
        <v>0</v>
      </c>
      <c r="Y185" t="s">
        <v>408</v>
      </c>
      <c r="Z185">
        <v>2021</v>
      </c>
      <c r="AA185">
        <v>2014</v>
      </c>
      <c r="AB185" s="5">
        <v>0.12545981004199999</v>
      </c>
      <c r="AC185" s="5">
        <v>0.25091962008399998</v>
      </c>
      <c r="AD185" t="s">
        <v>400</v>
      </c>
      <c r="AE185" t="s">
        <v>152</v>
      </c>
      <c r="AF185" t="s">
        <v>400</v>
      </c>
      <c r="AG185" t="s">
        <v>152</v>
      </c>
      <c r="AH185" t="s">
        <v>408</v>
      </c>
      <c r="AI185" t="s">
        <v>744</v>
      </c>
      <c r="AJ185" t="s">
        <v>152</v>
      </c>
      <c r="AK185" t="s">
        <v>408</v>
      </c>
      <c r="AL185">
        <v>2022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 s="58">
        <f t="shared" si="2"/>
        <v>1</v>
      </c>
      <c r="AU185" s="79" t="s">
        <v>457</v>
      </c>
      <c r="AV185" s="78" t="s">
        <v>410</v>
      </c>
      <c r="AW185" t="s">
        <v>411</v>
      </c>
      <c r="AX185">
        <v>2</v>
      </c>
      <c r="AY185" t="s">
        <v>412</v>
      </c>
      <c r="AZ185" t="s">
        <v>408</v>
      </c>
    </row>
    <row r="186" spans="1:52" x14ac:dyDescent="0.3">
      <c r="A186">
        <v>175</v>
      </c>
      <c r="B186" t="s">
        <v>997</v>
      </c>
      <c r="C186" t="s">
        <v>154</v>
      </c>
      <c r="D186" t="s">
        <v>998</v>
      </c>
      <c r="E186" t="s">
        <v>417</v>
      </c>
      <c r="F186" t="s">
        <v>408</v>
      </c>
      <c r="G186">
        <v>541</v>
      </c>
      <c r="H186">
        <v>540</v>
      </c>
      <c r="I186" t="s">
        <v>999</v>
      </c>
      <c r="J186">
        <v>571</v>
      </c>
      <c r="K186">
        <v>571</v>
      </c>
      <c r="L186" t="s">
        <v>1000</v>
      </c>
      <c r="M186">
        <v>4</v>
      </c>
      <c r="N186" t="s">
        <v>167</v>
      </c>
      <c r="O186" t="s">
        <v>167</v>
      </c>
      <c r="P186" t="s">
        <v>420</v>
      </c>
      <c r="Q186" t="s">
        <v>408</v>
      </c>
      <c r="R186" t="s">
        <v>748</v>
      </c>
      <c r="S186">
        <v>2003</v>
      </c>
      <c r="T186">
        <v>8</v>
      </c>
      <c r="U186" t="s">
        <v>408</v>
      </c>
      <c r="V186" t="s">
        <v>645</v>
      </c>
      <c r="W186">
        <v>2017</v>
      </c>
      <c r="X186">
        <v>9</v>
      </c>
      <c r="Y186" t="s">
        <v>408</v>
      </c>
      <c r="Z186">
        <v>2017</v>
      </c>
      <c r="AA186">
        <v>2016</v>
      </c>
      <c r="AB186" s="5">
        <v>7.58228719547E-2</v>
      </c>
      <c r="AC186" s="5">
        <v>0.15164574390900001</v>
      </c>
      <c r="AD186" t="s">
        <v>408</v>
      </c>
      <c r="AE186" t="s">
        <v>152</v>
      </c>
      <c r="AF186" t="s">
        <v>408</v>
      </c>
      <c r="AG186" t="s">
        <v>408</v>
      </c>
      <c r="AH186" t="s">
        <v>408</v>
      </c>
      <c r="AI186" t="s">
        <v>408</v>
      </c>
      <c r="AJ186" t="s">
        <v>408</v>
      </c>
      <c r="AK186" t="s">
        <v>408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 s="58">
        <f t="shared" si="2"/>
        <v>1</v>
      </c>
      <c r="AU186" s="79">
        <v>43347</v>
      </c>
      <c r="AV186" s="78" t="s">
        <v>410</v>
      </c>
      <c r="AW186" t="s">
        <v>408</v>
      </c>
      <c r="AX186">
        <v>2</v>
      </c>
      <c r="AY186" t="s">
        <v>412</v>
      </c>
      <c r="AZ186" t="s">
        <v>408</v>
      </c>
    </row>
    <row r="187" spans="1:52" x14ac:dyDescent="0.3">
      <c r="A187">
        <v>176</v>
      </c>
      <c r="B187" t="s">
        <v>1001</v>
      </c>
      <c r="C187" t="s">
        <v>155</v>
      </c>
      <c r="D187" t="s">
        <v>1002</v>
      </c>
      <c r="E187" t="s">
        <v>460</v>
      </c>
      <c r="F187" t="s">
        <v>408</v>
      </c>
      <c r="G187">
        <v>3701</v>
      </c>
      <c r="H187">
        <v>3700</v>
      </c>
      <c r="I187" t="s">
        <v>1003</v>
      </c>
      <c r="J187">
        <v>3501</v>
      </c>
      <c r="K187">
        <v>3500</v>
      </c>
      <c r="L187" t="s">
        <v>1004</v>
      </c>
      <c r="M187">
        <v>2</v>
      </c>
      <c r="N187" t="s">
        <v>167</v>
      </c>
      <c r="O187" t="s">
        <v>167</v>
      </c>
      <c r="P187" t="s">
        <v>420</v>
      </c>
      <c r="Q187" t="s">
        <v>408</v>
      </c>
      <c r="R187" t="s">
        <v>976</v>
      </c>
      <c r="S187">
        <v>2000</v>
      </c>
      <c r="T187">
        <v>9</v>
      </c>
      <c r="U187" t="s">
        <v>408</v>
      </c>
      <c r="V187" t="s">
        <v>511</v>
      </c>
      <c r="W187">
        <v>2018</v>
      </c>
      <c r="X187">
        <v>7</v>
      </c>
      <c r="Y187" t="s">
        <v>370</v>
      </c>
      <c r="Z187">
        <v>2018</v>
      </c>
      <c r="AA187">
        <v>2018</v>
      </c>
      <c r="AB187" s="5">
        <v>0.32344566408100001</v>
      </c>
      <c r="AC187" s="5">
        <v>0.64689132816200001</v>
      </c>
      <c r="AD187" t="s">
        <v>408</v>
      </c>
      <c r="AE187" t="s">
        <v>152</v>
      </c>
      <c r="AF187" t="s">
        <v>408</v>
      </c>
      <c r="AG187" t="s">
        <v>408</v>
      </c>
      <c r="AH187" t="s">
        <v>408</v>
      </c>
      <c r="AI187" t="s">
        <v>408</v>
      </c>
      <c r="AJ187" t="s">
        <v>408</v>
      </c>
      <c r="AK187" t="s">
        <v>408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 s="58">
        <f t="shared" si="2"/>
        <v>1</v>
      </c>
      <c r="AU187" s="79">
        <v>43347</v>
      </c>
      <c r="AV187" t="s">
        <v>410</v>
      </c>
      <c r="AW187" t="s">
        <v>408</v>
      </c>
      <c r="AX187">
        <v>2</v>
      </c>
      <c r="AY187" t="s">
        <v>412</v>
      </c>
      <c r="AZ187" t="s">
        <v>408</v>
      </c>
    </row>
    <row r="188" spans="1:52" x14ac:dyDescent="0.3">
      <c r="A188">
        <v>177</v>
      </c>
      <c r="B188" t="s">
        <v>477</v>
      </c>
      <c r="C188" t="s">
        <v>155</v>
      </c>
      <c r="D188" t="s">
        <v>478</v>
      </c>
      <c r="E188" t="s">
        <v>417</v>
      </c>
      <c r="F188" t="s">
        <v>408</v>
      </c>
      <c r="G188">
        <v>3868</v>
      </c>
      <c r="H188">
        <v>3859</v>
      </c>
      <c r="I188" t="s">
        <v>1005</v>
      </c>
      <c r="J188">
        <v>3312</v>
      </c>
      <c r="K188">
        <v>3301</v>
      </c>
      <c r="L188" t="s">
        <v>1006</v>
      </c>
      <c r="M188">
        <v>2</v>
      </c>
      <c r="N188" t="s">
        <v>167</v>
      </c>
      <c r="O188" t="s">
        <v>167</v>
      </c>
      <c r="P188" t="s">
        <v>420</v>
      </c>
      <c r="Q188" t="s">
        <v>408</v>
      </c>
      <c r="R188" t="s">
        <v>1007</v>
      </c>
      <c r="S188">
        <v>2003</v>
      </c>
      <c r="T188">
        <v>9</v>
      </c>
      <c r="U188" t="s">
        <v>408</v>
      </c>
      <c r="V188" t="s">
        <v>662</v>
      </c>
      <c r="W188">
        <v>2016</v>
      </c>
      <c r="X188">
        <v>6</v>
      </c>
      <c r="Y188" t="s">
        <v>370</v>
      </c>
      <c r="Z188">
        <v>2016</v>
      </c>
      <c r="AA188">
        <v>2016</v>
      </c>
      <c r="AB188" s="5">
        <v>0.75518284214099995</v>
      </c>
      <c r="AC188" s="5">
        <v>1.51036568428</v>
      </c>
      <c r="AD188" t="s">
        <v>408</v>
      </c>
      <c r="AE188" t="s">
        <v>152</v>
      </c>
      <c r="AF188" t="s">
        <v>408</v>
      </c>
      <c r="AG188" t="s">
        <v>408</v>
      </c>
      <c r="AH188" t="s">
        <v>408</v>
      </c>
      <c r="AI188" t="s">
        <v>408</v>
      </c>
      <c r="AJ188" t="s">
        <v>408</v>
      </c>
      <c r="AK188" t="s">
        <v>408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 s="58">
        <f t="shared" si="2"/>
        <v>1</v>
      </c>
      <c r="AU188" s="79">
        <v>43349</v>
      </c>
      <c r="AV188" s="78" t="s">
        <v>410</v>
      </c>
      <c r="AW188" t="s">
        <v>408</v>
      </c>
      <c r="AX188">
        <v>2</v>
      </c>
      <c r="AY188" t="s">
        <v>412</v>
      </c>
      <c r="AZ188" t="s">
        <v>408</v>
      </c>
    </row>
    <row r="189" spans="1:52" x14ac:dyDescent="0.3">
      <c r="A189">
        <v>178</v>
      </c>
      <c r="B189" t="s">
        <v>745</v>
      </c>
      <c r="C189" t="s">
        <v>152</v>
      </c>
      <c r="D189" t="s">
        <v>746</v>
      </c>
      <c r="E189" t="s">
        <v>460</v>
      </c>
      <c r="F189" t="s">
        <v>408</v>
      </c>
      <c r="G189">
        <v>2</v>
      </c>
      <c r="H189">
        <v>1</v>
      </c>
      <c r="I189" t="s">
        <v>536</v>
      </c>
      <c r="J189">
        <v>186</v>
      </c>
      <c r="K189">
        <v>189</v>
      </c>
      <c r="L189" t="s">
        <v>628</v>
      </c>
      <c r="M189">
        <v>3</v>
      </c>
      <c r="N189" t="s">
        <v>167</v>
      </c>
      <c r="O189" t="s">
        <v>167</v>
      </c>
      <c r="P189" t="s">
        <v>420</v>
      </c>
      <c r="Q189" t="s">
        <v>408</v>
      </c>
      <c r="R189" t="s">
        <v>748</v>
      </c>
      <c r="S189">
        <v>2004</v>
      </c>
      <c r="T189">
        <v>9</v>
      </c>
      <c r="U189" t="s">
        <v>408</v>
      </c>
      <c r="V189" t="s">
        <v>749</v>
      </c>
      <c r="W189">
        <v>2021</v>
      </c>
      <c r="X189">
        <v>0</v>
      </c>
      <c r="Y189" t="s">
        <v>408</v>
      </c>
      <c r="Z189">
        <v>2021</v>
      </c>
      <c r="AA189">
        <v>2009</v>
      </c>
      <c r="AB189" s="5">
        <v>0.32651318195899998</v>
      </c>
      <c r="AC189" s="5">
        <v>0.65302636391799995</v>
      </c>
      <c r="AD189" t="s">
        <v>408</v>
      </c>
      <c r="AE189" t="s">
        <v>152</v>
      </c>
      <c r="AF189" t="s">
        <v>408</v>
      </c>
      <c r="AG189" t="s">
        <v>408</v>
      </c>
      <c r="AH189" t="s">
        <v>408</v>
      </c>
      <c r="AI189" t="s">
        <v>408</v>
      </c>
      <c r="AJ189" t="s">
        <v>408</v>
      </c>
      <c r="AK189" t="s">
        <v>408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 s="58">
        <f t="shared" si="2"/>
        <v>1</v>
      </c>
      <c r="AU189" s="79" t="s">
        <v>750</v>
      </c>
      <c r="AV189" s="78" t="s">
        <v>410</v>
      </c>
      <c r="AW189" t="s">
        <v>400</v>
      </c>
      <c r="AX189">
        <v>2</v>
      </c>
      <c r="AY189" t="s">
        <v>412</v>
      </c>
      <c r="AZ189" t="s">
        <v>408</v>
      </c>
    </row>
    <row r="190" spans="1:52" x14ac:dyDescent="0.3">
      <c r="A190">
        <v>179</v>
      </c>
      <c r="B190" t="s">
        <v>1008</v>
      </c>
      <c r="C190" t="s">
        <v>154</v>
      </c>
      <c r="D190" t="s">
        <v>1009</v>
      </c>
      <c r="E190" t="s">
        <v>417</v>
      </c>
      <c r="F190" t="s">
        <v>408</v>
      </c>
      <c r="G190">
        <v>2138</v>
      </c>
      <c r="H190">
        <v>2135</v>
      </c>
      <c r="I190" t="s">
        <v>1010</v>
      </c>
      <c r="J190">
        <v>1700</v>
      </c>
      <c r="K190">
        <v>1655</v>
      </c>
      <c r="L190" t="s">
        <v>728</v>
      </c>
      <c r="M190">
        <v>3</v>
      </c>
      <c r="N190" t="s">
        <v>167</v>
      </c>
      <c r="O190" t="s">
        <v>167</v>
      </c>
      <c r="P190" t="s">
        <v>420</v>
      </c>
      <c r="Q190" t="s">
        <v>408</v>
      </c>
      <c r="R190" t="s">
        <v>1011</v>
      </c>
      <c r="S190">
        <v>2003</v>
      </c>
      <c r="T190">
        <v>10</v>
      </c>
      <c r="U190" t="s">
        <v>408</v>
      </c>
      <c r="V190" t="s">
        <v>469</v>
      </c>
      <c r="W190">
        <v>2018</v>
      </c>
      <c r="X190">
        <v>7</v>
      </c>
      <c r="Y190" t="s">
        <v>1012</v>
      </c>
      <c r="Z190">
        <v>2018</v>
      </c>
      <c r="AA190">
        <v>2014</v>
      </c>
      <c r="AB190" s="5">
        <v>0.59424880571399996</v>
      </c>
      <c r="AC190" s="5">
        <v>1.1884976114300001</v>
      </c>
      <c r="AD190" t="s">
        <v>408</v>
      </c>
      <c r="AE190" t="s">
        <v>152</v>
      </c>
      <c r="AF190" t="s">
        <v>408</v>
      </c>
      <c r="AG190" t="s">
        <v>408</v>
      </c>
      <c r="AH190" t="s">
        <v>408</v>
      </c>
      <c r="AI190" t="s">
        <v>408</v>
      </c>
      <c r="AJ190" t="s">
        <v>408</v>
      </c>
      <c r="AK190" t="s">
        <v>408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s="58">
        <f t="shared" si="2"/>
        <v>1</v>
      </c>
      <c r="AU190" s="79">
        <v>43347</v>
      </c>
      <c r="AV190" t="s">
        <v>410</v>
      </c>
      <c r="AW190" t="s">
        <v>408</v>
      </c>
      <c r="AX190">
        <v>2</v>
      </c>
      <c r="AY190" t="s">
        <v>412</v>
      </c>
      <c r="AZ190" t="s">
        <v>408</v>
      </c>
    </row>
    <row r="191" spans="1:52" x14ac:dyDescent="0.3">
      <c r="A191">
        <v>180</v>
      </c>
      <c r="B191" t="s">
        <v>837</v>
      </c>
      <c r="C191" t="s">
        <v>154</v>
      </c>
      <c r="D191" t="s">
        <v>838</v>
      </c>
      <c r="E191" t="s">
        <v>460</v>
      </c>
      <c r="F191" t="s">
        <v>408</v>
      </c>
      <c r="G191">
        <v>3226</v>
      </c>
      <c r="H191">
        <v>3225</v>
      </c>
      <c r="I191" t="s">
        <v>1013</v>
      </c>
      <c r="J191">
        <v>2530</v>
      </c>
      <c r="K191">
        <v>2531</v>
      </c>
      <c r="L191" t="s">
        <v>1014</v>
      </c>
      <c r="M191">
        <v>2</v>
      </c>
      <c r="N191" t="s">
        <v>167</v>
      </c>
      <c r="O191" t="s">
        <v>167</v>
      </c>
      <c r="P191" t="s">
        <v>420</v>
      </c>
      <c r="Q191" t="s">
        <v>1015</v>
      </c>
      <c r="R191" t="s">
        <v>510</v>
      </c>
      <c r="S191">
        <v>2002</v>
      </c>
      <c r="T191">
        <v>7</v>
      </c>
      <c r="U191" t="s">
        <v>408</v>
      </c>
      <c r="V191" t="s">
        <v>487</v>
      </c>
      <c r="W191">
        <v>2020</v>
      </c>
      <c r="X191">
        <v>0</v>
      </c>
      <c r="Y191" t="s">
        <v>408</v>
      </c>
      <c r="Z191">
        <v>2020</v>
      </c>
      <c r="AA191">
        <v>0</v>
      </c>
      <c r="AB191" s="5">
        <v>0.61673272874700003</v>
      </c>
      <c r="AC191" s="5">
        <v>1.2334654574899999</v>
      </c>
      <c r="AD191" t="s">
        <v>408</v>
      </c>
      <c r="AE191" t="s">
        <v>152</v>
      </c>
      <c r="AF191" t="s">
        <v>408</v>
      </c>
      <c r="AG191" t="s">
        <v>408</v>
      </c>
      <c r="AH191" t="s">
        <v>408</v>
      </c>
      <c r="AI191" t="s">
        <v>408</v>
      </c>
      <c r="AJ191" t="s">
        <v>408</v>
      </c>
      <c r="AK191" t="s">
        <v>408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s="58">
        <f t="shared" si="2"/>
        <v>1</v>
      </c>
      <c r="AU191" s="79" t="s">
        <v>488</v>
      </c>
      <c r="AV191" t="s">
        <v>410</v>
      </c>
      <c r="AW191" t="s">
        <v>408</v>
      </c>
      <c r="AX191">
        <v>2</v>
      </c>
      <c r="AY191" t="s">
        <v>412</v>
      </c>
      <c r="AZ191" t="s">
        <v>408</v>
      </c>
    </row>
    <row r="192" spans="1:52" x14ac:dyDescent="0.3">
      <c r="A192">
        <v>181</v>
      </c>
      <c r="B192" t="s">
        <v>688</v>
      </c>
      <c r="C192" t="s">
        <v>155</v>
      </c>
      <c r="D192" t="s">
        <v>689</v>
      </c>
      <c r="E192" t="s">
        <v>426</v>
      </c>
      <c r="F192" t="s">
        <v>400</v>
      </c>
      <c r="G192">
        <v>6600</v>
      </c>
      <c r="H192">
        <v>6601</v>
      </c>
      <c r="I192" t="s">
        <v>1016</v>
      </c>
      <c r="J192">
        <v>6300</v>
      </c>
      <c r="K192">
        <v>6301</v>
      </c>
      <c r="L192" t="s">
        <v>1017</v>
      </c>
      <c r="M192">
        <v>3</v>
      </c>
      <c r="N192" t="s">
        <v>165</v>
      </c>
      <c r="O192" t="s">
        <v>165</v>
      </c>
      <c r="P192" t="s">
        <v>403</v>
      </c>
      <c r="Q192" t="s">
        <v>408</v>
      </c>
      <c r="R192" t="s">
        <v>742</v>
      </c>
      <c r="S192">
        <v>2017</v>
      </c>
      <c r="T192">
        <v>6</v>
      </c>
      <c r="U192" t="s">
        <v>1018</v>
      </c>
      <c r="V192" t="s">
        <v>408</v>
      </c>
      <c r="W192">
        <v>0</v>
      </c>
      <c r="X192">
        <v>0</v>
      </c>
      <c r="Y192" t="s">
        <v>408</v>
      </c>
      <c r="Z192">
        <v>2017</v>
      </c>
      <c r="AA192">
        <v>2017</v>
      </c>
      <c r="AB192" s="5">
        <v>0.37643088495100002</v>
      </c>
      <c r="AC192" s="5">
        <v>0.75286176990200004</v>
      </c>
      <c r="AD192" t="s">
        <v>400</v>
      </c>
      <c r="AE192" t="s">
        <v>152</v>
      </c>
      <c r="AF192" t="s">
        <v>400</v>
      </c>
      <c r="AG192" t="s">
        <v>400</v>
      </c>
      <c r="AH192" t="s">
        <v>400</v>
      </c>
      <c r="AI192" t="s">
        <v>400</v>
      </c>
      <c r="AJ192" t="s">
        <v>400</v>
      </c>
      <c r="AK192" t="s">
        <v>408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 s="58">
        <f t="shared" si="2"/>
        <v>1</v>
      </c>
      <c r="AU192" s="79" t="s">
        <v>602</v>
      </c>
      <c r="AV192" s="78" t="s">
        <v>410</v>
      </c>
      <c r="AW192" t="s">
        <v>411</v>
      </c>
      <c r="AX192">
        <v>2</v>
      </c>
      <c r="AY192" t="s">
        <v>412</v>
      </c>
      <c r="AZ192" t="s">
        <v>408</v>
      </c>
    </row>
    <row r="193" spans="1:52" x14ac:dyDescent="0.3">
      <c r="A193">
        <v>182</v>
      </c>
      <c r="B193" t="s">
        <v>720</v>
      </c>
      <c r="C193" t="s">
        <v>152</v>
      </c>
      <c r="D193" t="s">
        <v>721</v>
      </c>
      <c r="E193" t="s">
        <v>460</v>
      </c>
      <c r="F193" t="s">
        <v>408</v>
      </c>
      <c r="G193">
        <v>5200</v>
      </c>
      <c r="H193">
        <v>5201</v>
      </c>
      <c r="I193" t="s">
        <v>1019</v>
      </c>
      <c r="J193">
        <v>5600</v>
      </c>
      <c r="K193">
        <v>5601</v>
      </c>
      <c r="L193" t="s">
        <v>841</v>
      </c>
      <c r="M193">
        <v>2</v>
      </c>
      <c r="N193" t="s">
        <v>167</v>
      </c>
      <c r="O193" t="s">
        <v>167</v>
      </c>
      <c r="P193" t="s">
        <v>420</v>
      </c>
      <c r="Q193" t="s">
        <v>408</v>
      </c>
      <c r="R193" t="s">
        <v>713</v>
      </c>
      <c r="S193">
        <v>2021</v>
      </c>
      <c r="T193">
        <v>10</v>
      </c>
      <c r="U193" t="s">
        <v>408</v>
      </c>
      <c r="V193" t="s">
        <v>408</v>
      </c>
      <c r="W193">
        <v>0</v>
      </c>
      <c r="X193">
        <v>0</v>
      </c>
      <c r="Y193" t="s">
        <v>408</v>
      </c>
      <c r="Z193">
        <v>2021</v>
      </c>
      <c r="AA193">
        <v>2021</v>
      </c>
      <c r="AB193" s="5">
        <v>0.50533064341099998</v>
      </c>
      <c r="AC193" s="5">
        <v>1.01066128682</v>
      </c>
      <c r="AD193" t="s">
        <v>408</v>
      </c>
      <c r="AE193" t="s">
        <v>152</v>
      </c>
      <c r="AF193" t="s">
        <v>408</v>
      </c>
      <c r="AG193" t="s">
        <v>152</v>
      </c>
      <c r="AH193" t="s">
        <v>408</v>
      </c>
      <c r="AI193" t="s">
        <v>408</v>
      </c>
      <c r="AJ193" t="s">
        <v>408</v>
      </c>
      <c r="AK193" t="s">
        <v>408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 s="58">
        <f t="shared" si="2"/>
        <v>1</v>
      </c>
      <c r="AU193" s="79" t="s">
        <v>784</v>
      </c>
      <c r="AV193" s="78" t="s">
        <v>410</v>
      </c>
      <c r="AW193" t="s">
        <v>152</v>
      </c>
      <c r="AX193">
        <v>2</v>
      </c>
      <c r="AY193" t="s">
        <v>412</v>
      </c>
      <c r="AZ193" t="s">
        <v>408</v>
      </c>
    </row>
    <row r="194" spans="1:52" x14ac:dyDescent="0.3">
      <c r="A194">
        <v>183</v>
      </c>
      <c r="B194" t="s">
        <v>1020</v>
      </c>
      <c r="C194" t="s">
        <v>155</v>
      </c>
      <c r="D194" t="s">
        <v>1021</v>
      </c>
      <c r="E194" t="s">
        <v>460</v>
      </c>
      <c r="F194" t="s">
        <v>408</v>
      </c>
      <c r="G194">
        <v>8406</v>
      </c>
      <c r="H194">
        <v>8403</v>
      </c>
      <c r="I194" t="s">
        <v>1022</v>
      </c>
      <c r="J194">
        <v>8300</v>
      </c>
      <c r="K194">
        <v>8301</v>
      </c>
      <c r="L194" t="s">
        <v>1023</v>
      </c>
      <c r="M194">
        <v>3</v>
      </c>
      <c r="N194" t="s">
        <v>165</v>
      </c>
      <c r="O194" t="s">
        <v>165</v>
      </c>
      <c r="P194" t="s">
        <v>403</v>
      </c>
      <c r="Q194" t="s">
        <v>408</v>
      </c>
      <c r="R194" t="s">
        <v>482</v>
      </c>
      <c r="S194">
        <v>2018</v>
      </c>
      <c r="T194">
        <v>8</v>
      </c>
      <c r="U194" t="s">
        <v>370</v>
      </c>
      <c r="V194" t="s">
        <v>408</v>
      </c>
      <c r="W194">
        <v>0</v>
      </c>
      <c r="X194">
        <v>0</v>
      </c>
      <c r="Y194" t="s">
        <v>408</v>
      </c>
      <c r="Z194">
        <v>2018</v>
      </c>
      <c r="AA194">
        <v>2018</v>
      </c>
      <c r="AB194" s="5">
        <v>0.20300550391200001</v>
      </c>
      <c r="AC194" s="5">
        <v>0.40601100782400001</v>
      </c>
      <c r="AD194" t="s">
        <v>408</v>
      </c>
      <c r="AE194" t="s">
        <v>152</v>
      </c>
      <c r="AF194" t="s">
        <v>408</v>
      </c>
      <c r="AG194" t="s">
        <v>408</v>
      </c>
      <c r="AH194" t="s">
        <v>408</v>
      </c>
      <c r="AI194" t="s">
        <v>408</v>
      </c>
      <c r="AJ194" t="s">
        <v>408</v>
      </c>
      <c r="AK194" t="s">
        <v>408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 s="58">
        <f t="shared" si="2"/>
        <v>1</v>
      </c>
      <c r="AU194" s="79">
        <v>43347</v>
      </c>
      <c r="AV194" s="78" t="s">
        <v>410</v>
      </c>
      <c r="AW194" t="s">
        <v>1024</v>
      </c>
      <c r="AX194">
        <v>3</v>
      </c>
      <c r="AY194" t="s">
        <v>412</v>
      </c>
      <c r="AZ194" t="s">
        <v>408</v>
      </c>
    </row>
    <row r="195" spans="1:52" x14ac:dyDescent="0.3">
      <c r="A195">
        <v>184</v>
      </c>
      <c r="B195" t="s">
        <v>806</v>
      </c>
      <c r="C195" t="s">
        <v>155</v>
      </c>
      <c r="D195" t="s">
        <v>807</v>
      </c>
      <c r="E195" t="s">
        <v>460</v>
      </c>
      <c r="F195" t="s">
        <v>408</v>
      </c>
      <c r="G195">
        <v>2499</v>
      </c>
      <c r="H195">
        <v>2498</v>
      </c>
      <c r="I195" t="s">
        <v>1025</v>
      </c>
      <c r="J195">
        <v>2297</v>
      </c>
      <c r="K195">
        <v>2298</v>
      </c>
      <c r="L195" t="s">
        <v>808</v>
      </c>
      <c r="M195">
        <v>3</v>
      </c>
      <c r="N195" t="s">
        <v>167</v>
      </c>
      <c r="O195" t="s">
        <v>167</v>
      </c>
      <c r="P195" t="s">
        <v>420</v>
      </c>
      <c r="Q195" t="s">
        <v>408</v>
      </c>
      <c r="R195" t="s">
        <v>497</v>
      </c>
      <c r="S195">
        <v>2004</v>
      </c>
      <c r="T195">
        <v>9</v>
      </c>
      <c r="U195" t="s">
        <v>408</v>
      </c>
      <c r="V195" t="s">
        <v>695</v>
      </c>
      <c r="W195">
        <v>2020</v>
      </c>
      <c r="X195">
        <v>2020</v>
      </c>
      <c r="Y195" t="s">
        <v>370</v>
      </c>
      <c r="Z195">
        <v>2020</v>
      </c>
      <c r="AA195">
        <v>2020</v>
      </c>
      <c r="AB195" s="5">
        <v>0.49677990175600001</v>
      </c>
      <c r="AC195" s="5">
        <v>0.99355980351200002</v>
      </c>
      <c r="AD195" t="s">
        <v>408</v>
      </c>
      <c r="AE195" t="s">
        <v>152</v>
      </c>
      <c r="AF195" t="s">
        <v>408</v>
      </c>
      <c r="AG195" t="s">
        <v>408</v>
      </c>
      <c r="AH195" t="s">
        <v>408</v>
      </c>
      <c r="AI195" t="s">
        <v>408</v>
      </c>
      <c r="AJ195" t="s">
        <v>408</v>
      </c>
      <c r="AK195" t="s">
        <v>408</v>
      </c>
      <c r="AL195">
        <v>0</v>
      </c>
      <c r="AM195">
        <v>0</v>
      </c>
      <c r="AN195">
        <v>0</v>
      </c>
      <c r="AO195">
        <v>0</v>
      </c>
      <c r="AP195">
        <v>0.5</v>
      </c>
      <c r="AQ195">
        <v>0.5</v>
      </c>
      <c r="AR195">
        <v>0</v>
      </c>
      <c r="AS195">
        <v>0</v>
      </c>
      <c r="AT195" s="58">
        <f t="shared" si="2"/>
        <v>1</v>
      </c>
      <c r="AU195" s="79" t="s">
        <v>431</v>
      </c>
      <c r="AV195" s="78" t="s">
        <v>410</v>
      </c>
      <c r="AW195" t="s">
        <v>408</v>
      </c>
      <c r="AX195">
        <v>2</v>
      </c>
      <c r="AY195" t="s">
        <v>412</v>
      </c>
      <c r="AZ195" t="s">
        <v>408</v>
      </c>
    </row>
    <row r="196" spans="1:52" x14ac:dyDescent="0.3">
      <c r="A196">
        <v>185</v>
      </c>
      <c r="B196" t="s">
        <v>1026</v>
      </c>
      <c r="C196" t="s">
        <v>155</v>
      </c>
      <c r="D196" t="s">
        <v>881</v>
      </c>
      <c r="E196" t="s">
        <v>460</v>
      </c>
      <c r="F196" t="s">
        <v>408</v>
      </c>
      <c r="G196">
        <v>1201</v>
      </c>
      <c r="H196">
        <v>1200</v>
      </c>
      <c r="I196" t="s">
        <v>492</v>
      </c>
      <c r="J196">
        <v>3500</v>
      </c>
      <c r="K196">
        <v>3501</v>
      </c>
      <c r="L196" t="s">
        <v>631</v>
      </c>
      <c r="M196">
        <v>3</v>
      </c>
      <c r="N196" t="s">
        <v>167</v>
      </c>
      <c r="O196" t="s">
        <v>167</v>
      </c>
      <c r="P196" t="s">
        <v>420</v>
      </c>
      <c r="Q196" t="s">
        <v>408</v>
      </c>
      <c r="R196" t="s">
        <v>497</v>
      </c>
      <c r="S196">
        <v>2003</v>
      </c>
      <c r="T196">
        <v>9</v>
      </c>
      <c r="U196" t="s">
        <v>408</v>
      </c>
      <c r="V196" t="s">
        <v>742</v>
      </c>
      <c r="W196">
        <v>2016</v>
      </c>
      <c r="X196">
        <v>10</v>
      </c>
      <c r="Y196" t="s">
        <v>370</v>
      </c>
      <c r="Z196">
        <v>2016</v>
      </c>
      <c r="AA196">
        <v>2016</v>
      </c>
      <c r="AB196" s="5">
        <v>1.0097078723499999</v>
      </c>
      <c r="AC196" s="5">
        <v>2.0194157446999998</v>
      </c>
      <c r="AD196" t="s">
        <v>408</v>
      </c>
      <c r="AE196" t="s">
        <v>152</v>
      </c>
      <c r="AF196" t="s">
        <v>408</v>
      </c>
      <c r="AG196" t="s">
        <v>408</v>
      </c>
      <c r="AH196" t="s">
        <v>408</v>
      </c>
      <c r="AI196" t="s">
        <v>408</v>
      </c>
      <c r="AJ196" t="s">
        <v>408</v>
      </c>
      <c r="AK196" t="s">
        <v>408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s="58">
        <f t="shared" si="2"/>
        <v>1</v>
      </c>
      <c r="AU196" s="79">
        <v>43343</v>
      </c>
      <c r="AV196" s="78" t="s">
        <v>410</v>
      </c>
      <c r="AW196" t="s">
        <v>408</v>
      </c>
      <c r="AX196">
        <v>2</v>
      </c>
      <c r="AY196" t="s">
        <v>412</v>
      </c>
      <c r="AZ196" t="s">
        <v>408</v>
      </c>
    </row>
    <row r="197" spans="1:52" x14ac:dyDescent="0.3">
      <c r="A197">
        <v>186</v>
      </c>
      <c r="B197" t="s">
        <v>557</v>
      </c>
      <c r="C197" t="s">
        <v>152</v>
      </c>
      <c r="D197" t="s">
        <v>558</v>
      </c>
      <c r="E197" t="s">
        <v>460</v>
      </c>
      <c r="F197" t="s">
        <v>408</v>
      </c>
      <c r="G197">
        <v>6134</v>
      </c>
      <c r="H197">
        <v>6133</v>
      </c>
      <c r="I197" t="s">
        <v>560</v>
      </c>
      <c r="J197">
        <v>6362</v>
      </c>
      <c r="K197">
        <v>6377</v>
      </c>
      <c r="L197" t="s">
        <v>615</v>
      </c>
      <c r="M197">
        <v>3</v>
      </c>
      <c r="N197" t="s">
        <v>165</v>
      </c>
      <c r="O197" t="s">
        <v>165</v>
      </c>
      <c r="P197" t="s">
        <v>403</v>
      </c>
      <c r="Q197" t="s">
        <v>408</v>
      </c>
      <c r="R197" t="s">
        <v>910</v>
      </c>
      <c r="S197">
        <v>2017</v>
      </c>
      <c r="T197">
        <v>7</v>
      </c>
      <c r="U197" t="s">
        <v>370</v>
      </c>
      <c r="V197" t="s">
        <v>408</v>
      </c>
      <c r="W197">
        <v>0</v>
      </c>
      <c r="X197">
        <v>0</v>
      </c>
      <c r="Y197" t="s">
        <v>408</v>
      </c>
      <c r="Z197">
        <v>2017</v>
      </c>
      <c r="AA197">
        <v>2017</v>
      </c>
      <c r="AB197" s="5">
        <v>0.33025996314200001</v>
      </c>
      <c r="AC197" s="5">
        <v>0.66051992628400003</v>
      </c>
      <c r="AD197" t="s">
        <v>408</v>
      </c>
      <c r="AE197" t="s">
        <v>152</v>
      </c>
      <c r="AF197" t="s">
        <v>408</v>
      </c>
      <c r="AG197" t="s">
        <v>408</v>
      </c>
      <c r="AH197" t="s">
        <v>408</v>
      </c>
      <c r="AI197" t="s">
        <v>408</v>
      </c>
      <c r="AJ197" t="s">
        <v>408</v>
      </c>
      <c r="AK197" t="s">
        <v>408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s="58">
        <f t="shared" si="2"/>
        <v>1</v>
      </c>
      <c r="AU197" s="79">
        <v>43336</v>
      </c>
      <c r="AV197" t="s">
        <v>410</v>
      </c>
      <c r="AW197" t="s">
        <v>152</v>
      </c>
      <c r="AX197">
        <v>2</v>
      </c>
      <c r="AY197" t="s">
        <v>412</v>
      </c>
      <c r="AZ197" t="s">
        <v>408</v>
      </c>
    </row>
    <row r="198" spans="1:52" x14ac:dyDescent="0.3">
      <c r="A198">
        <v>187</v>
      </c>
      <c r="B198" t="s">
        <v>527</v>
      </c>
      <c r="C198" t="s">
        <v>447</v>
      </c>
      <c r="D198" t="s">
        <v>528</v>
      </c>
      <c r="E198" t="s">
        <v>417</v>
      </c>
      <c r="F198" t="s">
        <v>408</v>
      </c>
      <c r="G198">
        <v>2726</v>
      </c>
      <c r="H198">
        <v>2727</v>
      </c>
      <c r="I198" t="s">
        <v>1027</v>
      </c>
      <c r="J198">
        <v>2926</v>
      </c>
      <c r="K198">
        <v>2927</v>
      </c>
      <c r="L198" t="s">
        <v>1028</v>
      </c>
      <c r="M198">
        <v>3</v>
      </c>
      <c r="N198" t="s">
        <v>167</v>
      </c>
      <c r="O198" t="s">
        <v>167</v>
      </c>
      <c r="P198" t="s">
        <v>420</v>
      </c>
      <c r="Q198" t="s">
        <v>408</v>
      </c>
      <c r="R198" t="s">
        <v>497</v>
      </c>
      <c r="S198">
        <v>2004</v>
      </c>
      <c r="T198">
        <v>9</v>
      </c>
      <c r="U198" t="s">
        <v>408</v>
      </c>
      <c r="V198" t="s">
        <v>482</v>
      </c>
      <c r="W198">
        <v>2018</v>
      </c>
      <c r="X198">
        <v>7</v>
      </c>
      <c r="Y198" t="s">
        <v>370</v>
      </c>
      <c r="Z198">
        <v>2018</v>
      </c>
      <c r="AA198">
        <v>2018</v>
      </c>
      <c r="AB198" s="5">
        <v>0.31386015675200002</v>
      </c>
      <c r="AC198" s="5">
        <v>0.62772031350400004</v>
      </c>
      <c r="AD198" t="s">
        <v>408</v>
      </c>
      <c r="AE198" t="s">
        <v>152</v>
      </c>
      <c r="AF198" t="s">
        <v>408</v>
      </c>
      <c r="AG198" t="s">
        <v>408</v>
      </c>
      <c r="AH198" t="s">
        <v>408</v>
      </c>
      <c r="AI198" t="s">
        <v>408</v>
      </c>
      <c r="AJ198" t="s">
        <v>408</v>
      </c>
      <c r="AK198" t="s">
        <v>408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 s="58">
        <f t="shared" si="2"/>
        <v>1</v>
      </c>
      <c r="AU198" s="79">
        <v>43336</v>
      </c>
      <c r="AV198" t="s">
        <v>410</v>
      </c>
      <c r="AW198" t="s">
        <v>408</v>
      </c>
      <c r="AX198">
        <v>2</v>
      </c>
      <c r="AY198" t="s">
        <v>412</v>
      </c>
      <c r="AZ198" t="s">
        <v>408</v>
      </c>
    </row>
    <row r="199" spans="1:52" x14ac:dyDescent="0.3">
      <c r="A199">
        <v>188</v>
      </c>
      <c r="B199" t="s">
        <v>527</v>
      </c>
      <c r="C199" t="s">
        <v>447</v>
      </c>
      <c r="D199" t="s">
        <v>528</v>
      </c>
      <c r="E199" t="s">
        <v>417</v>
      </c>
      <c r="F199" t="s">
        <v>408</v>
      </c>
      <c r="G199">
        <v>832</v>
      </c>
      <c r="H199">
        <v>833</v>
      </c>
      <c r="I199" t="s">
        <v>1029</v>
      </c>
      <c r="J199">
        <v>1160</v>
      </c>
      <c r="K199">
        <v>1161</v>
      </c>
      <c r="L199" t="s">
        <v>1030</v>
      </c>
      <c r="M199">
        <v>3</v>
      </c>
      <c r="N199" t="s">
        <v>167</v>
      </c>
      <c r="O199" t="s">
        <v>167</v>
      </c>
      <c r="P199" t="s">
        <v>420</v>
      </c>
      <c r="Q199" t="s">
        <v>408</v>
      </c>
      <c r="R199" t="s">
        <v>497</v>
      </c>
      <c r="S199">
        <v>2003</v>
      </c>
      <c r="T199">
        <v>6</v>
      </c>
      <c r="U199" t="s">
        <v>408</v>
      </c>
      <c r="V199" t="s">
        <v>662</v>
      </c>
      <c r="W199">
        <v>2016</v>
      </c>
      <c r="X199">
        <v>5</v>
      </c>
      <c r="Y199" t="s">
        <v>370</v>
      </c>
      <c r="Z199">
        <v>2016</v>
      </c>
      <c r="AA199">
        <v>2016</v>
      </c>
      <c r="AB199" s="5">
        <v>0.43826020224899997</v>
      </c>
      <c r="AC199" s="5">
        <v>0.87652040449799995</v>
      </c>
      <c r="AD199" t="s">
        <v>408</v>
      </c>
      <c r="AE199" t="s">
        <v>152</v>
      </c>
      <c r="AF199" t="s">
        <v>408</v>
      </c>
      <c r="AG199" t="s">
        <v>408</v>
      </c>
      <c r="AH199" t="s">
        <v>408</v>
      </c>
      <c r="AI199" t="s">
        <v>408</v>
      </c>
      <c r="AJ199" t="s">
        <v>408</v>
      </c>
      <c r="AK199" t="s">
        <v>408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 s="58">
        <f t="shared" si="2"/>
        <v>1</v>
      </c>
      <c r="AU199" s="79">
        <v>43336</v>
      </c>
      <c r="AV199" s="78" t="s">
        <v>410</v>
      </c>
      <c r="AW199" t="s">
        <v>408</v>
      </c>
      <c r="AX199">
        <v>2</v>
      </c>
      <c r="AY199" t="s">
        <v>412</v>
      </c>
      <c r="AZ199" t="s">
        <v>408</v>
      </c>
    </row>
    <row r="200" spans="1:52" x14ac:dyDescent="0.3">
      <c r="A200">
        <v>189</v>
      </c>
      <c r="B200" t="s">
        <v>1031</v>
      </c>
      <c r="C200" t="s">
        <v>447</v>
      </c>
      <c r="D200" t="s">
        <v>1032</v>
      </c>
      <c r="E200" t="s">
        <v>417</v>
      </c>
      <c r="F200" t="s">
        <v>408</v>
      </c>
      <c r="G200">
        <v>3351</v>
      </c>
      <c r="H200">
        <v>3350</v>
      </c>
      <c r="I200" t="s">
        <v>1033</v>
      </c>
      <c r="J200">
        <v>3430</v>
      </c>
      <c r="K200">
        <v>3431</v>
      </c>
      <c r="L200" t="s">
        <v>1034</v>
      </c>
      <c r="M200">
        <v>2</v>
      </c>
      <c r="N200" t="s">
        <v>167</v>
      </c>
      <c r="O200" t="s">
        <v>167</v>
      </c>
      <c r="P200" t="s">
        <v>420</v>
      </c>
      <c r="Q200" t="s">
        <v>408</v>
      </c>
      <c r="R200" t="s">
        <v>697</v>
      </c>
      <c r="S200">
        <v>1996</v>
      </c>
      <c r="T200">
        <v>5</v>
      </c>
      <c r="U200" t="s">
        <v>408</v>
      </c>
      <c r="V200" t="s">
        <v>469</v>
      </c>
      <c r="W200">
        <v>2018</v>
      </c>
      <c r="X200">
        <v>5</v>
      </c>
      <c r="Y200" t="s">
        <v>408</v>
      </c>
      <c r="Z200">
        <v>2018</v>
      </c>
      <c r="AA200">
        <v>2006</v>
      </c>
      <c r="AB200" s="5">
        <v>0.14215834334800001</v>
      </c>
      <c r="AC200" s="5">
        <v>0.28431668669600002</v>
      </c>
      <c r="AD200" t="s">
        <v>408</v>
      </c>
      <c r="AE200" t="s">
        <v>152</v>
      </c>
      <c r="AF200" t="s">
        <v>408</v>
      </c>
      <c r="AG200" t="s">
        <v>408</v>
      </c>
      <c r="AH200" t="s">
        <v>408</v>
      </c>
      <c r="AI200" t="s">
        <v>408</v>
      </c>
      <c r="AJ200" t="s">
        <v>408</v>
      </c>
      <c r="AK200" t="s">
        <v>408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 s="58">
        <f t="shared" si="2"/>
        <v>1</v>
      </c>
      <c r="AU200" s="79">
        <v>43347</v>
      </c>
      <c r="AV200" t="s">
        <v>410</v>
      </c>
      <c r="AW200" t="s">
        <v>408</v>
      </c>
      <c r="AX200">
        <v>2</v>
      </c>
      <c r="AY200" t="s">
        <v>412</v>
      </c>
      <c r="AZ200" t="s">
        <v>408</v>
      </c>
    </row>
    <row r="201" spans="1:52" x14ac:dyDescent="0.3">
      <c r="A201">
        <v>190</v>
      </c>
      <c r="B201" t="s">
        <v>693</v>
      </c>
      <c r="C201" t="s">
        <v>155</v>
      </c>
      <c r="D201" t="s">
        <v>694</v>
      </c>
      <c r="E201" t="s">
        <v>460</v>
      </c>
      <c r="F201" t="s">
        <v>408</v>
      </c>
      <c r="G201">
        <v>6259</v>
      </c>
      <c r="H201">
        <v>6258</v>
      </c>
      <c r="I201" t="s">
        <v>1035</v>
      </c>
      <c r="J201">
        <v>5500</v>
      </c>
      <c r="K201">
        <v>5501</v>
      </c>
      <c r="L201" t="s">
        <v>1036</v>
      </c>
      <c r="M201">
        <v>3</v>
      </c>
      <c r="N201" t="s">
        <v>167</v>
      </c>
      <c r="O201" t="s">
        <v>167</v>
      </c>
      <c r="P201" t="s">
        <v>420</v>
      </c>
      <c r="Q201" t="s">
        <v>408</v>
      </c>
      <c r="R201" t="s">
        <v>422</v>
      </c>
      <c r="S201">
        <v>2011</v>
      </c>
      <c r="T201">
        <v>7</v>
      </c>
      <c r="U201" t="s">
        <v>408</v>
      </c>
      <c r="V201" t="s">
        <v>511</v>
      </c>
      <c r="W201">
        <v>2018</v>
      </c>
      <c r="X201">
        <v>8</v>
      </c>
      <c r="Y201" t="s">
        <v>408</v>
      </c>
      <c r="Z201">
        <v>2018</v>
      </c>
      <c r="AA201">
        <v>2012</v>
      </c>
      <c r="AB201" s="5">
        <v>0.98298273552799997</v>
      </c>
      <c r="AC201" s="5">
        <v>1.9659654710600001</v>
      </c>
      <c r="AD201" t="s">
        <v>408</v>
      </c>
      <c r="AE201" t="s">
        <v>152</v>
      </c>
      <c r="AF201" t="s">
        <v>408</v>
      </c>
      <c r="AG201" t="s">
        <v>408</v>
      </c>
      <c r="AH201" t="s">
        <v>408</v>
      </c>
      <c r="AI201" t="s">
        <v>408</v>
      </c>
      <c r="AJ201" t="s">
        <v>408</v>
      </c>
      <c r="AK201" t="s">
        <v>408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 s="58">
        <f t="shared" si="2"/>
        <v>1</v>
      </c>
      <c r="AU201" s="79">
        <v>43340</v>
      </c>
      <c r="AV201" s="78" t="s">
        <v>410</v>
      </c>
      <c r="AW201" t="s">
        <v>408</v>
      </c>
      <c r="AX201">
        <v>2</v>
      </c>
      <c r="AY201" t="s">
        <v>412</v>
      </c>
      <c r="AZ201" t="s">
        <v>408</v>
      </c>
    </row>
    <row r="202" spans="1:52" x14ac:dyDescent="0.3">
      <c r="A202">
        <v>191</v>
      </c>
      <c r="B202" t="s">
        <v>1037</v>
      </c>
      <c r="C202" t="s">
        <v>152</v>
      </c>
      <c r="D202" t="s">
        <v>1038</v>
      </c>
      <c r="E202" t="s">
        <v>417</v>
      </c>
      <c r="F202" t="s">
        <v>152</v>
      </c>
      <c r="G202">
        <v>400</v>
      </c>
      <c r="H202">
        <v>401</v>
      </c>
      <c r="I202" t="s">
        <v>663</v>
      </c>
      <c r="J202">
        <v>726</v>
      </c>
      <c r="K202">
        <v>725</v>
      </c>
      <c r="L202" t="s">
        <v>1039</v>
      </c>
      <c r="M202">
        <v>4</v>
      </c>
      <c r="N202" t="s">
        <v>165</v>
      </c>
      <c r="O202" t="s">
        <v>165</v>
      </c>
      <c r="P202" t="s">
        <v>403</v>
      </c>
      <c r="Q202" t="s">
        <v>1040</v>
      </c>
      <c r="R202" t="s">
        <v>482</v>
      </c>
      <c r="S202">
        <v>2017</v>
      </c>
      <c r="T202">
        <v>11</v>
      </c>
      <c r="U202" t="s">
        <v>370</v>
      </c>
      <c r="V202" t="s">
        <v>408</v>
      </c>
      <c r="W202">
        <v>0</v>
      </c>
      <c r="X202">
        <v>0</v>
      </c>
      <c r="Y202" t="s">
        <v>408</v>
      </c>
      <c r="Z202">
        <v>2017</v>
      </c>
      <c r="AA202">
        <v>2017</v>
      </c>
      <c r="AB202" s="5">
        <v>0.44349021103899999</v>
      </c>
      <c r="AC202" s="5">
        <v>0.44349021103899999</v>
      </c>
      <c r="AD202" t="s">
        <v>408</v>
      </c>
      <c r="AE202" t="s">
        <v>411</v>
      </c>
      <c r="AF202" t="s">
        <v>152</v>
      </c>
      <c r="AG202" t="s">
        <v>152</v>
      </c>
      <c r="AH202" t="s">
        <v>408</v>
      </c>
      <c r="AI202" t="s">
        <v>408</v>
      </c>
      <c r="AJ202" t="s">
        <v>408</v>
      </c>
      <c r="AK202" t="s">
        <v>408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 s="58">
        <f t="shared" si="2"/>
        <v>1</v>
      </c>
      <c r="AU202" s="79" t="s">
        <v>488</v>
      </c>
      <c r="AV202" s="78" t="s">
        <v>410</v>
      </c>
      <c r="AW202" t="s">
        <v>152</v>
      </c>
      <c r="AX202">
        <v>2</v>
      </c>
      <c r="AY202" t="s">
        <v>412</v>
      </c>
      <c r="AZ202" t="s">
        <v>408</v>
      </c>
    </row>
    <row r="203" spans="1:52" x14ac:dyDescent="0.3">
      <c r="A203">
        <v>192</v>
      </c>
      <c r="B203" t="s">
        <v>1026</v>
      </c>
      <c r="C203" t="s">
        <v>155</v>
      </c>
      <c r="D203" t="s">
        <v>881</v>
      </c>
      <c r="E203" t="s">
        <v>460</v>
      </c>
      <c r="F203" t="s">
        <v>408</v>
      </c>
      <c r="G203">
        <v>1159</v>
      </c>
      <c r="H203">
        <v>1158</v>
      </c>
      <c r="I203" t="s">
        <v>631</v>
      </c>
      <c r="J203">
        <v>801</v>
      </c>
      <c r="K203">
        <v>800</v>
      </c>
      <c r="L203" t="s">
        <v>632</v>
      </c>
      <c r="M203">
        <v>3</v>
      </c>
      <c r="N203" t="s">
        <v>170</v>
      </c>
      <c r="O203" t="s">
        <v>170</v>
      </c>
      <c r="P203" t="s">
        <v>420</v>
      </c>
      <c r="Q203" t="s">
        <v>408</v>
      </c>
      <c r="R203" t="s">
        <v>897</v>
      </c>
      <c r="S203">
        <v>2005</v>
      </c>
      <c r="T203">
        <v>11</v>
      </c>
      <c r="U203" t="s">
        <v>408</v>
      </c>
      <c r="V203" t="s">
        <v>482</v>
      </c>
      <c r="W203">
        <v>2018</v>
      </c>
      <c r="X203">
        <v>9</v>
      </c>
      <c r="Y203" t="s">
        <v>1041</v>
      </c>
      <c r="Z203">
        <v>2018</v>
      </c>
      <c r="AA203">
        <v>2018</v>
      </c>
      <c r="AB203" s="5">
        <v>0.31408196078099998</v>
      </c>
      <c r="AC203" s="5">
        <v>0.62816392156199996</v>
      </c>
      <c r="AD203" t="s">
        <v>408</v>
      </c>
      <c r="AE203" t="s">
        <v>152</v>
      </c>
      <c r="AF203" t="s">
        <v>408</v>
      </c>
      <c r="AG203" t="s">
        <v>408</v>
      </c>
      <c r="AH203" t="s">
        <v>408</v>
      </c>
      <c r="AI203" t="s">
        <v>408</v>
      </c>
      <c r="AJ203" t="s">
        <v>408</v>
      </c>
      <c r="AK203" t="s">
        <v>408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 s="58">
        <f t="shared" ref="AT203:AT266" si="3">SUM(AM203:AS203)</f>
        <v>1</v>
      </c>
      <c r="AU203" s="79">
        <v>43343</v>
      </c>
      <c r="AV203" t="s">
        <v>410</v>
      </c>
      <c r="AW203" t="s">
        <v>408</v>
      </c>
      <c r="AX203">
        <v>2</v>
      </c>
      <c r="AY203" t="s">
        <v>412</v>
      </c>
      <c r="AZ203" t="s">
        <v>408</v>
      </c>
    </row>
    <row r="204" spans="1:52" x14ac:dyDescent="0.3">
      <c r="A204">
        <v>193</v>
      </c>
      <c r="B204" t="s">
        <v>538</v>
      </c>
      <c r="C204" t="s">
        <v>152</v>
      </c>
      <c r="D204" t="s">
        <v>539</v>
      </c>
      <c r="E204" t="s">
        <v>417</v>
      </c>
      <c r="F204" t="s">
        <v>408</v>
      </c>
      <c r="G204">
        <v>3600</v>
      </c>
      <c r="H204">
        <v>3601</v>
      </c>
      <c r="I204" t="s">
        <v>573</v>
      </c>
      <c r="J204">
        <v>4358</v>
      </c>
      <c r="K204">
        <v>4359</v>
      </c>
      <c r="L204" t="s">
        <v>685</v>
      </c>
      <c r="M204">
        <v>3</v>
      </c>
      <c r="N204" t="s">
        <v>170</v>
      </c>
      <c r="O204" t="s">
        <v>170</v>
      </c>
      <c r="P204" t="s">
        <v>420</v>
      </c>
      <c r="Q204" t="s">
        <v>1042</v>
      </c>
      <c r="R204" t="s">
        <v>897</v>
      </c>
      <c r="S204">
        <v>2006</v>
      </c>
      <c r="T204">
        <v>4</v>
      </c>
      <c r="U204" t="s">
        <v>370</v>
      </c>
      <c r="V204" t="s">
        <v>408</v>
      </c>
      <c r="W204">
        <v>0</v>
      </c>
      <c r="X204">
        <v>0</v>
      </c>
      <c r="Y204" t="s">
        <v>408</v>
      </c>
      <c r="Z204">
        <v>2006</v>
      </c>
      <c r="AA204">
        <v>2006</v>
      </c>
      <c r="AB204" s="5">
        <v>1.1135220854500001</v>
      </c>
      <c r="AC204" s="5">
        <v>2.2270441709000002</v>
      </c>
      <c r="AD204" t="s">
        <v>408</v>
      </c>
      <c r="AE204" t="s">
        <v>152</v>
      </c>
      <c r="AF204" t="s">
        <v>408</v>
      </c>
      <c r="AG204" t="s">
        <v>408</v>
      </c>
      <c r="AH204" t="s">
        <v>408</v>
      </c>
      <c r="AI204" t="s">
        <v>408</v>
      </c>
      <c r="AJ204" t="s">
        <v>408</v>
      </c>
      <c r="AK204" t="s">
        <v>408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s="58">
        <f t="shared" si="3"/>
        <v>1</v>
      </c>
      <c r="AU204" s="79">
        <v>43336</v>
      </c>
      <c r="AV204" t="s">
        <v>410</v>
      </c>
      <c r="AW204" t="s">
        <v>408</v>
      </c>
      <c r="AX204">
        <v>2</v>
      </c>
      <c r="AY204" t="s">
        <v>412</v>
      </c>
      <c r="AZ204" t="s">
        <v>408</v>
      </c>
    </row>
    <row r="205" spans="1:52" x14ac:dyDescent="0.3">
      <c r="A205">
        <v>194</v>
      </c>
      <c r="B205" t="s">
        <v>1043</v>
      </c>
      <c r="C205" t="s">
        <v>154</v>
      </c>
      <c r="D205" t="s">
        <v>1044</v>
      </c>
      <c r="E205" t="s">
        <v>460</v>
      </c>
      <c r="F205" t="s">
        <v>408</v>
      </c>
      <c r="G205">
        <v>3731</v>
      </c>
      <c r="H205">
        <v>3730</v>
      </c>
      <c r="I205" t="s">
        <v>1045</v>
      </c>
      <c r="J205">
        <v>3401</v>
      </c>
      <c r="K205">
        <v>3400</v>
      </c>
      <c r="L205" t="s">
        <v>1046</v>
      </c>
      <c r="M205">
        <v>4</v>
      </c>
      <c r="N205" t="s">
        <v>167</v>
      </c>
      <c r="O205" t="s">
        <v>167</v>
      </c>
      <c r="P205" t="s">
        <v>403</v>
      </c>
      <c r="Q205" t="s">
        <v>1047</v>
      </c>
      <c r="R205" t="s">
        <v>1048</v>
      </c>
      <c r="S205">
        <v>2020</v>
      </c>
      <c r="T205">
        <v>8</v>
      </c>
      <c r="U205" t="s">
        <v>757</v>
      </c>
      <c r="V205" t="s">
        <v>408</v>
      </c>
      <c r="W205">
        <v>2020</v>
      </c>
      <c r="X205">
        <v>8</v>
      </c>
      <c r="Y205" t="s">
        <v>1049</v>
      </c>
      <c r="Z205">
        <v>2020</v>
      </c>
      <c r="AA205">
        <v>2015</v>
      </c>
      <c r="AB205" s="5">
        <v>0.50446480585800002</v>
      </c>
      <c r="AC205" s="5">
        <v>1.00892961172</v>
      </c>
      <c r="AD205" t="s">
        <v>408</v>
      </c>
      <c r="AE205" t="s">
        <v>152</v>
      </c>
      <c r="AF205" t="s">
        <v>408</v>
      </c>
      <c r="AG205" t="s">
        <v>408</v>
      </c>
      <c r="AH205" t="s">
        <v>408</v>
      </c>
      <c r="AI205" t="s">
        <v>408</v>
      </c>
      <c r="AJ205" t="s">
        <v>408</v>
      </c>
      <c r="AK205" t="s">
        <v>408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 s="58">
        <f t="shared" si="3"/>
        <v>1</v>
      </c>
      <c r="AU205" s="79" t="s">
        <v>1050</v>
      </c>
      <c r="AV205" t="s">
        <v>410</v>
      </c>
      <c r="AW205" t="s">
        <v>408</v>
      </c>
      <c r="AX205">
        <v>2</v>
      </c>
      <c r="AY205" t="s">
        <v>412</v>
      </c>
      <c r="AZ205" t="s">
        <v>408</v>
      </c>
    </row>
    <row r="206" spans="1:52" x14ac:dyDescent="0.3">
      <c r="A206">
        <v>195</v>
      </c>
      <c r="B206" t="s">
        <v>709</v>
      </c>
      <c r="C206" t="s">
        <v>154</v>
      </c>
      <c r="D206" t="s">
        <v>710</v>
      </c>
      <c r="E206" t="s">
        <v>426</v>
      </c>
      <c r="F206" t="s">
        <v>408</v>
      </c>
      <c r="G206">
        <v>1474</v>
      </c>
      <c r="H206">
        <v>1475</v>
      </c>
      <c r="I206" t="s">
        <v>718</v>
      </c>
      <c r="J206">
        <v>1201</v>
      </c>
      <c r="K206">
        <v>1200</v>
      </c>
      <c r="L206" t="s">
        <v>920</v>
      </c>
      <c r="M206">
        <v>2</v>
      </c>
      <c r="N206" t="s">
        <v>167</v>
      </c>
      <c r="O206" t="s">
        <v>167</v>
      </c>
      <c r="P206" t="s">
        <v>420</v>
      </c>
      <c r="Q206" t="s">
        <v>408</v>
      </c>
      <c r="R206" t="s">
        <v>608</v>
      </c>
      <c r="S206">
        <v>2011</v>
      </c>
      <c r="T206">
        <v>6</v>
      </c>
      <c r="U206" t="s">
        <v>408</v>
      </c>
      <c r="V206" t="s">
        <v>513</v>
      </c>
      <c r="W206">
        <v>2017</v>
      </c>
      <c r="X206">
        <v>11</v>
      </c>
      <c r="Y206" t="s">
        <v>370</v>
      </c>
      <c r="Z206">
        <v>2017</v>
      </c>
      <c r="AA206">
        <v>2017</v>
      </c>
      <c r="AB206" s="5">
        <v>0.40320313343199998</v>
      </c>
      <c r="AC206" s="5">
        <v>0.80640626686399997</v>
      </c>
      <c r="AD206" t="s">
        <v>408</v>
      </c>
      <c r="AE206" t="s">
        <v>152</v>
      </c>
      <c r="AF206" t="s">
        <v>408</v>
      </c>
      <c r="AG206" t="s">
        <v>408</v>
      </c>
      <c r="AH206" t="s">
        <v>408</v>
      </c>
      <c r="AI206" t="s">
        <v>408</v>
      </c>
      <c r="AJ206" t="s">
        <v>408</v>
      </c>
      <c r="AK206" t="s">
        <v>408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58">
        <f t="shared" si="3"/>
        <v>1</v>
      </c>
      <c r="AU206" s="79">
        <v>43340</v>
      </c>
      <c r="AV206" s="78" t="s">
        <v>410</v>
      </c>
      <c r="AW206" t="s">
        <v>408</v>
      </c>
      <c r="AX206">
        <v>2</v>
      </c>
      <c r="AY206" t="s">
        <v>412</v>
      </c>
      <c r="AZ206" t="s">
        <v>408</v>
      </c>
    </row>
    <row r="207" spans="1:52" x14ac:dyDescent="0.3">
      <c r="A207">
        <v>196</v>
      </c>
      <c r="B207" t="s">
        <v>709</v>
      </c>
      <c r="C207" t="s">
        <v>154</v>
      </c>
      <c r="D207" t="s">
        <v>710</v>
      </c>
      <c r="E207" t="s">
        <v>426</v>
      </c>
      <c r="F207" t="s">
        <v>408</v>
      </c>
      <c r="G207">
        <v>2000</v>
      </c>
      <c r="H207">
        <v>2001</v>
      </c>
      <c r="I207" t="s">
        <v>435</v>
      </c>
      <c r="J207">
        <v>1600</v>
      </c>
      <c r="K207">
        <v>1601</v>
      </c>
      <c r="L207" t="s">
        <v>545</v>
      </c>
      <c r="M207">
        <v>2</v>
      </c>
      <c r="N207" t="s">
        <v>167</v>
      </c>
      <c r="O207" t="s">
        <v>167</v>
      </c>
      <c r="P207" t="s">
        <v>420</v>
      </c>
      <c r="Q207" t="s">
        <v>408</v>
      </c>
      <c r="R207" t="s">
        <v>1051</v>
      </c>
      <c r="S207">
        <v>2006</v>
      </c>
      <c r="T207">
        <v>10</v>
      </c>
      <c r="U207" t="s">
        <v>408</v>
      </c>
      <c r="V207" t="s">
        <v>624</v>
      </c>
      <c r="W207">
        <v>2014</v>
      </c>
      <c r="X207">
        <v>10</v>
      </c>
      <c r="Y207" t="s">
        <v>370</v>
      </c>
      <c r="Z207">
        <v>2014</v>
      </c>
      <c r="AA207">
        <v>2014</v>
      </c>
      <c r="AB207" s="5">
        <v>0.50209460203800005</v>
      </c>
      <c r="AC207" s="5">
        <v>1.00418920408</v>
      </c>
      <c r="AD207" t="s">
        <v>408</v>
      </c>
      <c r="AE207" t="s">
        <v>152</v>
      </c>
      <c r="AF207" t="s">
        <v>408</v>
      </c>
      <c r="AG207" t="s">
        <v>408</v>
      </c>
      <c r="AH207" t="s">
        <v>408</v>
      </c>
      <c r="AI207" t="s">
        <v>408</v>
      </c>
      <c r="AJ207" t="s">
        <v>408</v>
      </c>
      <c r="AK207" t="s">
        <v>408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58">
        <f t="shared" si="3"/>
        <v>1</v>
      </c>
      <c r="AU207" s="79" t="s">
        <v>488</v>
      </c>
      <c r="AV207" s="78" t="s">
        <v>410</v>
      </c>
      <c r="AW207" t="s">
        <v>408</v>
      </c>
      <c r="AX207">
        <v>2</v>
      </c>
      <c r="AY207" t="s">
        <v>412</v>
      </c>
      <c r="AZ207" t="s">
        <v>408</v>
      </c>
    </row>
    <row r="208" spans="1:52" x14ac:dyDescent="0.3">
      <c r="A208">
        <v>197</v>
      </c>
      <c r="B208" t="s">
        <v>709</v>
      </c>
      <c r="C208" t="s">
        <v>154</v>
      </c>
      <c r="D208" t="s">
        <v>710</v>
      </c>
      <c r="E208" t="s">
        <v>460</v>
      </c>
      <c r="F208" t="s">
        <v>408</v>
      </c>
      <c r="G208">
        <v>3600</v>
      </c>
      <c r="H208">
        <v>3601</v>
      </c>
      <c r="I208" t="s">
        <v>1052</v>
      </c>
      <c r="J208">
        <v>2900</v>
      </c>
      <c r="K208">
        <v>2901</v>
      </c>
      <c r="L208" t="s">
        <v>970</v>
      </c>
      <c r="M208">
        <v>2</v>
      </c>
      <c r="N208" t="s">
        <v>170</v>
      </c>
      <c r="O208" t="s">
        <v>170</v>
      </c>
      <c r="P208" t="s">
        <v>414</v>
      </c>
      <c r="Q208" t="s">
        <v>408</v>
      </c>
      <c r="R208" t="s">
        <v>1051</v>
      </c>
      <c r="S208">
        <v>2006</v>
      </c>
      <c r="T208">
        <v>10</v>
      </c>
      <c r="U208" t="s">
        <v>408</v>
      </c>
      <c r="V208" t="s">
        <v>487</v>
      </c>
      <c r="W208">
        <v>2020</v>
      </c>
      <c r="X208">
        <v>0</v>
      </c>
      <c r="Y208" t="s">
        <v>408</v>
      </c>
      <c r="Z208">
        <v>2020</v>
      </c>
      <c r="AA208">
        <v>2006</v>
      </c>
      <c r="AB208" s="5">
        <v>0.83944716954300003</v>
      </c>
      <c r="AC208" s="5">
        <v>1.67889433909</v>
      </c>
      <c r="AD208" t="s">
        <v>408</v>
      </c>
      <c r="AE208" t="s">
        <v>152</v>
      </c>
      <c r="AF208" t="s">
        <v>408</v>
      </c>
      <c r="AG208" t="s">
        <v>408</v>
      </c>
      <c r="AH208" t="s">
        <v>408</v>
      </c>
      <c r="AI208" t="s">
        <v>408</v>
      </c>
      <c r="AJ208" t="s">
        <v>408</v>
      </c>
      <c r="AK208" t="s">
        <v>408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 s="58">
        <f t="shared" si="3"/>
        <v>1</v>
      </c>
      <c r="AU208" s="79" t="s">
        <v>488</v>
      </c>
      <c r="AV208" t="s">
        <v>410</v>
      </c>
      <c r="AW208" t="s">
        <v>408</v>
      </c>
      <c r="AX208">
        <v>2</v>
      </c>
      <c r="AY208" t="s">
        <v>412</v>
      </c>
      <c r="AZ208" t="s">
        <v>408</v>
      </c>
    </row>
    <row r="209" spans="1:52" x14ac:dyDescent="0.3">
      <c r="A209">
        <v>198</v>
      </c>
      <c r="B209" t="s">
        <v>527</v>
      </c>
      <c r="C209" t="s">
        <v>447</v>
      </c>
      <c r="D209" t="s">
        <v>528</v>
      </c>
      <c r="E209" t="s">
        <v>417</v>
      </c>
      <c r="F209" t="s">
        <v>408</v>
      </c>
      <c r="G209">
        <v>1200</v>
      </c>
      <c r="H209">
        <v>1201</v>
      </c>
      <c r="I209" t="s">
        <v>1030</v>
      </c>
      <c r="J209">
        <v>1358</v>
      </c>
      <c r="K209">
        <v>1359</v>
      </c>
      <c r="L209" t="s">
        <v>450</v>
      </c>
      <c r="M209">
        <v>3</v>
      </c>
      <c r="N209" t="s">
        <v>167</v>
      </c>
      <c r="O209" t="s">
        <v>167</v>
      </c>
      <c r="P209" t="s">
        <v>420</v>
      </c>
      <c r="Q209" t="s">
        <v>408</v>
      </c>
      <c r="R209" t="s">
        <v>719</v>
      </c>
      <c r="S209">
        <v>2005</v>
      </c>
      <c r="T209">
        <v>7</v>
      </c>
      <c r="U209" t="s">
        <v>408</v>
      </c>
      <c r="V209" t="s">
        <v>662</v>
      </c>
      <c r="W209">
        <v>2016</v>
      </c>
      <c r="X209">
        <v>5</v>
      </c>
      <c r="Y209" t="s">
        <v>370</v>
      </c>
      <c r="Z209">
        <v>2016</v>
      </c>
      <c r="AA209">
        <v>2016</v>
      </c>
      <c r="AB209" s="5">
        <v>0.251324096735</v>
      </c>
      <c r="AC209" s="5">
        <v>0.50264819347</v>
      </c>
      <c r="AD209" t="s">
        <v>408</v>
      </c>
      <c r="AE209" t="s">
        <v>152</v>
      </c>
      <c r="AF209" t="s">
        <v>408</v>
      </c>
      <c r="AG209" t="s">
        <v>408</v>
      </c>
      <c r="AH209" t="s">
        <v>408</v>
      </c>
      <c r="AI209" t="s">
        <v>408</v>
      </c>
      <c r="AJ209" t="s">
        <v>408</v>
      </c>
      <c r="AK209" t="s">
        <v>408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 s="58">
        <f t="shared" si="3"/>
        <v>1</v>
      </c>
      <c r="AU209" s="79">
        <v>43336</v>
      </c>
      <c r="AV209" s="78" t="s">
        <v>410</v>
      </c>
      <c r="AW209" t="s">
        <v>408</v>
      </c>
      <c r="AX209">
        <v>2</v>
      </c>
      <c r="AY209" t="s">
        <v>412</v>
      </c>
      <c r="AZ209" t="s">
        <v>408</v>
      </c>
    </row>
    <row r="210" spans="1:52" x14ac:dyDescent="0.3">
      <c r="A210">
        <v>199</v>
      </c>
      <c r="B210" t="s">
        <v>527</v>
      </c>
      <c r="C210" t="s">
        <v>447</v>
      </c>
      <c r="D210" t="s">
        <v>528</v>
      </c>
      <c r="E210" t="s">
        <v>417</v>
      </c>
      <c r="F210" t="s">
        <v>408</v>
      </c>
      <c r="G210">
        <v>1600</v>
      </c>
      <c r="H210">
        <v>1601</v>
      </c>
      <c r="I210" t="s">
        <v>1053</v>
      </c>
      <c r="J210">
        <v>1840</v>
      </c>
      <c r="K210">
        <v>1851</v>
      </c>
      <c r="L210" t="s">
        <v>1054</v>
      </c>
      <c r="M210">
        <v>3</v>
      </c>
      <c r="N210" t="s">
        <v>170</v>
      </c>
      <c r="O210" t="s">
        <v>170</v>
      </c>
      <c r="P210" t="s">
        <v>414</v>
      </c>
      <c r="Q210" t="s">
        <v>408</v>
      </c>
      <c r="R210" t="s">
        <v>482</v>
      </c>
      <c r="S210">
        <v>2018</v>
      </c>
      <c r="T210">
        <v>8</v>
      </c>
      <c r="U210" t="s">
        <v>370</v>
      </c>
      <c r="V210" t="s">
        <v>408</v>
      </c>
      <c r="W210">
        <v>2020</v>
      </c>
      <c r="X210">
        <v>0</v>
      </c>
      <c r="Y210" t="s">
        <v>408</v>
      </c>
      <c r="Z210">
        <v>2020</v>
      </c>
      <c r="AA210">
        <v>2020</v>
      </c>
      <c r="AB210" s="5">
        <v>0.34490450238300002</v>
      </c>
      <c r="AC210" s="5">
        <v>0.68980900476600004</v>
      </c>
      <c r="AD210" t="s">
        <v>408</v>
      </c>
      <c r="AE210" t="s">
        <v>152</v>
      </c>
      <c r="AF210" t="s">
        <v>408</v>
      </c>
      <c r="AG210" t="s">
        <v>408</v>
      </c>
      <c r="AH210" t="s">
        <v>408</v>
      </c>
      <c r="AI210" t="s">
        <v>408</v>
      </c>
      <c r="AJ210" t="s">
        <v>408</v>
      </c>
      <c r="AK210" t="s">
        <v>408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 s="58">
        <f t="shared" si="3"/>
        <v>1</v>
      </c>
      <c r="AU210" s="79" t="s">
        <v>769</v>
      </c>
      <c r="AV210" t="s">
        <v>410</v>
      </c>
      <c r="AW210" t="s">
        <v>408</v>
      </c>
      <c r="AX210">
        <v>2</v>
      </c>
      <c r="AY210" t="s">
        <v>412</v>
      </c>
      <c r="AZ210" t="s">
        <v>408</v>
      </c>
    </row>
    <row r="211" spans="1:52" x14ac:dyDescent="0.3">
      <c r="A211">
        <v>200</v>
      </c>
      <c r="B211" t="s">
        <v>538</v>
      </c>
      <c r="C211" t="s">
        <v>152</v>
      </c>
      <c r="D211" t="s">
        <v>539</v>
      </c>
      <c r="E211" t="s">
        <v>417</v>
      </c>
      <c r="F211" t="s">
        <v>408</v>
      </c>
      <c r="G211">
        <v>4400</v>
      </c>
      <c r="H211">
        <v>4401</v>
      </c>
      <c r="I211" t="s">
        <v>686</v>
      </c>
      <c r="J211">
        <v>4758</v>
      </c>
      <c r="K211">
        <v>4759</v>
      </c>
      <c r="L211" t="s">
        <v>826</v>
      </c>
      <c r="M211">
        <v>3</v>
      </c>
      <c r="N211" t="s">
        <v>170</v>
      </c>
      <c r="O211" t="s">
        <v>170</v>
      </c>
      <c r="P211" t="s">
        <v>420</v>
      </c>
      <c r="Q211" t="s">
        <v>408</v>
      </c>
      <c r="R211" t="s">
        <v>624</v>
      </c>
      <c r="S211">
        <v>2011</v>
      </c>
      <c r="T211">
        <v>6</v>
      </c>
      <c r="U211" t="s">
        <v>408</v>
      </c>
      <c r="V211" t="s">
        <v>513</v>
      </c>
      <c r="W211">
        <v>2017</v>
      </c>
      <c r="X211">
        <v>10</v>
      </c>
      <c r="Y211" t="s">
        <v>370</v>
      </c>
      <c r="Z211">
        <v>2017</v>
      </c>
      <c r="AA211">
        <v>2017</v>
      </c>
      <c r="AB211" s="5">
        <v>0.25357383944799999</v>
      </c>
      <c r="AC211" s="5">
        <v>0.50714767889599999</v>
      </c>
      <c r="AD211" t="s">
        <v>408</v>
      </c>
      <c r="AE211" t="s">
        <v>152</v>
      </c>
      <c r="AF211" t="s">
        <v>408</v>
      </c>
      <c r="AG211" t="s">
        <v>408</v>
      </c>
      <c r="AH211" t="s">
        <v>408</v>
      </c>
      <c r="AI211" t="s">
        <v>408</v>
      </c>
      <c r="AJ211" t="s">
        <v>408</v>
      </c>
      <c r="AK211" t="s">
        <v>408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58">
        <f t="shared" si="3"/>
        <v>1</v>
      </c>
      <c r="AU211" s="79">
        <v>43336</v>
      </c>
      <c r="AV211" s="78" t="s">
        <v>410</v>
      </c>
      <c r="AW211" t="s">
        <v>408</v>
      </c>
      <c r="AX211">
        <v>2</v>
      </c>
      <c r="AY211" t="s">
        <v>412</v>
      </c>
      <c r="AZ211">
        <v>20</v>
      </c>
    </row>
    <row r="212" spans="1:52" x14ac:dyDescent="0.3">
      <c r="A212">
        <v>201</v>
      </c>
      <c r="B212" t="s">
        <v>603</v>
      </c>
      <c r="C212" t="s">
        <v>447</v>
      </c>
      <c r="D212" t="s">
        <v>604</v>
      </c>
      <c r="E212" t="s">
        <v>417</v>
      </c>
      <c r="F212" t="s">
        <v>408</v>
      </c>
      <c r="G212">
        <v>3700</v>
      </c>
      <c r="H212">
        <v>3701</v>
      </c>
      <c r="I212" t="s">
        <v>1055</v>
      </c>
      <c r="J212">
        <v>3800</v>
      </c>
      <c r="K212">
        <v>3801</v>
      </c>
      <c r="L212" t="s">
        <v>1056</v>
      </c>
      <c r="M212">
        <v>4</v>
      </c>
      <c r="N212" t="s">
        <v>167</v>
      </c>
      <c r="O212" t="s">
        <v>167</v>
      </c>
      <c r="P212" t="s">
        <v>420</v>
      </c>
      <c r="Q212" t="s">
        <v>1057</v>
      </c>
      <c r="R212" t="s">
        <v>624</v>
      </c>
      <c r="S212">
        <v>2011</v>
      </c>
      <c r="T212">
        <v>6</v>
      </c>
      <c r="U212" t="s">
        <v>370</v>
      </c>
      <c r="V212" t="s">
        <v>408</v>
      </c>
      <c r="W212">
        <v>0</v>
      </c>
      <c r="X212">
        <v>0</v>
      </c>
      <c r="Y212" t="s">
        <v>408</v>
      </c>
      <c r="Z212">
        <v>2011</v>
      </c>
      <c r="AA212">
        <v>2011</v>
      </c>
      <c r="AB212" s="5">
        <v>0.12699490404300001</v>
      </c>
      <c r="AC212" s="5">
        <v>0.25398980808600002</v>
      </c>
      <c r="AD212" t="s">
        <v>408</v>
      </c>
      <c r="AE212" t="s">
        <v>152</v>
      </c>
      <c r="AF212" t="s">
        <v>408</v>
      </c>
      <c r="AG212" t="s">
        <v>408</v>
      </c>
      <c r="AH212" t="s">
        <v>408</v>
      </c>
      <c r="AI212" t="s">
        <v>408</v>
      </c>
      <c r="AJ212" t="s">
        <v>408</v>
      </c>
      <c r="AK212" t="s">
        <v>408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 s="58">
        <f t="shared" si="3"/>
        <v>1</v>
      </c>
      <c r="AU212" s="79">
        <v>43339</v>
      </c>
      <c r="AV212" s="78" t="s">
        <v>410</v>
      </c>
      <c r="AW212" t="s">
        <v>408</v>
      </c>
      <c r="AX212">
        <v>3</v>
      </c>
      <c r="AY212" t="s">
        <v>17</v>
      </c>
      <c r="AZ212" t="s">
        <v>408</v>
      </c>
    </row>
    <row r="213" spans="1:52" x14ac:dyDescent="0.3">
      <c r="A213">
        <v>202</v>
      </c>
      <c r="B213" t="s">
        <v>500</v>
      </c>
      <c r="C213" t="s">
        <v>154</v>
      </c>
      <c r="D213" t="s">
        <v>501</v>
      </c>
      <c r="E213" t="s">
        <v>466</v>
      </c>
      <c r="F213" t="s">
        <v>447</v>
      </c>
      <c r="G213">
        <v>719</v>
      </c>
      <c r="H213">
        <v>720</v>
      </c>
      <c r="I213" t="s">
        <v>503</v>
      </c>
      <c r="J213">
        <v>661</v>
      </c>
      <c r="K213">
        <v>662</v>
      </c>
      <c r="L213" t="s">
        <v>738</v>
      </c>
      <c r="M213">
        <v>4</v>
      </c>
      <c r="N213" t="s">
        <v>165</v>
      </c>
      <c r="O213" t="s">
        <v>165</v>
      </c>
      <c r="P213" t="s">
        <v>403</v>
      </c>
      <c r="Q213" t="s">
        <v>504</v>
      </c>
      <c r="R213" t="s">
        <v>505</v>
      </c>
      <c r="S213">
        <v>2018</v>
      </c>
      <c r="T213">
        <v>6</v>
      </c>
      <c r="U213" t="s">
        <v>408</v>
      </c>
      <c r="V213" t="s">
        <v>408</v>
      </c>
      <c r="W213">
        <v>0</v>
      </c>
      <c r="X213">
        <v>0</v>
      </c>
      <c r="Y213" t="s">
        <v>408</v>
      </c>
      <c r="Z213">
        <v>2018</v>
      </c>
      <c r="AA213">
        <v>0</v>
      </c>
      <c r="AB213" s="5">
        <v>0.115896006033</v>
      </c>
      <c r="AC213" s="5">
        <v>0.115896006033</v>
      </c>
      <c r="AD213" t="s">
        <v>408</v>
      </c>
      <c r="AE213" t="s">
        <v>411</v>
      </c>
      <c r="AF213" t="s">
        <v>447</v>
      </c>
      <c r="AG213" t="s">
        <v>152</v>
      </c>
      <c r="AH213" t="s">
        <v>408</v>
      </c>
      <c r="AI213" t="s">
        <v>408</v>
      </c>
      <c r="AJ213" t="s">
        <v>408</v>
      </c>
      <c r="AK213" t="s">
        <v>408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 s="58">
        <f t="shared" si="3"/>
        <v>1</v>
      </c>
      <c r="AU213" s="79">
        <v>43335</v>
      </c>
      <c r="AV213" s="78" t="s">
        <v>410</v>
      </c>
      <c r="AW213" t="s">
        <v>152</v>
      </c>
      <c r="AX213">
        <v>2</v>
      </c>
      <c r="AY213" t="s">
        <v>412</v>
      </c>
      <c r="AZ213" t="s">
        <v>408</v>
      </c>
    </row>
    <row r="214" spans="1:52" x14ac:dyDescent="0.3">
      <c r="A214">
        <v>203</v>
      </c>
      <c r="B214" t="s">
        <v>918</v>
      </c>
      <c r="C214" t="s">
        <v>154</v>
      </c>
      <c r="D214" t="s">
        <v>919</v>
      </c>
      <c r="E214" t="s">
        <v>460</v>
      </c>
      <c r="F214" t="s">
        <v>408</v>
      </c>
      <c r="G214">
        <v>2050</v>
      </c>
      <c r="H214">
        <v>2051</v>
      </c>
      <c r="I214" t="s">
        <v>1058</v>
      </c>
      <c r="J214">
        <v>1901</v>
      </c>
      <c r="K214">
        <v>1900</v>
      </c>
      <c r="L214" t="s">
        <v>923</v>
      </c>
      <c r="M214">
        <v>4</v>
      </c>
      <c r="N214" t="s">
        <v>170</v>
      </c>
      <c r="O214" t="s">
        <v>170</v>
      </c>
      <c r="P214" t="s">
        <v>420</v>
      </c>
      <c r="Q214" t="s">
        <v>1059</v>
      </c>
      <c r="R214" t="s">
        <v>815</v>
      </c>
      <c r="S214">
        <v>2008</v>
      </c>
      <c r="T214">
        <v>9</v>
      </c>
      <c r="U214" t="s">
        <v>408</v>
      </c>
      <c r="V214" t="s">
        <v>922</v>
      </c>
      <c r="W214">
        <v>2018</v>
      </c>
      <c r="X214">
        <v>12</v>
      </c>
      <c r="Y214" t="s">
        <v>408</v>
      </c>
      <c r="Z214">
        <v>2018</v>
      </c>
      <c r="AA214">
        <v>2018</v>
      </c>
      <c r="AB214" s="5">
        <v>0.32822479124199999</v>
      </c>
      <c r="AC214" s="5">
        <v>0.65644958248399998</v>
      </c>
      <c r="AD214" t="s">
        <v>408</v>
      </c>
      <c r="AE214" t="s">
        <v>152</v>
      </c>
      <c r="AF214" t="s">
        <v>408</v>
      </c>
      <c r="AG214" t="s">
        <v>408</v>
      </c>
      <c r="AH214" t="s">
        <v>408</v>
      </c>
      <c r="AI214" t="s">
        <v>408</v>
      </c>
      <c r="AJ214" t="s">
        <v>408</v>
      </c>
      <c r="AK214" t="s">
        <v>408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s="58">
        <f t="shared" si="3"/>
        <v>1</v>
      </c>
      <c r="AU214" s="79">
        <v>43343</v>
      </c>
      <c r="AV214" t="s">
        <v>410</v>
      </c>
      <c r="AW214" t="s">
        <v>408</v>
      </c>
      <c r="AX214">
        <v>2</v>
      </c>
      <c r="AY214" t="s">
        <v>412</v>
      </c>
      <c r="AZ214" t="s">
        <v>408</v>
      </c>
    </row>
    <row r="215" spans="1:52" x14ac:dyDescent="0.3">
      <c r="A215">
        <v>204</v>
      </c>
      <c r="B215" t="s">
        <v>527</v>
      </c>
      <c r="C215" t="s">
        <v>447</v>
      </c>
      <c r="D215" t="s">
        <v>528</v>
      </c>
      <c r="E215" t="s">
        <v>417</v>
      </c>
      <c r="F215" t="s">
        <v>408</v>
      </c>
      <c r="G215">
        <v>400</v>
      </c>
      <c r="H215">
        <v>401</v>
      </c>
      <c r="I215" t="s">
        <v>508</v>
      </c>
      <c r="J215">
        <v>456</v>
      </c>
      <c r="K215">
        <v>436</v>
      </c>
      <c r="L215" t="s">
        <v>495</v>
      </c>
      <c r="M215">
        <v>3</v>
      </c>
      <c r="N215" t="s">
        <v>170</v>
      </c>
      <c r="O215" t="s">
        <v>170</v>
      </c>
      <c r="P215" t="s">
        <v>420</v>
      </c>
      <c r="Q215" t="s">
        <v>408</v>
      </c>
      <c r="R215" t="s">
        <v>493</v>
      </c>
      <c r="S215">
        <v>2007</v>
      </c>
      <c r="T215">
        <v>5</v>
      </c>
      <c r="U215" t="s">
        <v>408</v>
      </c>
      <c r="V215" t="s">
        <v>487</v>
      </c>
      <c r="W215">
        <v>2020</v>
      </c>
      <c r="X215">
        <v>0</v>
      </c>
      <c r="Y215" t="s">
        <v>408</v>
      </c>
      <c r="Z215">
        <v>2020</v>
      </c>
      <c r="AA215">
        <v>0</v>
      </c>
      <c r="AB215" s="5">
        <v>0.126376045416</v>
      </c>
      <c r="AC215" s="5">
        <v>0.25275209083200001</v>
      </c>
      <c r="AD215" t="s">
        <v>408</v>
      </c>
      <c r="AE215" t="s">
        <v>152</v>
      </c>
      <c r="AF215" t="s">
        <v>408</v>
      </c>
      <c r="AG215" t="s">
        <v>408</v>
      </c>
      <c r="AH215" t="s">
        <v>408</v>
      </c>
      <c r="AI215" t="s">
        <v>408</v>
      </c>
      <c r="AJ215" t="s">
        <v>408</v>
      </c>
      <c r="AK215" t="s">
        <v>408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 s="58">
        <f t="shared" si="3"/>
        <v>1</v>
      </c>
      <c r="AU215" s="79" t="s">
        <v>592</v>
      </c>
      <c r="AV215" s="78" t="s">
        <v>410</v>
      </c>
      <c r="AW215" t="s">
        <v>408</v>
      </c>
      <c r="AX215">
        <v>2</v>
      </c>
      <c r="AY215" t="s">
        <v>412</v>
      </c>
      <c r="AZ215" t="s">
        <v>408</v>
      </c>
    </row>
    <row r="216" spans="1:52" x14ac:dyDescent="0.3">
      <c r="A216">
        <v>205</v>
      </c>
      <c r="B216" t="s">
        <v>527</v>
      </c>
      <c r="C216" t="s">
        <v>447</v>
      </c>
      <c r="D216" t="s">
        <v>528</v>
      </c>
      <c r="E216" t="s">
        <v>417</v>
      </c>
      <c r="F216" t="s">
        <v>408</v>
      </c>
      <c r="G216">
        <v>600</v>
      </c>
      <c r="H216">
        <v>601</v>
      </c>
      <c r="I216" t="s">
        <v>1060</v>
      </c>
      <c r="J216">
        <v>826</v>
      </c>
      <c r="K216">
        <v>827</v>
      </c>
      <c r="L216" t="s">
        <v>1029</v>
      </c>
      <c r="M216">
        <v>3</v>
      </c>
      <c r="N216" t="s">
        <v>170</v>
      </c>
      <c r="O216" t="s">
        <v>170</v>
      </c>
      <c r="P216" t="s">
        <v>420</v>
      </c>
      <c r="Q216" t="s">
        <v>408</v>
      </c>
      <c r="R216" t="s">
        <v>719</v>
      </c>
      <c r="S216">
        <v>2005</v>
      </c>
      <c r="T216">
        <v>7</v>
      </c>
      <c r="U216" t="s">
        <v>408</v>
      </c>
      <c r="V216" t="s">
        <v>662</v>
      </c>
      <c r="W216">
        <v>2016</v>
      </c>
      <c r="X216">
        <v>5</v>
      </c>
      <c r="Y216" t="s">
        <v>370</v>
      </c>
      <c r="Z216">
        <v>2016</v>
      </c>
      <c r="AA216">
        <v>2016</v>
      </c>
      <c r="AB216" s="5">
        <v>0.31455251323</v>
      </c>
      <c r="AC216" s="5">
        <v>0.62910502645999999</v>
      </c>
      <c r="AD216" t="s">
        <v>408</v>
      </c>
      <c r="AE216" t="s">
        <v>152</v>
      </c>
      <c r="AF216" t="s">
        <v>408</v>
      </c>
      <c r="AG216" t="s">
        <v>408</v>
      </c>
      <c r="AH216" t="s">
        <v>408</v>
      </c>
      <c r="AI216" t="s">
        <v>408</v>
      </c>
      <c r="AJ216" t="s">
        <v>408</v>
      </c>
      <c r="AK216" t="s">
        <v>408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s="58">
        <f t="shared" si="3"/>
        <v>1</v>
      </c>
      <c r="AU216" s="79">
        <v>43336</v>
      </c>
      <c r="AV216" s="78" t="s">
        <v>410</v>
      </c>
      <c r="AW216" t="s">
        <v>408</v>
      </c>
      <c r="AX216">
        <v>2</v>
      </c>
      <c r="AY216" t="s">
        <v>412</v>
      </c>
      <c r="AZ216" t="s">
        <v>408</v>
      </c>
    </row>
    <row r="217" spans="1:52" x14ac:dyDescent="0.3">
      <c r="A217">
        <v>206</v>
      </c>
      <c r="B217" t="s">
        <v>527</v>
      </c>
      <c r="C217" t="s">
        <v>447</v>
      </c>
      <c r="D217" t="s">
        <v>528</v>
      </c>
      <c r="E217" t="s">
        <v>417</v>
      </c>
      <c r="F217" t="s">
        <v>408</v>
      </c>
      <c r="G217">
        <v>3032</v>
      </c>
      <c r="H217">
        <v>3033</v>
      </c>
      <c r="I217" t="s">
        <v>1061</v>
      </c>
      <c r="J217">
        <v>3126</v>
      </c>
      <c r="K217">
        <v>3127</v>
      </c>
      <c r="L217" t="s">
        <v>529</v>
      </c>
      <c r="M217">
        <v>3</v>
      </c>
      <c r="N217" t="s">
        <v>167</v>
      </c>
      <c r="O217" t="s">
        <v>167</v>
      </c>
      <c r="P217" t="s">
        <v>420</v>
      </c>
      <c r="Q217" t="s">
        <v>408</v>
      </c>
      <c r="R217" t="s">
        <v>493</v>
      </c>
      <c r="S217">
        <v>2007</v>
      </c>
      <c r="T217">
        <v>7</v>
      </c>
      <c r="U217" t="s">
        <v>408</v>
      </c>
      <c r="V217" t="s">
        <v>532</v>
      </c>
      <c r="W217">
        <v>2011</v>
      </c>
      <c r="X217">
        <v>6</v>
      </c>
      <c r="Y217" t="s">
        <v>370</v>
      </c>
      <c r="Z217">
        <v>2011</v>
      </c>
      <c r="AA217">
        <v>2011</v>
      </c>
      <c r="AB217" s="5">
        <v>0.124726075629</v>
      </c>
      <c r="AC217" s="5">
        <v>0.24945215125799999</v>
      </c>
      <c r="AD217" t="s">
        <v>408</v>
      </c>
      <c r="AE217" t="s">
        <v>152</v>
      </c>
      <c r="AF217" t="s">
        <v>408</v>
      </c>
      <c r="AG217" t="s">
        <v>408</v>
      </c>
      <c r="AH217" t="s">
        <v>408</v>
      </c>
      <c r="AI217" t="s">
        <v>408</v>
      </c>
      <c r="AJ217" t="s">
        <v>408</v>
      </c>
      <c r="AK217" t="s">
        <v>408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 s="58">
        <f t="shared" si="3"/>
        <v>1</v>
      </c>
      <c r="AU217" s="79">
        <v>43336</v>
      </c>
      <c r="AV217" s="78" t="s">
        <v>410</v>
      </c>
      <c r="AW217" t="s">
        <v>408</v>
      </c>
      <c r="AX217">
        <v>2</v>
      </c>
      <c r="AY217" t="s">
        <v>412</v>
      </c>
      <c r="AZ217" t="s">
        <v>408</v>
      </c>
    </row>
    <row r="218" spans="1:52" x14ac:dyDescent="0.3">
      <c r="A218">
        <v>207</v>
      </c>
      <c r="B218" t="s">
        <v>911</v>
      </c>
      <c r="C218" t="s">
        <v>154</v>
      </c>
      <c r="D218" t="s">
        <v>912</v>
      </c>
      <c r="E218" t="s">
        <v>417</v>
      </c>
      <c r="F218" t="s">
        <v>408</v>
      </c>
      <c r="G218">
        <v>1079</v>
      </c>
      <c r="H218">
        <v>1078</v>
      </c>
      <c r="I218" t="s">
        <v>1062</v>
      </c>
      <c r="J218">
        <v>1001</v>
      </c>
      <c r="K218">
        <v>1000</v>
      </c>
      <c r="L218" t="s">
        <v>1063</v>
      </c>
      <c r="M218">
        <v>4</v>
      </c>
      <c r="N218" t="s">
        <v>167</v>
      </c>
      <c r="O218" t="s">
        <v>167</v>
      </c>
      <c r="P218" t="s">
        <v>420</v>
      </c>
      <c r="Q218" t="s">
        <v>408</v>
      </c>
      <c r="R218" t="s">
        <v>748</v>
      </c>
      <c r="S218">
        <v>2004</v>
      </c>
      <c r="T218">
        <v>10</v>
      </c>
      <c r="U218" t="s">
        <v>408</v>
      </c>
      <c r="V218" t="s">
        <v>487</v>
      </c>
      <c r="W218">
        <v>2020</v>
      </c>
      <c r="X218">
        <v>0</v>
      </c>
      <c r="Y218" t="s">
        <v>408</v>
      </c>
      <c r="Z218">
        <v>2020</v>
      </c>
      <c r="AA218">
        <v>2017</v>
      </c>
      <c r="AB218" s="5">
        <v>0.15995021970500001</v>
      </c>
      <c r="AC218" s="5">
        <v>0.31990043941000001</v>
      </c>
      <c r="AD218" t="s">
        <v>408</v>
      </c>
      <c r="AE218" t="s">
        <v>152</v>
      </c>
      <c r="AF218" t="s">
        <v>408</v>
      </c>
      <c r="AG218" t="s">
        <v>408</v>
      </c>
      <c r="AH218" t="s">
        <v>408</v>
      </c>
      <c r="AI218" t="s">
        <v>408</v>
      </c>
      <c r="AJ218" t="s">
        <v>408</v>
      </c>
      <c r="AK218" t="s">
        <v>408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 s="58">
        <f t="shared" si="3"/>
        <v>1</v>
      </c>
      <c r="AU218" s="79" t="s">
        <v>592</v>
      </c>
      <c r="AV218" t="s">
        <v>410</v>
      </c>
      <c r="AW218" t="s">
        <v>408</v>
      </c>
      <c r="AX218">
        <v>2</v>
      </c>
      <c r="AY218" t="s">
        <v>412</v>
      </c>
      <c r="AZ218" t="s">
        <v>408</v>
      </c>
    </row>
    <row r="219" spans="1:52" x14ac:dyDescent="0.3">
      <c r="A219">
        <v>208</v>
      </c>
      <c r="B219" t="s">
        <v>693</v>
      </c>
      <c r="C219" t="s">
        <v>152</v>
      </c>
      <c r="D219" t="s">
        <v>694</v>
      </c>
      <c r="E219" t="s">
        <v>460</v>
      </c>
      <c r="F219" t="s">
        <v>408</v>
      </c>
      <c r="G219">
        <v>2200</v>
      </c>
      <c r="H219">
        <v>2201</v>
      </c>
      <c r="I219" t="s">
        <v>480</v>
      </c>
      <c r="J219">
        <v>2238</v>
      </c>
      <c r="K219">
        <v>2239</v>
      </c>
      <c r="L219" t="s">
        <v>951</v>
      </c>
      <c r="M219">
        <v>3</v>
      </c>
      <c r="N219" t="s">
        <v>167</v>
      </c>
      <c r="O219" t="s">
        <v>167</v>
      </c>
      <c r="P219" t="s">
        <v>420</v>
      </c>
      <c r="Q219" t="s">
        <v>952</v>
      </c>
      <c r="R219" t="s">
        <v>493</v>
      </c>
      <c r="S219">
        <v>2007</v>
      </c>
      <c r="T219">
        <v>6</v>
      </c>
      <c r="U219" t="s">
        <v>408</v>
      </c>
      <c r="V219" t="s">
        <v>695</v>
      </c>
      <c r="W219">
        <v>2020</v>
      </c>
      <c r="X219">
        <v>0</v>
      </c>
      <c r="Y219" t="s">
        <v>370</v>
      </c>
      <c r="Z219">
        <v>2020</v>
      </c>
      <c r="AA219">
        <v>2020</v>
      </c>
      <c r="AB219" s="5">
        <v>8.6603734511399993E-2</v>
      </c>
      <c r="AC219" s="5">
        <v>0.17320746902299999</v>
      </c>
      <c r="AD219" t="s">
        <v>408</v>
      </c>
      <c r="AE219" t="s">
        <v>152</v>
      </c>
      <c r="AF219" t="s">
        <v>408</v>
      </c>
      <c r="AG219" t="s">
        <v>408</v>
      </c>
      <c r="AH219" t="s">
        <v>408</v>
      </c>
      <c r="AI219" t="s">
        <v>408</v>
      </c>
      <c r="AJ219" t="s">
        <v>408</v>
      </c>
      <c r="AK219" t="s">
        <v>408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 s="58">
        <f t="shared" si="3"/>
        <v>1</v>
      </c>
      <c r="AU219" s="79" t="s">
        <v>431</v>
      </c>
      <c r="AV219" s="78" t="s">
        <v>410</v>
      </c>
      <c r="AW219" t="s">
        <v>408</v>
      </c>
      <c r="AX219">
        <v>2</v>
      </c>
      <c r="AY219" t="s">
        <v>412</v>
      </c>
      <c r="AZ219" t="s">
        <v>408</v>
      </c>
    </row>
    <row r="220" spans="1:52" x14ac:dyDescent="0.3">
      <c r="A220">
        <v>209</v>
      </c>
      <c r="B220" t="s">
        <v>500</v>
      </c>
      <c r="C220" t="s">
        <v>154</v>
      </c>
      <c r="D220" t="s">
        <v>501</v>
      </c>
      <c r="E220" t="s">
        <v>466</v>
      </c>
      <c r="F220" t="s">
        <v>154</v>
      </c>
      <c r="G220">
        <v>1501</v>
      </c>
      <c r="H220">
        <v>1500</v>
      </c>
      <c r="I220" t="s">
        <v>545</v>
      </c>
      <c r="J220">
        <v>1553</v>
      </c>
      <c r="K220">
        <v>1554</v>
      </c>
      <c r="L220" t="s">
        <v>647</v>
      </c>
      <c r="M220">
        <v>4</v>
      </c>
      <c r="N220" t="s">
        <v>167</v>
      </c>
      <c r="O220" t="s">
        <v>167</v>
      </c>
      <c r="P220" t="s">
        <v>420</v>
      </c>
      <c r="Q220" t="s">
        <v>408</v>
      </c>
      <c r="R220" t="s">
        <v>493</v>
      </c>
      <c r="S220">
        <v>2007</v>
      </c>
      <c r="T220">
        <v>10</v>
      </c>
      <c r="U220" t="s">
        <v>408</v>
      </c>
      <c r="V220" t="s">
        <v>910</v>
      </c>
      <c r="W220">
        <v>2015</v>
      </c>
      <c r="X220">
        <v>9</v>
      </c>
      <c r="Y220" t="s">
        <v>370</v>
      </c>
      <c r="Z220">
        <v>2015</v>
      </c>
      <c r="AA220">
        <v>2015</v>
      </c>
      <c r="AB220" s="5">
        <v>0.22054234679699999</v>
      </c>
      <c r="AC220" s="5">
        <v>0.22054234679699999</v>
      </c>
      <c r="AD220" t="s">
        <v>400</v>
      </c>
      <c r="AE220" t="s">
        <v>411</v>
      </c>
      <c r="AF220" t="s">
        <v>154</v>
      </c>
      <c r="AG220" t="s">
        <v>152</v>
      </c>
      <c r="AH220" t="s">
        <v>408</v>
      </c>
      <c r="AI220" t="s">
        <v>408</v>
      </c>
      <c r="AJ220" t="s">
        <v>408</v>
      </c>
      <c r="AK220" t="s">
        <v>408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 s="58">
        <f t="shared" si="3"/>
        <v>1</v>
      </c>
      <c r="AU220" s="79" t="s">
        <v>602</v>
      </c>
      <c r="AV220" s="78" t="s">
        <v>410</v>
      </c>
      <c r="AW220" t="s">
        <v>411</v>
      </c>
      <c r="AX220">
        <v>2</v>
      </c>
      <c r="AY220" t="s">
        <v>412</v>
      </c>
      <c r="AZ220" t="s">
        <v>408</v>
      </c>
    </row>
    <row r="221" spans="1:52" x14ac:dyDescent="0.3">
      <c r="A221">
        <v>210</v>
      </c>
      <c r="B221" t="s">
        <v>867</v>
      </c>
      <c r="C221" t="s">
        <v>154</v>
      </c>
      <c r="D221" t="s">
        <v>868</v>
      </c>
      <c r="E221" t="s">
        <v>466</v>
      </c>
      <c r="F221" t="s">
        <v>408</v>
      </c>
      <c r="G221">
        <v>3233</v>
      </c>
      <c r="H221">
        <v>3252</v>
      </c>
      <c r="I221" t="s">
        <v>870</v>
      </c>
      <c r="J221">
        <v>2801</v>
      </c>
      <c r="K221">
        <v>2800</v>
      </c>
      <c r="L221" t="s">
        <v>761</v>
      </c>
      <c r="M221">
        <v>4</v>
      </c>
      <c r="N221" t="s">
        <v>165</v>
      </c>
      <c r="O221" t="s">
        <v>165</v>
      </c>
      <c r="P221" t="s">
        <v>403</v>
      </c>
      <c r="Q221" t="s">
        <v>871</v>
      </c>
      <c r="R221" t="s">
        <v>703</v>
      </c>
      <c r="S221">
        <v>2014</v>
      </c>
      <c r="T221">
        <v>7</v>
      </c>
      <c r="U221" t="s">
        <v>408</v>
      </c>
      <c r="V221" t="s">
        <v>454</v>
      </c>
      <c r="W221">
        <v>2018</v>
      </c>
      <c r="X221">
        <v>11</v>
      </c>
      <c r="Y221" t="s">
        <v>818</v>
      </c>
      <c r="Z221">
        <v>2018</v>
      </c>
      <c r="AA221">
        <v>2018</v>
      </c>
      <c r="AB221" s="5">
        <v>0.61994135502600001</v>
      </c>
      <c r="AC221" s="5">
        <v>1.2398827100500001</v>
      </c>
      <c r="AD221" t="s">
        <v>408</v>
      </c>
      <c r="AE221" t="s">
        <v>152</v>
      </c>
      <c r="AF221" t="s">
        <v>408</v>
      </c>
      <c r="AG221" t="s">
        <v>408</v>
      </c>
      <c r="AH221" t="s">
        <v>408</v>
      </c>
      <c r="AI221" t="s">
        <v>408</v>
      </c>
      <c r="AJ221" t="s">
        <v>408</v>
      </c>
      <c r="AK221" t="s">
        <v>408</v>
      </c>
      <c r="AL221">
        <v>0</v>
      </c>
      <c r="AM221">
        <v>0</v>
      </c>
      <c r="AN221">
        <v>0</v>
      </c>
      <c r="AO221">
        <v>0.5</v>
      </c>
      <c r="AP221">
        <v>0</v>
      </c>
      <c r="AQ221">
        <v>0</v>
      </c>
      <c r="AR221">
        <v>0</v>
      </c>
      <c r="AS221">
        <v>0.5</v>
      </c>
      <c r="AT221" s="58">
        <f t="shared" si="3"/>
        <v>1</v>
      </c>
      <c r="AU221" s="79">
        <v>43342</v>
      </c>
      <c r="AV221" s="78" t="s">
        <v>410</v>
      </c>
      <c r="AW221" t="s">
        <v>152</v>
      </c>
      <c r="AX221">
        <v>2</v>
      </c>
      <c r="AY221" t="s">
        <v>412</v>
      </c>
      <c r="AZ221" t="s">
        <v>408</v>
      </c>
    </row>
    <row r="222" spans="1:52" x14ac:dyDescent="0.3">
      <c r="A222">
        <v>211</v>
      </c>
      <c r="B222" t="s">
        <v>477</v>
      </c>
      <c r="C222" t="s">
        <v>155</v>
      </c>
      <c r="D222" t="s">
        <v>478</v>
      </c>
      <c r="E222" t="s">
        <v>417</v>
      </c>
      <c r="F222" t="s">
        <v>408</v>
      </c>
      <c r="G222">
        <v>6500</v>
      </c>
      <c r="H222">
        <v>6504</v>
      </c>
      <c r="I222" t="s">
        <v>1064</v>
      </c>
      <c r="J222">
        <v>6142</v>
      </c>
      <c r="K222">
        <v>6141</v>
      </c>
      <c r="L222" t="s">
        <v>1065</v>
      </c>
      <c r="M222">
        <v>2</v>
      </c>
      <c r="N222" t="s">
        <v>167</v>
      </c>
      <c r="O222" t="s">
        <v>167</v>
      </c>
      <c r="P222" t="s">
        <v>420</v>
      </c>
      <c r="Q222" t="s">
        <v>408</v>
      </c>
      <c r="R222" t="s">
        <v>1066</v>
      </c>
      <c r="S222">
        <v>2007</v>
      </c>
      <c r="T222">
        <v>5</v>
      </c>
      <c r="U222" t="s">
        <v>370</v>
      </c>
      <c r="V222" t="s">
        <v>849</v>
      </c>
      <c r="W222">
        <v>2016</v>
      </c>
      <c r="X222">
        <v>7</v>
      </c>
      <c r="Y222" t="s">
        <v>408</v>
      </c>
      <c r="Z222">
        <v>2016</v>
      </c>
      <c r="AA222">
        <v>2007</v>
      </c>
      <c r="AB222" s="5">
        <v>0.41612421422500001</v>
      </c>
      <c r="AC222" s="5">
        <v>0.83224842845000002</v>
      </c>
      <c r="AD222" t="s">
        <v>408</v>
      </c>
      <c r="AE222" t="s">
        <v>152</v>
      </c>
      <c r="AF222" t="s">
        <v>408</v>
      </c>
      <c r="AG222" t="s">
        <v>408</v>
      </c>
      <c r="AH222" t="s">
        <v>408</v>
      </c>
      <c r="AI222" t="s">
        <v>408</v>
      </c>
      <c r="AJ222" t="s">
        <v>408</v>
      </c>
      <c r="AK222" t="s">
        <v>408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 s="58">
        <f t="shared" si="3"/>
        <v>1</v>
      </c>
      <c r="AU222" s="79" t="s">
        <v>602</v>
      </c>
      <c r="AV222" s="78" t="s">
        <v>410</v>
      </c>
      <c r="AW222" t="s">
        <v>411</v>
      </c>
      <c r="AX222">
        <v>2</v>
      </c>
      <c r="AY222" t="s">
        <v>412</v>
      </c>
      <c r="AZ222" t="s">
        <v>408</v>
      </c>
    </row>
    <row r="223" spans="1:52" x14ac:dyDescent="0.3">
      <c r="A223">
        <v>212</v>
      </c>
      <c r="B223" t="s">
        <v>837</v>
      </c>
      <c r="C223" t="s">
        <v>154</v>
      </c>
      <c r="D223" t="s">
        <v>838</v>
      </c>
      <c r="E223" t="s">
        <v>460</v>
      </c>
      <c r="F223" t="s">
        <v>408</v>
      </c>
      <c r="G223">
        <v>3428</v>
      </c>
      <c r="H223">
        <v>3429</v>
      </c>
      <c r="I223" t="s">
        <v>1067</v>
      </c>
      <c r="J223">
        <v>3200</v>
      </c>
      <c r="K223">
        <v>3201</v>
      </c>
      <c r="L223" t="s">
        <v>434</v>
      </c>
      <c r="M223">
        <v>2</v>
      </c>
      <c r="N223" t="s">
        <v>170</v>
      </c>
      <c r="O223" t="s">
        <v>170</v>
      </c>
      <c r="P223" t="s">
        <v>420</v>
      </c>
      <c r="Q223" t="s">
        <v>408</v>
      </c>
      <c r="R223" t="s">
        <v>624</v>
      </c>
      <c r="S223">
        <v>2009</v>
      </c>
      <c r="T223">
        <v>7</v>
      </c>
      <c r="U223" t="s">
        <v>408</v>
      </c>
      <c r="V223" t="s">
        <v>778</v>
      </c>
      <c r="W223">
        <v>2015</v>
      </c>
      <c r="X223">
        <v>10</v>
      </c>
      <c r="Y223" t="s">
        <v>370</v>
      </c>
      <c r="Z223">
        <v>2015</v>
      </c>
      <c r="AA223">
        <v>2015</v>
      </c>
      <c r="AB223" s="5">
        <v>0.31365695651999997</v>
      </c>
      <c r="AC223" s="5">
        <v>0.62731391303999995</v>
      </c>
      <c r="AD223" t="s">
        <v>408</v>
      </c>
      <c r="AE223" t="s">
        <v>152</v>
      </c>
      <c r="AF223" t="s">
        <v>408</v>
      </c>
      <c r="AG223" t="s">
        <v>408</v>
      </c>
      <c r="AH223" t="s">
        <v>408</v>
      </c>
      <c r="AI223" t="s">
        <v>408</v>
      </c>
      <c r="AJ223" t="s">
        <v>408</v>
      </c>
      <c r="AK223" t="s">
        <v>408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 s="58">
        <f t="shared" si="3"/>
        <v>1</v>
      </c>
      <c r="AU223" s="79">
        <v>43342</v>
      </c>
      <c r="AV223" s="78" t="s">
        <v>410</v>
      </c>
      <c r="AW223" t="s">
        <v>408</v>
      </c>
      <c r="AX223">
        <v>2</v>
      </c>
      <c r="AY223" t="s">
        <v>412</v>
      </c>
      <c r="AZ223" t="s">
        <v>408</v>
      </c>
    </row>
    <row r="224" spans="1:52" x14ac:dyDescent="0.3">
      <c r="A224">
        <v>213</v>
      </c>
      <c r="B224" t="s">
        <v>667</v>
      </c>
      <c r="C224" t="s">
        <v>154</v>
      </c>
      <c r="D224" t="s">
        <v>668</v>
      </c>
      <c r="E224" t="s">
        <v>460</v>
      </c>
      <c r="F224" t="s">
        <v>408</v>
      </c>
      <c r="G224">
        <v>4801</v>
      </c>
      <c r="H224">
        <v>4800</v>
      </c>
      <c r="I224" t="s">
        <v>1068</v>
      </c>
      <c r="J224">
        <v>5201</v>
      </c>
      <c r="K224">
        <v>5200</v>
      </c>
      <c r="L224" t="s">
        <v>1069</v>
      </c>
      <c r="M224">
        <v>3</v>
      </c>
      <c r="N224" t="s">
        <v>167</v>
      </c>
      <c r="O224" t="s">
        <v>167</v>
      </c>
      <c r="P224" t="s">
        <v>420</v>
      </c>
      <c r="Q224" t="s">
        <v>408</v>
      </c>
      <c r="R224" t="s">
        <v>671</v>
      </c>
      <c r="S224">
        <v>2002</v>
      </c>
      <c r="T224">
        <v>9</v>
      </c>
      <c r="U224" t="s">
        <v>408</v>
      </c>
      <c r="V224" t="s">
        <v>487</v>
      </c>
      <c r="W224">
        <v>2020</v>
      </c>
      <c r="X224">
        <v>4</v>
      </c>
      <c r="Y224" t="s">
        <v>408</v>
      </c>
      <c r="Z224">
        <v>2020</v>
      </c>
      <c r="AA224">
        <v>2014</v>
      </c>
      <c r="AB224" s="5">
        <v>0.506461739543</v>
      </c>
      <c r="AC224" s="5">
        <v>1.0129234790899999</v>
      </c>
      <c r="AD224" t="s">
        <v>408</v>
      </c>
      <c r="AE224" t="s">
        <v>152</v>
      </c>
      <c r="AF224" t="s">
        <v>408</v>
      </c>
      <c r="AG224" t="s">
        <v>408</v>
      </c>
      <c r="AH224" t="s">
        <v>408</v>
      </c>
      <c r="AI224" t="s">
        <v>408</v>
      </c>
      <c r="AJ224" t="s">
        <v>408</v>
      </c>
      <c r="AK224" t="s">
        <v>408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s="58">
        <f t="shared" si="3"/>
        <v>1</v>
      </c>
      <c r="AU224" s="79" t="s">
        <v>592</v>
      </c>
      <c r="AV224" t="s">
        <v>410</v>
      </c>
      <c r="AW224" t="s">
        <v>408</v>
      </c>
      <c r="AX224">
        <v>2</v>
      </c>
      <c r="AY224" t="s">
        <v>412</v>
      </c>
      <c r="AZ224" t="s">
        <v>408</v>
      </c>
    </row>
    <row r="225" spans="1:52" x14ac:dyDescent="0.3">
      <c r="A225">
        <v>214</v>
      </c>
      <c r="B225" t="s">
        <v>1070</v>
      </c>
      <c r="C225" t="s">
        <v>155</v>
      </c>
      <c r="D225" t="s">
        <v>1071</v>
      </c>
      <c r="E225" t="s">
        <v>460</v>
      </c>
      <c r="F225" t="s">
        <v>408</v>
      </c>
      <c r="G225">
        <v>5758</v>
      </c>
      <c r="H225">
        <v>5759</v>
      </c>
      <c r="I225" t="s">
        <v>1072</v>
      </c>
      <c r="J225">
        <v>5500</v>
      </c>
      <c r="K225">
        <v>5501</v>
      </c>
      <c r="L225" t="s">
        <v>1036</v>
      </c>
      <c r="M225">
        <v>3</v>
      </c>
      <c r="N225" t="s">
        <v>167</v>
      </c>
      <c r="O225" t="s">
        <v>167</v>
      </c>
      <c r="P225" t="s">
        <v>420</v>
      </c>
      <c r="Q225" t="s">
        <v>1073</v>
      </c>
      <c r="R225" t="s">
        <v>1074</v>
      </c>
      <c r="S225">
        <v>2009</v>
      </c>
      <c r="T225">
        <v>11</v>
      </c>
      <c r="U225" t="s">
        <v>370</v>
      </c>
      <c r="V225" t="s">
        <v>511</v>
      </c>
      <c r="W225">
        <v>2018</v>
      </c>
      <c r="X225">
        <v>8</v>
      </c>
      <c r="Y225" t="s">
        <v>408</v>
      </c>
      <c r="Z225">
        <v>2018</v>
      </c>
      <c r="AA225">
        <v>2009</v>
      </c>
      <c r="AB225" s="5">
        <v>0.35173267566600003</v>
      </c>
      <c r="AC225" s="5">
        <v>0.70346535133200006</v>
      </c>
      <c r="AD225" t="s">
        <v>408</v>
      </c>
      <c r="AE225" t="s">
        <v>152</v>
      </c>
      <c r="AF225" t="s">
        <v>408</v>
      </c>
      <c r="AG225" t="s">
        <v>408</v>
      </c>
      <c r="AH225" t="s">
        <v>408</v>
      </c>
      <c r="AI225" t="s">
        <v>408</v>
      </c>
      <c r="AJ225" t="s">
        <v>408</v>
      </c>
      <c r="AK225" t="s">
        <v>408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 s="58">
        <f t="shared" si="3"/>
        <v>1</v>
      </c>
      <c r="AU225" s="79">
        <v>43347</v>
      </c>
      <c r="AV225" s="78" t="s">
        <v>410</v>
      </c>
      <c r="AW225" t="s">
        <v>408</v>
      </c>
      <c r="AX225">
        <v>2</v>
      </c>
      <c r="AY225" t="s">
        <v>412</v>
      </c>
      <c r="AZ225" t="s">
        <v>408</v>
      </c>
    </row>
    <row r="226" spans="1:52" x14ac:dyDescent="0.3">
      <c r="A226">
        <v>215</v>
      </c>
      <c r="B226" t="s">
        <v>489</v>
      </c>
      <c r="C226" t="s">
        <v>152</v>
      </c>
      <c r="D226" t="s">
        <v>490</v>
      </c>
      <c r="E226" t="s">
        <v>460</v>
      </c>
      <c r="F226" t="s">
        <v>400</v>
      </c>
      <c r="G226">
        <v>3401</v>
      </c>
      <c r="H226">
        <v>3400</v>
      </c>
      <c r="I226" t="s">
        <v>804</v>
      </c>
      <c r="J226">
        <v>3565</v>
      </c>
      <c r="K226">
        <v>3564</v>
      </c>
      <c r="L226" t="s">
        <v>573</v>
      </c>
      <c r="M226">
        <v>3</v>
      </c>
      <c r="N226" t="s">
        <v>167</v>
      </c>
      <c r="O226" t="s">
        <v>167</v>
      </c>
      <c r="P226" t="s">
        <v>420</v>
      </c>
      <c r="Q226" t="s">
        <v>408</v>
      </c>
      <c r="R226" t="s">
        <v>422</v>
      </c>
      <c r="S226">
        <v>2011</v>
      </c>
      <c r="T226">
        <v>9</v>
      </c>
      <c r="U226" t="s">
        <v>1075</v>
      </c>
      <c r="V226" t="s">
        <v>556</v>
      </c>
      <c r="W226">
        <v>2020</v>
      </c>
      <c r="X226">
        <v>0</v>
      </c>
      <c r="Y226" t="s">
        <v>1076</v>
      </c>
      <c r="Z226">
        <v>2013</v>
      </c>
      <c r="AA226">
        <v>2013</v>
      </c>
      <c r="AB226" s="5">
        <v>0.26869601168200002</v>
      </c>
      <c r="AC226" s="5">
        <v>0.53739202336400005</v>
      </c>
      <c r="AD226" t="s">
        <v>400</v>
      </c>
      <c r="AE226" t="s">
        <v>152</v>
      </c>
      <c r="AF226" t="s">
        <v>400</v>
      </c>
      <c r="AG226" t="s">
        <v>400</v>
      </c>
      <c r="AH226" t="s">
        <v>400</v>
      </c>
      <c r="AI226" t="s">
        <v>400</v>
      </c>
      <c r="AJ226" t="s">
        <v>400</v>
      </c>
      <c r="AK226" t="s">
        <v>400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 s="58">
        <f t="shared" si="3"/>
        <v>1</v>
      </c>
      <c r="AU226" s="79" t="s">
        <v>1077</v>
      </c>
      <c r="AV226" s="78" t="s">
        <v>410</v>
      </c>
      <c r="AW226" t="s">
        <v>411</v>
      </c>
      <c r="AX226">
        <v>2</v>
      </c>
      <c r="AY226" t="s">
        <v>412</v>
      </c>
      <c r="AZ226">
        <v>30</v>
      </c>
    </row>
    <row r="227" spans="1:52" x14ac:dyDescent="0.3">
      <c r="A227">
        <v>216</v>
      </c>
      <c r="B227" t="s">
        <v>538</v>
      </c>
      <c r="C227" t="s">
        <v>152</v>
      </c>
      <c r="D227" t="s">
        <v>539</v>
      </c>
      <c r="E227" t="s">
        <v>417</v>
      </c>
      <c r="F227" t="s">
        <v>408</v>
      </c>
      <c r="G227">
        <v>5200</v>
      </c>
      <c r="H227">
        <v>5201</v>
      </c>
      <c r="I227" t="s">
        <v>1019</v>
      </c>
      <c r="J227">
        <v>5600</v>
      </c>
      <c r="K227">
        <v>5601</v>
      </c>
      <c r="L227" t="s">
        <v>841</v>
      </c>
      <c r="M227">
        <v>3</v>
      </c>
      <c r="N227" t="s">
        <v>167</v>
      </c>
      <c r="O227" t="s">
        <v>569</v>
      </c>
      <c r="P227" t="s">
        <v>403</v>
      </c>
      <c r="Q227" t="s">
        <v>408</v>
      </c>
      <c r="R227" t="s">
        <v>1078</v>
      </c>
      <c r="S227">
        <v>2019</v>
      </c>
      <c r="T227">
        <v>8</v>
      </c>
      <c r="U227" t="s">
        <v>757</v>
      </c>
      <c r="V227" t="s">
        <v>866</v>
      </c>
      <c r="W227">
        <v>2021</v>
      </c>
      <c r="X227">
        <v>10</v>
      </c>
      <c r="Y227" t="s">
        <v>408</v>
      </c>
      <c r="Z227">
        <v>2021</v>
      </c>
      <c r="AA227">
        <v>2021</v>
      </c>
      <c r="AB227" s="5">
        <v>0.50667015405799998</v>
      </c>
      <c r="AC227" s="5">
        <v>1.0133403081200001</v>
      </c>
      <c r="AD227" t="s">
        <v>408</v>
      </c>
      <c r="AE227" t="s">
        <v>152</v>
      </c>
      <c r="AF227" t="s">
        <v>408</v>
      </c>
      <c r="AG227" t="s">
        <v>408</v>
      </c>
      <c r="AH227" t="s">
        <v>408</v>
      </c>
      <c r="AI227" t="s">
        <v>408</v>
      </c>
      <c r="AJ227" t="s">
        <v>408</v>
      </c>
      <c r="AK227" t="s">
        <v>408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s="58">
        <f t="shared" si="3"/>
        <v>1</v>
      </c>
      <c r="AU227" s="79" t="s">
        <v>768</v>
      </c>
      <c r="AV227" s="78" t="s">
        <v>410</v>
      </c>
      <c r="AW227" t="s">
        <v>400</v>
      </c>
      <c r="AX227">
        <v>2</v>
      </c>
      <c r="AY227" t="s">
        <v>412</v>
      </c>
      <c r="AZ227">
        <v>20</v>
      </c>
    </row>
    <row r="228" spans="1:52" x14ac:dyDescent="0.3">
      <c r="A228">
        <v>217</v>
      </c>
      <c r="B228" t="s">
        <v>1079</v>
      </c>
      <c r="C228" t="s">
        <v>154</v>
      </c>
      <c r="D228" t="s">
        <v>1080</v>
      </c>
      <c r="E228" t="s">
        <v>417</v>
      </c>
      <c r="F228" t="s">
        <v>408</v>
      </c>
      <c r="G228">
        <v>6358</v>
      </c>
      <c r="H228">
        <v>6359</v>
      </c>
      <c r="I228" t="s">
        <v>615</v>
      </c>
      <c r="J228">
        <v>6000</v>
      </c>
      <c r="K228">
        <v>6001</v>
      </c>
      <c r="L228" t="s">
        <v>1081</v>
      </c>
      <c r="M228">
        <v>3</v>
      </c>
      <c r="N228" t="s">
        <v>170</v>
      </c>
      <c r="O228" t="s">
        <v>170</v>
      </c>
      <c r="P228" t="s">
        <v>420</v>
      </c>
      <c r="Q228" t="s">
        <v>1082</v>
      </c>
      <c r="R228" t="s">
        <v>493</v>
      </c>
      <c r="S228">
        <v>2007</v>
      </c>
      <c r="T228">
        <v>10</v>
      </c>
      <c r="U228" t="s">
        <v>408</v>
      </c>
      <c r="V228" t="s">
        <v>695</v>
      </c>
      <c r="W228">
        <v>2020</v>
      </c>
      <c r="X228">
        <v>0</v>
      </c>
      <c r="Y228" t="s">
        <v>370</v>
      </c>
      <c r="Z228">
        <v>2020</v>
      </c>
      <c r="AA228">
        <v>2020</v>
      </c>
      <c r="AB228" s="5">
        <v>0.50376093049100001</v>
      </c>
      <c r="AC228" s="5">
        <v>1.0075218609800001</v>
      </c>
      <c r="AD228" t="s">
        <v>408</v>
      </c>
      <c r="AE228" t="s">
        <v>152</v>
      </c>
      <c r="AF228" t="s">
        <v>408</v>
      </c>
      <c r="AG228" t="s">
        <v>408</v>
      </c>
      <c r="AH228" t="s">
        <v>408</v>
      </c>
      <c r="AI228" t="s">
        <v>408</v>
      </c>
      <c r="AJ228" t="s">
        <v>408</v>
      </c>
      <c r="AK228" t="s">
        <v>408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s="58">
        <f t="shared" si="3"/>
        <v>1</v>
      </c>
      <c r="AU228" s="79" t="s">
        <v>431</v>
      </c>
      <c r="AV228" s="78" t="s">
        <v>410</v>
      </c>
      <c r="AW228" t="s">
        <v>408</v>
      </c>
      <c r="AX228">
        <v>2</v>
      </c>
      <c r="AY228" t="s">
        <v>412</v>
      </c>
      <c r="AZ228" t="s">
        <v>408</v>
      </c>
    </row>
    <row r="229" spans="1:52" x14ac:dyDescent="0.3">
      <c r="A229">
        <v>218</v>
      </c>
      <c r="B229" t="s">
        <v>811</v>
      </c>
      <c r="C229" t="s">
        <v>154</v>
      </c>
      <c r="D229" t="s">
        <v>812</v>
      </c>
      <c r="E229" t="s">
        <v>399</v>
      </c>
      <c r="F229" t="s">
        <v>408</v>
      </c>
      <c r="G229">
        <v>259</v>
      </c>
      <c r="H229">
        <v>258</v>
      </c>
      <c r="I229" t="s">
        <v>1083</v>
      </c>
      <c r="J229">
        <v>1</v>
      </c>
      <c r="K229">
        <v>2</v>
      </c>
      <c r="L229" t="s">
        <v>877</v>
      </c>
      <c r="M229">
        <v>2</v>
      </c>
      <c r="N229" t="s">
        <v>167</v>
      </c>
      <c r="O229" t="s">
        <v>167</v>
      </c>
      <c r="P229" t="s">
        <v>420</v>
      </c>
      <c r="Q229" t="s">
        <v>408</v>
      </c>
      <c r="R229" t="s">
        <v>879</v>
      </c>
      <c r="S229">
        <v>1995</v>
      </c>
      <c r="T229">
        <v>4</v>
      </c>
      <c r="U229" t="s">
        <v>408</v>
      </c>
      <c r="V229" t="s">
        <v>407</v>
      </c>
      <c r="W229">
        <v>2020</v>
      </c>
      <c r="X229">
        <v>0</v>
      </c>
      <c r="Y229" t="s">
        <v>408</v>
      </c>
      <c r="Z229">
        <v>2020</v>
      </c>
      <c r="AA229">
        <v>0</v>
      </c>
      <c r="AB229" s="5">
        <v>0.37746149352800001</v>
      </c>
      <c r="AC229" s="5">
        <v>0.75492298705600003</v>
      </c>
      <c r="AD229" t="s">
        <v>408</v>
      </c>
      <c r="AE229" t="s">
        <v>152</v>
      </c>
      <c r="AF229" t="s">
        <v>408</v>
      </c>
      <c r="AG229" t="s">
        <v>408</v>
      </c>
      <c r="AH229" t="s">
        <v>408</v>
      </c>
      <c r="AI229" t="s">
        <v>408</v>
      </c>
      <c r="AJ229" t="s">
        <v>408</v>
      </c>
      <c r="AK229" t="s">
        <v>411</v>
      </c>
      <c r="AL229">
        <v>2015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 s="58">
        <f t="shared" si="3"/>
        <v>1</v>
      </c>
      <c r="AU229" s="79" t="s">
        <v>431</v>
      </c>
      <c r="AV229" s="78" t="s">
        <v>410</v>
      </c>
      <c r="AW229" t="s">
        <v>408</v>
      </c>
      <c r="AX229">
        <v>2</v>
      </c>
      <c r="AY229" t="s">
        <v>412</v>
      </c>
      <c r="AZ229" t="s">
        <v>408</v>
      </c>
    </row>
    <row r="230" spans="1:52" x14ac:dyDescent="0.3">
      <c r="A230">
        <v>219</v>
      </c>
      <c r="B230" t="s">
        <v>745</v>
      </c>
      <c r="C230" t="s">
        <v>154</v>
      </c>
      <c r="D230" t="s">
        <v>746</v>
      </c>
      <c r="E230" t="s">
        <v>460</v>
      </c>
      <c r="F230" t="s">
        <v>400</v>
      </c>
      <c r="G230">
        <v>2161</v>
      </c>
      <c r="H230">
        <v>2170</v>
      </c>
      <c r="I230" t="s">
        <v>958</v>
      </c>
      <c r="J230">
        <v>1885</v>
      </c>
      <c r="K230">
        <v>1886</v>
      </c>
      <c r="L230" t="s">
        <v>747</v>
      </c>
      <c r="M230">
        <v>3</v>
      </c>
      <c r="N230" t="s">
        <v>170</v>
      </c>
      <c r="O230" t="s">
        <v>170</v>
      </c>
      <c r="P230" t="s">
        <v>420</v>
      </c>
      <c r="Q230" t="s">
        <v>408</v>
      </c>
      <c r="R230" t="s">
        <v>748</v>
      </c>
      <c r="S230">
        <v>2004</v>
      </c>
      <c r="T230">
        <v>9</v>
      </c>
      <c r="U230" t="s">
        <v>408</v>
      </c>
      <c r="V230" t="s">
        <v>749</v>
      </c>
      <c r="W230">
        <v>2021</v>
      </c>
      <c r="X230">
        <v>0</v>
      </c>
      <c r="Y230" t="s">
        <v>408</v>
      </c>
      <c r="Z230">
        <v>2021</v>
      </c>
      <c r="AA230">
        <v>2013</v>
      </c>
      <c r="AB230" s="5">
        <v>0.55729830627099997</v>
      </c>
      <c r="AC230" s="5">
        <v>1.11459661254</v>
      </c>
      <c r="AD230" t="s">
        <v>400</v>
      </c>
      <c r="AE230" t="s">
        <v>152</v>
      </c>
      <c r="AF230" t="s">
        <v>400</v>
      </c>
      <c r="AG230" t="s">
        <v>400</v>
      </c>
      <c r="AH230" t="s">
        <v>400</v>
      </c>
      <c r="AI230" t="s">
        <v>400</v>
      </c>
      <c r="AJ230" t="s">
        <v>400</v>
      </c>
      <c r="AK230" t="s">
        <v>400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 s="58">
        <f t="shared" si="3"/>
        <v>1</v>
      </c>
      <c r="AU230" s="79" t="s">
        <v>750</v>
      </c>
      <c r="AV230" s="78" t="s">
        <v>410</v>
      </c>
      <c r="AW230" t="s">
        <v>400</v>
      </c>
      <c r="AX230">
        <v>2</v>
      </c>
      <c r="AY230" t="s">
        <v>412</v>
      </c>
      <c r="AZ230" t="s">
        <v>408</v>
      </c>
    </row>
    <row r="231" spans="1:52" x14ac:dyDescent="0.3">
      <c r="A231">
        <v>220</v>
      </c>
      <c r="B231" t="s">
        <v>956</v>
      </c>
      <c r="C231" t="s">
        <v>152</v>
      </c>
      <c r="D231" t="s">
        <v>957</v>
      </c>
      <c r="E231" t="s">
        <v>417</v>
      </c>
      <c r="F231" t="s">
        <v>408</v>
      </c>
      <c r="G231">
        <v>300</v>
      </c>
      <c r="H231">
        <v>301</v>
      </c>
      <c r="I231" t="s">
        <v>972</v>
      </c>
      <c r="J231">
        <v>338</v>
      </c>
      <c r="K231">
        <v>339</v>
      </c>
      <c r="L231" t="s">
        <v>1084</v>
      </c>
      <c r="M231">
        <v>4</v>
      </c>
      <c r="N231" t="s">
        <v>167</v>
      </c>
      <c r="O231" t="s">
        <v>167</v>
      </c>
      <c r="P231" t="s">
        <v>420</v>
      </c>
      <c r="Q231" t="s">
        <v>408</v>
      </c>
      <c r="R231" t="s">
        <v>1007</v>
      </c>
      <c r="S231">
        <v>2003</v>
      </c>
      <c r="T231">
        <v>11</v>
      </c>
      <c r="U231" t="s">
        <v>408</v>
      </c>
      <c r="V231" t="s">
        <v>778</v>
      </c>
      <c r="W231">
        <v>2009</v>
      </c>
      <c r="X231">
        <v>7</v>
      </c>
      <c r="Y231" t="s">
        <v>370</v>
      </c>
      <c r="Z231">
        <v>2009</v>
      </c>
      <c r="AA231">
        <v>2009</v>
      </c>
      <c r="AB231" s="5">
        <v>8.1763311406299999E-2</v>
      </c>
      <c r="AC231" s="5">
        <v>0.16352662281300001</v>
      </c>
      <c r="AD231" t="s">
        <v>408</v>
      </c>
      <c r="AE231" t="s">
        <v>152</v>
      </c>
      <c r="AF231" t="s">
        <v>408</v>
      </c>
      <c r="AG231" t="s">
        <v>408</v>
      </c>
      <c r="AH231" t="s">
        <v>408</v>
      </c>
      <c r="AI231" t="s">
        <v>408</v>
      </c>
      <c r="AJ231" t="s">
        <v>408</v>
      </c>
      <c r="AK231" t="s">
        <v>408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 s="58">
        <f t="shared" si="3"/>
        <v>1</v>
      </c>
      <c r="AU231" s="79">
        <v>43343</v>
      </c>
      <c r="AV231" s="78" t="s">
        <v>410</v>
      </c>
      <c r="AW231" t="s">
        <v>408</v>
      </c>
      <c r="AX231">
        <v>2</v>
      </c>
      <c r="AY231" t="s">
        <v>412</v>
      </c>
      <c r="AZ231" t="s">
        <v>408</v>
      </c>
    </row>
    <row r="232" spans="1:52" x14ac:dyDescent="0.3">
      <c r="A232">
        <v>221</v>
      </c>
      <c r="B232" t="s">
        <v>693</v>
      </c>
      <c r="C232" t="s">
        <v>152</v>
      </c>
      <c r="D232" t="s">
        <v>694</v>
      </c>
      <c r="E232" t="s">
        <v>460</v>
      </c>
      <c r="F232" t="s">
        <v>408</v>
      </c>
      <c r="G232">
        <v>2000</v>
      </c>
      <c r="H232">
        <v>2001</v>
      </c>
      <c r="I232" t="s">
        <v>1085</v>
      </c>
      <c r="J232">
        <v>2160</v>
      </c>
      <c r="K232">
        <v>2159</v>
      </c>
      <c r="L232" t="s">
        <v>480</v>
      </c>
      <c r="M232">
        <v>3</v>
      </c>
      <c r="N232" t="s">
        <v>167</v>
      </c>
      <c r="O232" t="s">
        <v>167</v>
      </c>
      <c r="P232" t="s">
        <v>420</v>
      </c>
      <c r="Q232" t="s">
        <v>408</v>
      </c>
      <c r="R232" t="s">
        <v>510</v>
      </c>
      <c r="S232">
        <v>2002</v>
      </c>
      <c r="T232">
        <v>8</v>
      </c>
      <c r="U232" t="s">
        <v>408</v>
      </c>
      <c r="V232" t="s">
        <v>695</v>
      </c>
      <c r="W232">
        <v>2020</v>
      </c>
      <c r="X232">
        <v>0</v>
      </c>
      <c r="Y232" t="s">
        <v>370</v>
      </c>
      <c r="Z232">
        <v>2020</v>
      </c>
      <c r="AA232">
        <v>2020</v>
      </c>
      <c r="AB232" s="5">
        <v>0.25135935612299998</v>
      </c>
      <c r="AC232" s="5">
        <v>0.50271871224599995</v>
      </c>
      <c r="AD232" t="s">
        <v>408</v>
      </c>
      <c r="AE232" t="s">
        <v>152</v>
      </c>
      <c r="AF232" t="s">
        <v>408</v>
      </c>
      <c r="AG232" t="s">
        <v>408</v>
      </c>
      <c r="AH232" t="s">
        <v>408</v>
      </c>
      <c r="AI232" t="s">
        <v>408</v>
      </c>
      <c r="AJ232" t="s">
        <v>408</v>
      </c>
      <c r="AK232" t="s">
        <v>408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s="58">
        <f t="shared" si="3"/>
        <v>1</v>
      </c>
      <c r="AU232" s="79" t="s">
        <v>431</v>
      </c>
      <c r="AV232" t="s">
        <v>410</v>
      </c>
      <c r="AW232" t="s">
        <v>408</v>
      </c>
      <c r="AX232">
        <v>2</v>
      </c>
      <c r="AY232" t="s">
        <v>412</v>
      </c>
      <c r="AZ232" t="s">
        <v>408</v>
      </c>
    </row>
    <row r="233" spans="1:52" x14ac:dyDescent="0.3">
      <c r="A233">
        <v>222</v>
      </c>
      <c r="B233" t="s">
        <v>992</v>
      </c>
      <c r="C233" t="s">
        <v>154</v>
      </c>
      <c r="D233" t="s">
        <v>993</v>
      </c>
      <c r="E233" t="s">
        <v>466</v>
      </c>
      <c r="F233" t="s">
        <v>400</v>
      </c>
      <c r="G233">
        <v>2383</v>
      </c>
      <c r="H233">
        <v>2382</v>
      </c>
      <c r="I233" t="s">
        <v>619</v>
      </c>
      <c r="J233">
        <v>2364</v>
      </c>
      <c r="K233">
        <v>2365</v>
      </c>
      <c r="L233" t="s">
        <v>994</v>
      </c>
      <c r="M233">
        <v>3</v>
      </c>
      <c r="N233" t="s">
        <v>163</v>
      </c>
      <c r="O233" t="s">
        <v>995</v>
      </c>
      <c r="P233" t="s">
        <v>403</v>
      </c>
      <c r="Q233" t="s">
        <v>408</v>
      </c>
      <c r="R233" t="s">
        <v>740</v>
      </c>
      <c r="S233">
        <v>2022</v>
      </c>
      <c r="T233">
        <v>9</v>
      </c>
      <c r="U233" t="s">
        <v>996</v>
      </c>
      <c r="V233" t="s">
        <v>408</v>
      </c>
      <c r="W233">
        <v>0</v>
      </c>
      <c r="X233">
        <v>0</v>
      </c>
      <c r="Y233" t="s">
        <v>408</v>
      </c>
      <c r="Z233">
        <v>2021</v>
      </c>
      <c r="AA233">
        <v>2014</v>
      </c>
      <c r="AB233" s="5">
        <v>5.2932962433199997E-2</v>
      </c>
      <c r="AC233" s="5">
        <v>0.10586592486599999</v>
      </c>
      <c r="AD233" t="s">
        <v>400</v>
      </c>
      <c r="AE233" t="s">
        <v>152</v>
      </c>
      <c r="AF233" t="s">
        <v>400</v>
      </c>
      <c r="AG233" t="s">
        <v>152</v>
      </c>
      <c r="AH233" t="s">
        <v>408</v>
      </c>
      <c r="AI233" t="s">
        <v>744</v>
      </c>
      <c r="AJ233" t="s">
        <v>152</v>
      </c>
      <c r="AK233" t="s">
        <v>408</v>
      </c>
      <c r="AL233">
        <v>2022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 s="58">
        <f t="shared" si="3"/>
        <v>1</v>
      </c>
      <c r="AU233" s="79" t="s">
        <v>457</v>
      </c>
      <c r="AV233" t="s">
        <v>410</v>
      </c>
      <c r="AW233" t="s">
        <v>411</v>
      </c>
      <c r="AX233">
        <v>2</v>
      </c>
      <c r="AY233" t="s">
        <v>412</v>
      </c>
      <c r="AZ233" t="s">
        <v>408</v>
      </c>
    </row>
    <row r="234" spans="1:52" x14ac:dyDescent="0.3">
      <c r="A234">
        <v>223</v>
      </c>
      <c r="B234" t="s">
        <v>557</v>
      </c>
      <c r="C234" t="s">
        <v>152</v>
      </c>
      <c r="D234" t="s">
        <v>558</v>
      </c>
      <c r="E234" t="s">
        <v>460</v>
      </c>
      <c r="F234" t="s">
        <v>408</v>
      </c>
      <c r="G234">
        <v>5000</v>
      </c>
      <c r="H234">
        <v>5001</v>
      </c>
      <c r="I234" t="s">
        <v>1086</v>
      </c>
      <c r="J234">
        <v>5075</v>
      </c>
      <c r="K234">
        <v>5074</v>
      </c>
      <c r="L234" t="s">
        <v>1087</v>
      </c>
      <c r="M234">
        <v>3</v>
      </c>
      <c r="N234" t="s">
        <v>170</v>
      </c>
      <c r="O234" t="s">
        <v>170</v>
      </c>
      <c r="P234" t="s">
        <v>420</v>
      </c>
      <c r="Q234" t="s">
        <v>408</v>
      </c>
      <c r="R234" t="s">
        <v>422</v>
      </c>
      <c r="S234">
        <v>2011</v>
      </c>
      <c r="T234">
        <v>7</v>
      </c>
      <c r="U234" t="s">
        <v>1088</v>
      </c>
      <c r="V234" t="s">
        <v>562</v>
      </c>
      <c r="W234">
        <v>2015</v>
      </c>
      <c r="X234">
        <v>7</v>
      </c>
      <c r="Y234" t="s">
        <v>370</v>
      </c>
      <c r="Z234">
        <v>2015</v>
      </c>
      <c r="AA234">
        <v>2015</v>
      </c>
      <c r="AB234" s="5">
        <v>0.103421304164</v>
      </c>
      <c r="AC234" s="5">
        <v>0.206842608328</v>
      </c>
      <c r="AD234" t="s">
        <v>408</v>
      </c>
      <c r="AE234" t="s">
        <v>152</v>
      </c>
      <c r="AF234" t="s">
        <v>408</v>
      </c>
      <c r="AG234" t="s">
        <v>408</v>
      </c>
      <c r="AH234" t="s">
        <v>408</v>
      </c>
      <c r="AI234" t="s">
        <v>408</v>
      </c>
      <c r="AJ234" t="s">
        <v>408</v>
      </c>
      <c r="AK234" t="s">
        <v>411</v>
      </c>
      <c r="AL234">
        <v>2017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 s="58">
        <f t="shared" si="3"/>
        <v>1</v>
      </c>
      <c r="AU234" s="79">
        <v>43347</v>
      </c>
      <c r="AV234" s="78" t="s">
        <v>410</v>
      </c>
      <c r="AW234" t="s">
        <v>408</v>
      </c>
      <c r="AX234">
        <v>2</v>
      </c>
      <c r="AY234" t="s">
        <v>412</v>
      </c>
      <c r="AZ234" t="s">
        <v>408</v>
      </c>
    </row>
    <row r="235" spans="1:52" x14ac:dyDescent="0.3">
      <c r="A235">
        <v>224</v>
      </c>
      <c r="B235" t="s">
        <v>1037</v>
      </c>
      <c r="C235" t="s">
        <v>152</v>
      </c>
      <c r="D235" t="s">
        <v>1038</v>
      </c>
      <c r="E235" t="s">
        <v>417</v>
      </c>
      <c r="F235" t="s">
        <v>152</v>
      </c>
      <c r="G235">
        <v>801</v>
      </c>
      <c r="H235">
        <v>800</v>
      </c>
      <c r="I235" t="s">
        <v>554</v>
      </c>
      <c r="J235">
        <v>932</v>
      </c>
      <c r="K235">
        <v>933</v>
      </c>
      <c r="L235" t="s">
        <v>1089</v>
      </c>
      <c r="M235">
        <v>4</v>
      </c>
      <c r="N235" t="s">
        <v>167</v>
      </c>
      <c r="O235" t="s">
        <v>167</v>
      </c>
      <c r="P235" t="s">
        <v>414</v>
      </c>
      <c r="Q235" t="s">
        <v>1090</v>
      </c>
      <c r="R235" t="s">
        <v>556</v>
      </c>
      <c r="S235">
        <v>2013</v>
      </c>
      <c r="T235">
        <v>6</v>
      </c>
      <c r="U235" t="s">
        <v>370</v>
      </c>
      <c r="V235" t="s">
        <v>487</v>
      </c>
      <c r="W235">
        <v>2020</v>
      </c>
      <c r="X235">
        <v>0</v>
      </c>
      <c r="Y235" t="s">
        <v>408</v>
      </c>
      <c r="Z235">
        <v>2020</v>
      </c>
      <c r="AA235">
        <v>2013</v>
      </c>
      <c r="AB235" s="5">
        <v>0.22479011369599999</v>
      </c>
      <c r="AC235" s="5">
        <v>0.22479011369599999</v>
      </c>
      <c r="AD235" t="s">
        <v>408</v>
      </c>
      <c r="AE235" t="s">
        <v>411</v>
      </c>
      <c r="AF235" t="s">
        <v>152</v>
      </c>
      <c r="AG235" t="s">
        <v>152</v>
      </c>
      <c r="AH235" t="s">
        <v>408</v>
      </c>
      <c r="AI235" t="s">
        <v>408</v>
      </c>
      <c r="AJ235" t="s">
        <v>408</v>
      </c>
      <c r="AK235" t="s">
        <v>408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 s="58">
        <f t="shared" si="3"/>
        <v>1</v>
      </c>
      <c r="AU235" s="79" t="s">
        <v>488</v>
      </c>
      <c r="AV235" s="78" t="s">
        <v>410</v>
      </c>
      <c r="AW235" t="s">
        <v>408</v>
      </c>
      <c r="AX235">
        <v>2</v>
      </c>
      <c r="AY235" t="s">
        <v>412</v>
      </c>
      <c r="AZ235" t="s">
        <v>408</v>
      </c>
    </row>
    <row r="236" spans="1:52" x14ac:dyDescent="0.3">
      <c r="A236">
        <v>225</v>
      </c>
      <c r="B236" t="s">
        <v>1091</v>
      </c>
      <c r="C236" t="s">
        <v>154</v>
      </c>
      <c r="D236" t="s">
        <v>1092</v>
      </c>
      <c r="E236" t="s">
        <v>417</v>
      </c>
      <c r="F236" t="s">
        <v>408</v>
      </c>
      <c r="G236">
        <v>6758</v>
      </c>
      <c r="H236">
        <v>6759</v>
      </c>
      <c r="I236" t="s">
        <v>1093</v>
      </c>
      <c r="J236">
        <v>6400</v>
      </c>
      <c r="K236">
        <v>6401</v>
      </c>
      <c r="L236" t="s">
        <v>1094</v>
      </c>
      <c r="M236">
        <v>2</v>
      </c>
      <c r="N236" t="s">
        <v>170</v>
      </c>
      <c r="O236" t="s">
        <v>170</v>
      </c>
      <c r="P236" t="s">
        <v>420</v>
      </c>
      <c r="Q236" t="s">
        <v>408</v>
      </c>
      <c r="R236" t="s">
        <v>1074</v>
      </c>
      <c r="S236">
        <v>2010</v>
      </c>
      <c r="T236">
        <v>4</v>
      </c>
      <c r="U236" t="s">
        <v>370</v>
      </c>
      <c r="V236" t="s">
        <v>408</v>
      </c>
      <c r="W236">
        <v>0</v>
      </c>
      <c r="X236">
        <v>0</v>
      </c>
      <c r="Y236" t="s">
        <v>408</v>
      </c>
      <c r="Z236">
        <v>2010</v>
      </c>
      <c r="AA236">
        <v>2010</v>
      </c>
      <c r="AB236" s="5">
        <v>0.50329631673099995</v>
      </c>
      <c r="AC236" s="5">
        <v>1.0065926334599999</v>
      </c>
      <c r="AD236" t="s">
        <v>408</v>
      </c>
      <c r="AE236" t="s">
        <v>152</v>
      </c>
      <c r="AF236" t="s">
        <v>408</v>
      </c>
      <c r="AG236" t="s">
        <v>408</v>
      </c>
      <c r="AH236" t="s">
        <v>408</v>
      </c>
      <c r="AI236" t="s">
        <v>408</v>
      </c>
      <c r="AJ236" t="s">
        <v>408</v>
      </c>
      <c r="AK236" t="s">
        <v>408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 s="58">
        <f t="shared" si="3"/>
        <v>1</v>
      </c>
      <c r="AU236" s="79">
        <v>43347</v>
      </c>
      <c r="AV236" s="78" t="s">
        <v>410</v>
      </c>
      <c r="AW236" t="s">
        <v>408</v>
      </c>
      <c r="AX236">
        <v>2</v>
      </c>
      <c r="AY236" t="s">
        <v>412</v>
      </c>
      <c r="AZ236" t="s">
        <v>408</v>
      </c>
    </row>
    <row r="237" spans="1:52" x14ac:dyDescent="0.3">
      <c r="A237">
        <v>226</v>
      </c>
      <c r="B237" t="s">
        <v>888</v>
      </c>
      <c r="C237" t="s">
        <v>152</v>
      </c>
      <c r="D237" t="s">
        <v>889</v>
      </c>
      <c r="E237" t="s">
        <v>460</v>
      </c>
      <c r="F237" t="s">
        <v>408</v>
      </c>
      <c r="G237">
        <v>1860</v>
      </c>
      <c r="H237">
        <v>1861</v>
      </c>
      <c r="I237" t="s">
        <v>1095</v>
      </c>
      <c r="J237">
        <v>2358</v>
      </c>
      <c r="K237">
        <v>2359</v>
      </c>
      <c r="L237" t="s">
        <v>890</v>
      </c>
      <c r="M237">
        <v>2</v>
      </c>
      <c r="N237" t="s">
        <v>170</v>
      </c>
      <c r="O237" t="s">
        <v>170</v>
      </c>
      <c r="P237" t="s">
        <v>420</v>
      </c>
      <c r="Q237" t="s">
        <v>1096</v>
      </c>
      <c r="R237" t="s">
        <v>1074</v>
      </c>
      <c r="S237">
        <v>2010</v>
      </c>
      <c r="T237">
        <v>4</v>
      </c>
      <c r="U237" t="s">
        <v>370</v>
      </c>
      <c r="V237" t="s">
        <v>511</v>
      </c>
      <c r="W237">
        <v>2018</v>
      </c>
      <c r="X237">
        <v>8</v>
      </c>
      <c r="Y237" t="s">
        <v>408</v>
      </c>
      <c r="Z237">
        <v>2018</v>
      </c>
      <c r="AA237">
        <v>2010</v>
      </c>
      <c r="AB237" s="5">
        <v>0.627252311703</v>
      </c>
      <c r="AC237" s="5">
        <v>1.2545046234099999</v>
      </c>
      <c r="AD237" t="s">
        <v>408</v>
      </c>
      <c r="AE237" t="s">
        <v>152</v>
      </c>
      <c r="AF237" t="s">
        <v>408</v>
      </c>
      <c r="AG237" t="s">
        <v>408</v>
      </c>
      <c r="AH237" t="s">
        <v>408</v>
      </c>
      <c r="AI237" t="s">
        <v>408</v>
      </c>
      <c r="AJ237" t="s">
        <v>408</v>
      </c>
      <c r="AK237" t="s">
        <v>408</v>
      </c>
      <c r="AL237">
        <v>0</v>
      </c>
      <c r="AM237">
        <v>0</v>
      </c>
      <c r="AN237">
        <v>0.75</v>
      </c>
      <c r="AO237">
        <v>0.25</v>
      </c>
      <c r="AP237">
        <v>0</v>
      </c>
      <c r="AQ237">
        <v>0</v>
      </c>
      <c r="AR237">
        <v>0</v>
      </c>
      <c r="AS237">
        <v>0</v>
      </c>
      <c r="AT237" s="58">
        <f t="shared" si="3"/>
        <v>1</v>
      </c>
      <c r="AU237" s="79">
        <v>43343</v>
      </c>
      <c r="AV237" s="78" t="s">
        <v>410</v>
      </c>
      <c r="AW237" t="s">
        <v>408</v>
      </c>
      <c r="AX237">
        <v>2</v>
      </c>
      <c r="AY237" t="s">
        <v>412</v>
      </c>
      <c r="AZ237" t="s">
        <v>408</v>
      </c>
    </row>
    <row r="238" spans="1:52" x14ac:dyDescent="0.3">
      <c r="A238">
        <v>227</v>
      </c>
      <c r="B238" t="s">
        <v>888</v>
      </c>
      <c r="C238" t="s">
        <v>152</v>
      </c>
      <c r="D238" t="s">
        <v>889</v>
      </c>
      <c r="E238" t="s">
        <v>460</v>
      </c>
      <c r="F238" t="s">
        <v>408</v>
      </c>
      <c r="G238">
        <v>2800</v>
      </c>
      <c r="H238">
        <v>2801</v>
      </c>
      <c r="I238" t="s">
        <v>891</v>
      </c>
      <c r="J238">
        <v>3362</v>
      </c>
      <c r="K238">
        <v>3359</v>
      </c>
      <c r="L238" t="s">
        <v>804</v>
      </c>
      <c r="M238">
        <v>2</v>
      </c>
      <c r="N238" t="s">
        <v>170</v>
      </c>
      <c r="O238" t="s">
        <v>170</v>
      </c>
      <c r="P238" t="s">
        <v>420</v>
      </c>
      <c r="Q238" t="s">
        <v>1097</v>
      </c>
      <c r="R238" t="s">
        <v>1074</v>
      </c>
      <c r="S238">
        <v>2010</v>
      </c>
      <c r="T238">
        <v>4</v>
      </c>
      <c r="U238" t="s">
        <v>370</v>
      </c>
      <c r="V238" t="s">
        <v>511</v>
      </c>
      <c r="W238">
        <v>2018</v>
      </c>
      <c r="X238">
        <v>8</v>
      </c>
      <c r="Y238" t="s">
        <v>408</v>
      </c>
      <c r="Z238">
        <v>2018</v>
      </c>
      <c r="AA238">
        <v>2010</v>
      </c>
      <c r="AB238" s="5">
        <v>0.75958184096500003</v>
      </c>
      <c r="AC238" s="5">
        <v>1.5191636819300001</v>
      </c>
      <c r="AD238" t="s">
        <v>408</v>
      </c>
      <c r="AE238" t="s">
        <v>152</v>
      </c>
      <c r="AF238" t="s">
        <v>408</v>
      </c>
      <c r="AG238" t="s">
        <v>408</v>
      </c>
      <c r="AH238" t="s">
        <v>408</v>
      </c>
      <c r="AI238" t="s">
        <v>408</v>
      </c>
      <c r="AJ238" t="s">
        <v>408</v>
      </c>
      <c r="AK238" t="s">
        <v>408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s="58">
        <f t="shared" si="3"/>
        <v>1</v>
      </c>
      <c r="AU238" s="79">
        <v>43343</v>
      </c>
      <c r="AV238" s="78" t="s">
        <v>410</v>
      </c>
      <c r="AW238" t="s">
        <v>408</v>
      </c>
      <c r="AX238">
        <v>2</v>
      </c>
      <c r="AY238" t="s">
        <v>412</v>
      </c>
      <c r="AZ238" t="s">
        <v>408</v>
      </c>
    </row>
    <row r="239" spans="1:52" x14ac:dyDescent="0.3">
      <c r="A239">
        <v>228</v>
      </c>
      <c r="B239" t="s">
        <v>724</v>
      </c>
      <c r="C239" t="s">
        <v>154</v>
      </c>
      <c r="D239" t="s">
        <v>725</v>
      </c>
      <c r="E239" t="s">
        <v>417</v>
      </c>
      <c r="F239" t="s">
        <v>408</v>
      </c>
      <c r="G239">
        <v>1246</v>
      </c>
      <c r="H239">
        <v>1245</v>
      </c>
      <c r="I239" t="s">
        <v>954</v>
      </c>
      <c r="J239">
        <v>1204</v>
      </c>
      <c r="K239">
        <v>1201</v>
      </c>
      <c r="L239" t="s">
        <v>929</v>
      </c>
      <c r="M239">
        <v>3</v>
      </c>
      <c r="N239" t="s">
        <v>167</v>
      </c>
      <c r="O239" t="s">
        <v>167</v>
      </c>
      <c r="P239" t="s">
        <v>420</v>
      </c>
      <c r="Q239" t="s">
        <v>408</v>
      </c>
      <c r="R239" t="s">
        <v>719</v>
      </c>
      <c r="S239">
        <v>2005</v>
      </c>
      <c r="T239">
        <v>8</v>
      </c>
      <c r="U239" t="s">
        <v>370</v>
      </c>
      <c r="V239" t="s">
        <v>407</v>
      </c>
      <c r="W239">
        <v>2020</v>
      </c>
      <c r="X239">
        <v>0</v>
      </c>
      <c r="Y239" t="s">
        <v>408</v>
      </c>
      <c r="Z239">
        <v>2020</v>
      </c>
      <c r="AA239">
        <v>2005</v>
      </c>
      <c r="AB239" s="5">
        <v>9.7059249851599999E-2</v>
      </c>
      <c r="AC239" s="5">
        <v>0.19411849970299999</v>
      </c>
      <c r="AD239" t="s">
        <v>408</v>
      </c>
      <c r="AE239" t="s">
        <v>152</v>
      </c>
      <c r="AF239" t="s">
        <v>408</v>
      </c>
      <c r="AG239" t="s">
        <v>408</v>
      </c>
      <c r="AH239" t="s">
        <v>408</v>
      </c>
      <c r="AI239" t="s">
        <v>408</v>
      </c>
      <c r="AJ239" t="s">
        <v>408</v>
      </c>
      <c r="AK239" t="s">
        <v>408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s="58">
        <f t="shared" si="3"/>
        <v>1</v>
      </c>
      <c r="AU239" s="79" t="s">
        <v>431</v>
      </c>
      <c r="AV239" s="78" t="s">
        <v>410</v>
      </c>
      <c r="AW239" t="s">
        <v>408</v>
      </c>
      <c r="AX239">
        <v>2</v>
      </c>
      <c r="AY239" t="s">
        <v>412</v>
      </c>
      <c r="AZ239" t="s">
        <v>408</v>
      </c>
    </row>
    <row r="240" spans="1:52" x14ac:dyDescent="0.3">
      <c r="A240">
        <v>229</v>
      </c>
      <c r="B240" t="s">
        <v>587</v>
      </c>
      <c r="C240" t="s">
        <v>155</v>
      </c>
      <c r="D240" t="s">
        <v>588</v>
      </c>
      <c r="E240" t="s">
        <v>417</v>
      </c>
      <c r="F240" t="s">
        <v>408</v>
      </c>
      <c r="G240">
        <v>0</v>
      </c>
      <c r="H240">
        <v>0</v>
      </c>
      <c r="I240" t="s">
        <v>878</v>
      </c>
      <c r="J240">
        <v>9500</v>
      </c>
      <c r="K240">
        <v>9501</v>
      </c>
      <c r="L240" t="s">
        <v>696</v>
      </c>
      <c r="M240">
        <v>2</v>
      </c>
      <c r="N240" t="s">
        <v>165</v>
      </c>
      <c r="O240" t="s">
        <v>165</v>
      </c>
      <c r="P240" t="s">
        <v>403</v>
      </c>
      <c r="Q240" t="s">
        <v>408</v>
      </c>
      <c r="R240" t="s">
        <v>1098</v>
      </c>
      <c r="S240">
        <v>2021</v>
      </c>
      <c r="T240">
        <v>7</v>
      </c>
      <c r="U240" t="s">
        <v>408</v>
      </c>
      <c r="V240" t="s">
        <v>408</v>
      </c>
      <c r="W240">
        <v>0</v>
      </c>
      <c r="X240">
        <v>0</v>
      </c>
      <c r="Y240" t="s">
        <v>408</v>
      </c>
      <c r="Z240">
        <v>2021</v>
      </c>
      <c r="AA240">
        <v>2021</v>
      </c>
      <c r="AB240" s="5">
        <v>0.33383482802999997</v>
      </c>
      <c r="AC240" s="5">
        <v>0.66766965605999995</v>
      </c>
      <c r="AD240" t="s">
        <v>408</v>
      </c>
      <c r="AE240" t="s">
        <v>152</v>
      </c>
      <c r="AF240" t="s">
        <v>408</v>
      </c>
      <c r="AG240" t="s">
        <v>152</v>
      </c>
      <c r="AH240" t="s">
        <v>408</v>
      </c>
      <c r="AI240" t="s">
        <v>408</v>
      </c>
      <c r="AJ240" t="s">
        <v>408</v>
      </c>
      <c r="AK240" t="s">
        <v>408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 s="58">
        <f t="shared" si="3"/>
        <v>1</v>
      </c>
      <c r="AU240" s="79" t="s">
        <v>784</v>
      </c>
      <c r="AV240" s="78" t="s">
        <v>410</v>
      </c>
      <c r="AW240" t="s">
        <v>152</v>
      </c>
      <c r="AX240">
        <v>2</v>
      </c>
      <c r="AY240" t="s">
        <v>412</v>
      </c>
      <c r="AZ240" t="s">
        <v>408</v>
      </c>
    </row>
    <row r="241" spans="1:52" x14ac:dyDescent="0.3">
      <c r="A241">
        <v>230</v>
      </c>
      <c r="B241" t="s">
        <v>1070</v>
      </c>
      <c r="C241" t="s">
        <v>155</v>
      </c>
      <c r="D241" t="s">
        <v>1071</v>
      </c>
      <c r="E241" t="s">
        <v>460</v>
      </c>
      <c r="F241" t="s">
        <v>408</v>
      </c>
      <c r="G241">
        <v>5858</v>
      </c>
      <c r="H241">
        <v>5859</v>
      </c>
      <c r="I241" t="s">
        <v>1099</v>
      </c>
      <c r="J241">
        <v>5800</v>
      </c>
      <c r="K241">
        <v>5801</v>
      </c>
      <c r="L241" t="s">
        <v>1072</v>
      </c>
      <c r="M241">
        <v>3</v>
      </c>
      <c r="N241" t="s">
        <v>170</v>
      </c>
      <c r="O241" t="s">
        <v>170</v>
      </c>
      <c r="P241" t="s">
        <v>420</v>
      </c>
      <c r="Q241" t="s">
        <v>1073</v>
      </c>
      <c r="R241" t="s">
        <v>1074</v>
      </c>
      <c r="S241">
        <v>2009</v>
      </c>
      <c r="T241">
        <v>11</v>
      </c>
      <c r="U241" t="s">
        <v>370</v>
      </c>
      <c r="V241" t="s">
        <v>511</v>
      </c>
      <c r="W241">
        <v>2018</v>
      </c>
      <c r="X241">
        <v>8</v>
      </c>
      <c r="Y241" t="s">
        <v>408</v>
      </c>
      <c r="Z241">
        <v>2018</v>
      </c>
      <c r="AA241">
        <v>2009</v>
      </c>
      <c r="AB241" s="5">
        <v>0.12567956905700001</v>
      </c>
      <c r="AC241" s="5">
        <v>0.25135913811400001</v>
      </c>
      <c r="AD241" t="s">
        <v>408</v>
      </c>
      <c r="AE241" t="s">
        <v>152</v>
      </c>
      <c r="AF241" t="s">
        <v>408</v>
      </c>
      <c r="AG241" t="s">
        <v>408</v>
      </c>
      <c r="AH241" t="s">
        <v>408</v>
      </c>
      <c r="AI241" t="s">
        <v>408</v>
      </c>
      <c r="AJ241" t="s">
        <v>408</v>
      </c>
      <c r="AK241" t="s">
        <v>408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 s="58">
        <f t="shared" si="3"/>
        <v>1</v>
      </c>
      <c r="AU241" s="79">
        <v>43347</v>
      </c>
      <c r="AV241" s="78" t="s">
        <v>410</v>
      </c>
      <c r="AW241" t="s">
        <v>408</v>
      </c>
      <c r="AX241">
        <v>2</v>
      </c>
      <c r="AY241" t="s">
        <v>412</v>
      </c>
      <c r="AZ241" t="s">
        <v>408</v>
      </c>
    </row>
    <row r="242" spans="1:52" x14ac:dyDescent="0.3">
      <c r="A242">
        <v>231</v>
      </c>
      <c r="B242" t="s">
        <v>888</v>
      </c>
      <c r="C242" t="s">
        <v>152</v>
      </c>
      <c r="D242" t="s">
        <v>889</v>
      </c>
      <c r="E242" t="s">
        <v>460</v>
      </c>
      <c r="F242" t="s">
        <v>408</v>
      </c>
      <c r="G242">
        <v>3800</v>
      </c>
      <c r="H242">
        <v>3801</v>
      </c>
      <c r="I242" t="s">
        <v>937</v>
      </c>
      <c r="J242">
        <v>3960</v>
      </c>
      <c r="K242">
        <v>3961</v>
      </c>
      <c r="L242" t="s">
        <v>717</v>
      </c>
      <c r="M242">
        <v>2</v>
      </c>
      <c r="N242" t="s">
        <v>170</v>
      </c>
      <c r="O242" t="s">
        <v>170</v>
      </c>
      <c r="P242" t="s">
        <v>420</v>
      </c>
      <c r="Q242" t="s">
        <v>1097</v>
      </c>
      <c r="R242" t="s">
        <v>1074</v>
      </c>
      <c r="S242">
        <v>2010</v>
      </c>
      <c r="T242">
        <v>4</v>
      </c>
      <c r="U242" t="s">
        <v>370</v>
      </c>
      <c r="V242" t="s">
        <v>511</v>
      </c>
      <c r="W242">
        <v>2018</v>
      </c>
      <c r="X242">
        <v>8</v>
      </c>
      <c r="Y242" t="s">
        <v>408</v>
      </c>
      <c r="Z242">
        <v>2018</v>
      </c>
      <c r="AA242">
        <v>2010</v>
      </c>
      <c r="AB242" s="5">
        <v>0.250190433065</v>
      </c>
      <c r="AC242" s="5">
        <v>0.50038086612999999</v>
      </c>
      <c r="AD242" t="s">
        <v>408</v>
      </c>
      <c r="AE242" t="s">
        <v>152</v>
      </c>
      <c r="AF242" t="s">
        <v>408</v>
      </c>
      <c r="AG242" t="s">
        <v>408</v>
      </c>
      <c r="AH242" t="s">
        <v>408</v>
      </c>
      <c r="AI242" t="s">
        <v>408</v>
      </c>
      <c r="AJ242" t="s">
        <v>408</v>
      </c>
      <c r="AK242" t="s">
        <v>408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s="58">
        <f t="shared" si="3"/>
        <v>1</v>
      </c>
      <c r="AU242" s="79">
        <v>43343</v>
      </c>
      <c r="AV242" s="78" t="s">
        <v>410</v>
      </c>
      <c r="AW242" t="s">
        <v>408</v>
      </c>
      <c r="AX242">
        <v>2</v>
      </c>
      <c r="AY242" t="s">
        <v>412</v>
      </c>
      <c r="AZ242" t="s">
        <v>408</v>
      </c>
    </row>
    <row r="243" spans="1:52" x14ac:dyDescent="0.3">
      <c r="A243">
        <v>232</v>
      </c>
      <c r="B243" t="s">
        <v>888</v>
      </c>
      <c r="C243" t="s">
        <v>152</v>
      </c>
      <c r="D243" t="s">
        <v>889</v>
      </c>
      <c r="E243" t="s">
        <v>460</v>
      </c>
      <c r="F243" t="s">
        <v>408</v>
      </c>
      <c r="G243">
        <v>3600</v>
      </c>
      <c r="H243">
        <v>3601</v>
      </c>
      <c r="I243" t="s">
        <v>573</v>
      </c>
      <c r="J243">
        <v>3758</v>
      </c>
      <c r="K243">
        <v>3759</v>
      </c>
      <c r="L243" t="s">
        <v>937</v>
      </c>
      <c r="M243">
        <v>2</v>
      </c>
      <c r="N243" t="s">
        <v>167</v>
      </c>
      <c r="O243" t="s">
        <v>167</v>
      </c>
      <c r="P243" t="s">
        <v>420</v>
      </c>
      <c r="Q243" t="s">
        <v>1097</v>
      </c>
      <c r="R243" t="s">
        <v>1074</v>
      </c>
      <c r="S243">
        <v>2010</v>
      </c>
      <c r="T243">
        <v>4</v>
      </c>
      <c r="U243" t="s">
        <v>370</v>
      </c>
      <c r="V243" t="s">
        <v>407</v>
      </c>
      <c r="W243">
        <v>2020</v>
      </c>
      <c r="X243">
        <v>0</v>
      </c>
      <c r="Y243" t="s">
        <v>408</v>
      </c>
      <c r="Z243">
        <v>2020</v>
      </c>
      <c r="AA243">
        <v>2010</v>
      </c>
      <c r="AB243" s="5">
        <v>0.250776292186</v>
      </c>
      <c r="AC243" s="5">
        <v>0.50155258437200001</v>
      </c>
      <c r="AD243" t="s">
        <v>408</v>
      </c>
      <c r="AE243" t="s">
        <v>152</v>
      </c>
      <c r="AF243" t="s">
        <v>408</v>
      </c>
      <c r="AG243" t="s">
        <v>408</v>
      </c>
      <c r="AH243" t="s">
        <v>408</v>
      </c>
      <c r="AI243" t="s">
        <v>408</v>
      </c>
      <c r="AJ243" t="s">
        <v>408</v>
      </c>
      <c r="AK243" t="s">
        <v>408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 s="58">
        <f t="shared" si="3"/>
        <v>1</v>
      </c>
      <c r="AU243" s="79" t="s">
        <v>431</v>
      </c>
      <c r="AV243" s="78" t="s">
        <v>410</v>
      </c>
      <c r="AW243" t="s">
        <v>408</v>
      </c>
      <c r="AX243">
        <v>2</v>
      </c>
      <c r="AY243" t="s">
        <v>412</v>
      </c>
      <c r="AZ243" t="s">
        <v>408</v>
      </c>
    </row>
    <row r="244" spans="1:52" x14ac:dyDescent="0.3">
      <c r="A244">
        <v>233</v>
      </c>
      <c r="B244" t="s">
        <v>956</v>
      </c>
      <c r="C244" t="s">
        <v>152</v>
      </c>
      <c r="D244" t="s">
        <v>957</v>
      </c>
      <c r="E244" t="s">
        <v>417</v>
      </c>
      <c r="F244" t="s">
        <v>155</v>
      </c>
      <c r="G244">
        <v>340</v>
      </c>
      <c r="H244">
        <v>341</v>
      </c>
      <c r="I244" t="s">
        <v>1084</v>
      </c>
      <c r="J244">
        <v>374</v>
      </c>
      <c r="K244">
        <v>375</v>
      </c>
      <c r="L244" t="s">
        <v>663</v>
      </c>
      <c r="M244">
        <v>4</v>
      </c>
      <c r="N244" t="s">
        <v>167</v>
      </c>
      <c r="O244" t="s">
        <v>167</v>
      </c>
      <c r="P244" t="s">
        <v>420</v>
      </c>
      <c r="Q244" t="s">
        <v>408</v>
      </c>
      <c r="R244" t="s">
        <v>1007</v>
      </c>
      <c r="S244">
        <v>2003</v>
      </c>
      <c r="T244">
        <v>11</v>
      </c>
      <c r="U244" t="s">
        <v>408</v>
      </c>
      <c r="V244" t="s">
        <v>1100</v>
      </c>
      <c r="W244">
        <v>2010</v>
      </c>
      <c r="X244">
        <v>5</v>
      </c>
      <c r="Y244" t="s">
        <v>370</v>
      </c>
      <c r="Z244">
        <v>2010</v>
      </c>
      <c r="AA244">
        <v>2010</v>
      </c>
      <c r="AB244" s="5">
        <v>7.31159088028E-2</v>
      </c>
      <c r="AC244" s="5">
        <v>0.14623181760599999</v>
      </c>
      <c r="AD244" t="s">
        <v>408</v>
      </c>
      <c r="AE244" t="s">
        <v>152</v>
      </c>
      <c r="AF244" t="s">
        <v>408</v>
      </c>
      <c r="AG244" t="s">
        <v>408</v>
      </c>
      <c r="AH244" t="s">
        <v>408</v>
      </c>
      <c r="AI244" t="s">
        <v>408</v>
      </c>
      <c r="AJ244" t="s">
        <v>408</v>
      </c>
      <c r="AK244" t="s">
        <v>408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 s="58">
        <f t="shared" si="3"/>
        <v>1</v>
      </c>
      <c r="AU244" s="79">
        <v>43343</v>
      </c>
      <c r="AV244" s="78" t="s">
        <v>410</v>
      </c>
      <c r="AW244" t="s">
        <v>408</v>
      </c>
      <c r="AX244">
        <v>2</v>
      </c>
      <c r="AY244" t="s">
        <v>412</v>
      </c>
      <c r="AZ244" t="s">
        <v>408</v>
      </c>
    </row>
    <row r="245" spans="1:52" x14ac:dyDescent="0.3">
      <c r="A245">
        <v>234</v>
      </c>
      <c r="B245" t="s">
        <v>440</v>
      </c>
      <c r="C245" t="s">
        <v>152</v>
      </c>
      <c r="D245" t="s">
        <v>441</v>
      </c>
      <c r="E245" t="s">
        <v>417</v>
      </c>
      <c r="F245" t="s">
        <v>155</v>
      </c>
      <c r="G245">
        <v>650</v>
      </c>
      <c r="H245">
        <v>651</v>
      </c>
      <c r="I245" t="s">
        <v>1101</v>
      </c>
      <c r="J245">
        <v>800</v>
      </c>
      <c r="K245">
        <v>801</v>
      </c>
      <c r="L245" t="s">
        <v>554</v>
      </c>
      <c r="M245">
        <v>4</v>
      </c>
      <c r="N245" t="s">
        <v>165</v>
      </c>
      <c r="O245" t="s">
        <v>165</v>
      </c>
      <c r="P245" t="s">
        <v>403</v>
      </c>
      <c r="Q245" t="s">
        <v>555</v>
      </c>
      <c r="R245" t="s">
        <v>445</v>
      </c>
      <c r="S245">
        <v>2012</v>
      </c>
      <c r="T245">
        <v>6</v>
      </c>
      <c r="U245" t="s">
        <v>1102</v>
      </c>
      <c r="V245" t="s">
        <v>408</v>
      </c>
      <c r="W245">
        <v>0</v>
      </c>
      <c r="X245">
        <v>0</v>
      </c>
      <c r="Y245" t="s">
        <v>408</v>
      </c>
      <c r="Z245">
        <v>2012</v>
      </c>
      <c r="AA245">
        <v>1997</v>
      </c>
      <c r="AB245" s="5">
        <v>0.179947636445</v>
      </c>
      <c r="AC245" s="5">
        <v>0.35989527289000001</v>
      </c>
      <c r="AD245" t="s">
        <v>1103</v>
      </c>
      <c r="AE245" t="s">
        <v>152</v>
      </c>
      <c r="AF245" t="s">
        <v>400</v>
      </c>
      <c r="AG245" t="s">
        <v>400</v>
      </c>
      <c r="AH245" t="s">
        <v>408</v>
      </c>
      <c r="AI245" t="s">
        <v>408</v>
      </c>
      <c r="AJ245" t="s">
        <v>408</v>
      </c>
      <c r="AK245" t="s">
        <v>408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 s="58">
        <f t="shared" si="3"/>
        <v>1</v>
      </c>
      <c r="AU245" s="79" t="s">
        <v>602</v>
      </c>
      <c r="AV245" s="78" t="s">
        <v>410</v>
      </c>
      <c r="AW245" t="s">
        <v>152</v>
      </c>
      <c r="AX245">
        <v>2</v>
      </c>
      <c r="AY245" t="s">
        <v>412</v>
      </c>
      <c r="AZ245" t="s">
        <v>408</v>
      </c>
    </row>
    <row r="246" spans="1:52" x14ac:dyDescent="0.3">
      <c r="A246">
        <v>235</v>
      </c>
      <c r="B246" t="s">
        <v>1104</v>
      </c>
      <c r="C246" t="s">
        <v>152</v>
      </c>
      <c r="D246" t="s">
        <v>1105</v>
      </c>
      <c r="E246" t="s">
        <v>417</v>
      </c>
      <c r="F246" t="s">
        <v>152</v>
      </c>
      <c r="G246">
        <v>300</v>
      </c>
      <c r="H246">
        <v>301</v>
      </c>
      <c r="I246" t="s">
        <v>753</v>
      </c>
      <c r="J246">
        <v>420</v>
      </c>
      <c r="K246">
        <v>421</v>
      </c>
      <c r="L246" t="s">
        <v>947</v>
      </c>
      <c r="M246">
        <v>4</v>
      </c>
      <c r="N246" t="s">
        <v>167</v>
      </c>
      <c r="O246" t="s">
        <v>167</v>
      </c>
      <c r="P246" t="s">
        <v>420</v>
      </c>
      <c r="Q246" t="s">
        <v>408</v>
      </c>
      <c r="R246" t="s">
        <v>547</v>
      </c>
      <c r="S246">
        <v>2010</v>
      </c>
      <c r="T246">
        <v>8</v>
      </c>
      <c r="U246" t="s">
        <v>1106</v>
      </c>
      <c r="V246" t="s">
        <v>645</v>
      </c>
      <c r="W246">
        <v>2017</v>
      </c>
      <c r="X246">
        <v>7</v>
      </c>
      <c r="Y246" t="s">
        <v>408</v>
      </c>
      <c r="Z246">
        <v>2017</v>
      </c>
      <c r="AA246">
        <v>0</v>
      </c>
      <c r="AB246" s="5">
        <v>0.235734336584</v>
      </c>
      <c r="AC246" s="5">
        <v>0.235734336584</v>
      </c>
      <c r="AD246" t="s">
        <v>408</v>
      </c>
      <c r="AE246" t="s">
        <v>411</v>
      </c>
      <c r="AF246" t="s">
        <v>152</v>
      </c>
      <c r="AG246" t="s">
        <v>152</v>
      </c>
      <c r="AH246" t="s">
        <v>408</v>
      </c>
      <c r="AI246" t="s">
        <v>408</v>
      </c>
      <c r="AJ246" t="s">
        <v>408</v>
      </c>
      <c r="AK246" t="s">
        <v>411</v>
      </c>
      <c r="AL246">
        <v>2017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 s="58">
        <f t="shared" si="3"/>
        <v>1</v>
      </c>
      <c r="AU246" s="79">
        <v>43347</v>
      </c>
      <c r="AV246" s="78" t="s">
        <v>410</v>
      </c>
      <c r="AW246" t="s">
        <v>408</v>
      </c>
      <c r="AX246">
        <v>2</v>
      </c>
      <c r="AY246" t="s">
        <v>412</v>
      </c>
      <c r="AZ246" t="s">
        <v>408</v>
      </c>
    </row>
    <row r="247" spans="1:52" x14ac:dyDescent="0.3">
      <c r="A247">
        <v>236</v>
      </c>
      <c r="B247" t="s">
        <v>684</v>
      </c>
      <c r="C247" t="s">
        <v>152</v>
      </c>
      <c r="D247" t="s">
        <v>684</v>
      </c>
      <c r="E247" t="s">
        <v>408</v>
      </c>
      <c r="F247" t="s">
        <v>408</v>
      </c>
      <c r="G247">
        <v>4700</v>
      </c>
      <c r="H247">
        <v>4851</v>
      </c>
      <c r="I247" t="s">
        <v>1107</v>
      </c>
      <c r="J247">
        <v>5200</v>
      </c>
      <c r="K247">
        <v>5201</v>
      </c>
      <c r="L247" t="s">
        <v>1019</v>
      </c>
      <c r="M247">
        <v>3</v>
      </c>
      <c r="N247" t="s">
        <v>165</v>
      </c>
      <c r="O247" t="s">
        <v>165</v>
      </c>
      <c r="P247" t="s">
        <v>420</v>
      </c>
      <c r="Q247" t="s">
        <v>687</v>
      </c>
      <c r="R247" t="s">
        <v>526</v>
      </c>
      <c r="S247">
        <v>2014</v>
      </c>
      <c r="T247">
        <v>6</v>
      </c>
      <c r="U247" t="s">
        <v>1108</v>
      </c>
      <c r="V247" t="s">
        <v>695</v>
      </c>
      <c r="W247">
        <v>2020</v>
      </c>
      <c r="X247">
        <v>0</v>
      </c>
      <c r="Y247" t="s">
        <v>370</v>
      </c>
      <c r="Z247">
        <v>2020</v>
      </c>
      <c r="AA247">
        <v>2020</v>
      </c>
      <c r="AB247" s="5">
        <v>0.419845836699</v>
      </c>
      <c r="AC247" s="5">
        <v>0.83969167339799999</v>
      </c>
      <c r="AD247" t="s">
        <v>408</v>
      </c>
      <c r="AE247" t="s">
        <v>152</v>
      </c>
      <c r="AF247" t="s">
        <v>408</v>
      </c>
      <c r="AG247" t="s">
        <v>408</v>
      </c>
      <c r="AH247" t="s">
        <v>408</v>
      </c>
      <c r="AI247" t="s">
        <v>408</v>
      </c>
      <c r="AJ247" t="s">
        <v>408</v>
      </c>
      <c r="AK247" t="s">
        <v>408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s="58">
        <f t="shared" si="3"/>
        <v>1</v>
      </c>
      <c r="AU247" s="79" t="s">
        <v>431</v>
      </c>
      <c r="AV247" s="78" t="s">
        <v>410</v>
      </c>
      <c r="AW247" t="s">
        <v>152</v>
      </c>
      <c r="AX247">
        <v>2</v>
      </c>
      <c r="AY247" t="s">
        <v>412</v>
      </c>
      <c r="AZ247" t="s">
        <v>408</v>
      </c>
    </row>
    <row r="248" spans="1:52" x14ac:dyDescent="0.3">
      <c r="A248">
        <v>237</v>
      </c>
      <c r="B248" t="s">
        <v>477</v>
      </c>
      <c r="C248" t="s">
        <v>152</v>
      </c>
      <c r="D248" t="s">
        <v>478</v>
      </c>
      <c r="E248" t="s">
        <v>417</v>
      </c>
      <c r="F248" t="s">
        <v>408</v>
      </c>
      <c r="G248">
        <v>3600</v>
      </c>
      <c r="H248">
        <v>3601</v>
      </c>
      <c r="I248" t="s">
        <v>573</v>
      </c>
      <c r="J248">
        <v>3700</v>
      </c>
      <c r="K248">
        <v>3701</v>
      </c>
      <c r="L248" t="s">
        <v>1109</v>
      </c>
      <c r="M248">
        <v>2</v>
      </c>
      <c r="N248" t="s">
        <v>167</v>
      </c>
      <c r="O248" t="s">
        <v>167</v>
      </c>
      <c r="P248" t="s">
        <v>414</v>
      </c>
      <c r="Q248" t="s">
        <v>408</v>
      </c>
      <c r="R248" t="s">
        <v>810</v>
      </c>
      <c r="S248">
        <v>2004</v>
      </c>
      <c r="T248">
        <v>7</v>
      </c>
      <c r="U248" t="s">
        <v>408</v>
      </c>
      <c r="V248" t="s">
        <v>487</v>
      </c>
      <c r="W248">
        <v>2020</v>
      </c>
      <c r="X248">
        <v>0</v>
      </c>
      <c r="Y248" t="s">
        <v>408</v>
      </c>
      <c r="Z248">
        <v>2020</v>
      </c>
      <c r="AA248">
        <v>2010</v>
      </c>
      <c r="AB248" s="5">
        <v>0.124163052737</v>
      </c>
      <c r="AC248" s="5">
        <v>0.248326105474</v>
      </c>
      <c r="AD248" t="s">
        <v>408</v>
      </c>
      <c r="AE248" t="s">
        <v>152</v>
      </c>
      <c r="AF248" t="s">
        <v>408</v>
      </c>
      <c r="AG248" t="s">
        <v>408</v>
      </c>
      <c r="AH248" t="s">
        <v>408</v>
      </c>
      <c r="AI248" t="s">
        <v>408</v>
      </c>
      <c r="AJ248" t="s">
        <v>408</v>
      </c>
      <c r="AK248" t="s">
        <v>408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s="58">
        <f t="shared" si="3"/>
        <v>1</v>
      </c>
      <c r="AU248" s="79" t="s">
        <v>488</v>
      </c>
      <c r="AV248" t="s">
        <v>410</v>
      </c>
      <c r="AW248" t="s">
        <v>408</v>
      </c>
      <c r="AX248">
        <v>2</v>
      </c>
      <c r="AY248" t="s">
        <v>412</v>
      </c>
      <c r="AZ248" t="s">
        <v>408</v>
      </c>
    </row>
    <row r="249" spans="1:52" x14ac:dyDescent="0.3">
      <c r="A249">
        <v>238</v>
      </c>
      <c r="B249" t="s">
        <v>1110</v>
      </c>
      <c r="C249" t="s">
        <v>155</v>
      </c>
      <c r="D249" t="s">
        <v>1111</v>
      </c>
      <c r="E249" t="s">
        <v>460</v>
      </c>
      <c r="F249" t="s">
        <v>408</v>
      </c>
      <c r="G249">
        <v>9231</v>
      </c>
      <c r="H249">
        <v>9232</v>
      </c>
      <c r="I249" t="s">
        <v>1112</v>
      </c>
      <c r="J249">
        <v>9459</v>
      </c>
      <c r="K249">
        <v>9458</v>
      </c>
      <c r="L249" t="s">
        <v>696</v>
      </c>
      <c r="M249">
        <v>3</v>
      </c>
      <c r="N249" t="s">
        <v>167</v>
      </c>
      <c r="O249" t="s">
        <v>167</v>
      </c>
      <c r="P249" t="s">
        <v>420</v>
      </c>
      <c r="Q249" t="s">
        <v>1113</v>
      </c>
      <c r="R249" t="s">
        <v>608</v>
      </c>
      <c r="S249">
        <v>2010</v>
      </c>
      <c r="T249">
        <v>12</v>
      </c>
      <c r="U249" t="s">
        <v>370</v>
      </c>
      <c r="V249" t="s">
        <v>408</v>
      </c>
      <c r="W249">
        <v>0</v>
      </c>
      <c r="X249">
        <v>0</v>
      </c>
      <c r="Y249" t="s">
        <v>408</v>
      </c>
      <c r="Z249">
        <v>2010</v>
      </c>
      <c r="AA249">
        <v>2010</v>
      </c>
      <c r="AB249" s="5">
        <v>0.38071054246899999</v>
      </c>
      <c r="AC249" s="5">
        <v>0.76142108493799998</v>
      </c>
      <c r="AD249" t="s">
        <v>408</v>
      </c>
      <c r="AE249" t="s">
        <v>152</v>
      </c>
      <c r="AF249" t="s">
        <v>408</v>
      </c>
      <c r="AG249" t="s">
        <v>408</v>
      </c>
      <c r="AH249" t="s">
        <v>408</v>
      </c>
      <c r="AI249" t="s">
        <v>408</v>
      </c>
      <c r="AJ249" t="s">
        <v>408</v>
      </c>
      <c r="AK249" t="s">
        <v>408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 s="58">
        <f t="shared" si="3"/>
        <v>1</v>
      </c>
      <c r="AU249" s="79">
        <v>43347</v>
      </c>
      <c r="AV249" s="78" t="s">
        <v>410</v>
      </c>
      <c r="AW249" t="s">
        <v>408</v>
      </c>
      <c r="AX249">
        <v>2</v>
      </c>
      <c r="AY249" t="s">
        <v>412</v>
      </c>
      <c r="AZ249" t="s">
        <v>408</v>
      </c>
    </row>
    <row r="250" spans="1:52" x14ac:dyDescent="0.3">
      <c r="A250">
        <v>239</v>
      </c>
      <c r="B250" t="s">
        <v>1110</v>
      </c>
      <c r="C250" t="s">
        <v>155</v>
      </c>
      <c r="D250" t="s">
        <v>1111</v>
      </c>
      <c r="E250" t="s">
        <v>460</v>
      </c>
      <c r="F250" t="s">
        <v>408</v>
      </c>
      <c r="G250">
        <v>9201</v>
      </c>
      <c r="H250">
        <v>9200</v>
      </c>
      <c r="I250" t="s">
        <v>1114</v>
      </c>
      <c r="J250">
        <v>9229</v>
      </c>
      <c r="K250">
        <v>9230</v>
      </c>
      <c r="L250" t="s">
        <v>1112</v>
      </c>
      <c r="M250">
        <v>3</v>
      </c>
      <c r="N250" t="s">
        <v>170</v>
      </c>
      <c r="O250" t="s">
        <v>170</v>
      </c>
      <c r="P250" t="s">
        <v>420</v>
      </c>
      <c r="Q250" t="s">
        <v>1113</v>
      </c>
      <c r="R250" t="s">
        <v>608</v>
      </c>
      <c r="S250">
        <v>2010</v>
      </c>
      <c r="T250">
        <v>12</v>
      </c>
      <c r="U250" t="s">
        <v>370</v>
      </c>
      <c r="V250" t="s">
        <v>408</v>
      </c>
      <c r="W250">
        <v>0</v>
      </c>
      <c r="X250">
        <v>0</v>
      </c>
      <c r="Y250" t="s">
        <v>408</v>
      </c>
      <c r="Z250">
        <v>2010</v>
      </c>
      <c r="AA250">
        <v>2010</v>
      </c>
      <c r="AB250" s="5">
        <v>0.13949305534699999</v>
      </c>
      <c r="AC250" s="5">
        <v>0.27898611069399998</v>
      </c>
      <c r="AD250" t="s">
        <v>408</v>
      </c>
      <c r="AE250" t="s">
        <v>152</v>
      </c>
      <c r="AF250" t="s">
        <v>408</v>
      </c>
      <c r="AG250" t="s">
        <v>408</v>
      </c>
      <c r="AH250" t="s">
        <v>408</v>
      </c>
      <c r="AI250" t="s">
        <v>408</v>
      </c>
      <c r="AJ250" t="s">
        <v>408</v>
      </c>
      <c r="AK250" t="s">
        <v>408</v>
      </c>
      <c r="AL250">
        <v>0</v>
      </c>
      <c r="AM250">
        <v>0</v>
      </c>
      <c r="AN250">
        <v>0</v>
      </c>
      <c r="AO250">
        <v>0</v>
      </c>
      <c r="AP250">
        <v>0.8</v>
      </c>
      <c r="AQ250">
        <v>0</v>
      </c>
      <c r="AR250">
        <v>0.2</v>
      </c>
      <c r="AS250">
        <v>0</v>
      </c>
      <c r="AT250" s="58">
        <f t="shared" si="3"/>
        <v>1</v>
      </c>
      <c r="AU250" s="79">
        <v>43347</v>
      </c>
      <c r="AV250" s="78" t="s">
        <v>410</v>
      </c>
      <c r="AW250" t="s">
        <v>408</v>
      </c>
      <c r="AX250">
        <v>2</v>
      </c>
      <c r="AY250" t="s">
        <v>412</v>
      </c>
      <c r="AZ250" t="s">
        <v>408</v>
      </c>
    </row>
    <row r="251" spans="1:52" x14ac:dyDescent="0.3">
      <c r="A251">
        <v>240</v>
      </c>
      <c r="B251" t="s">
        <v>1115</v>
      </c>
      <c r="C251" t="s">
        <v>152</v>
      </c>
      <c r="D251" t="s">
        <v>1116</v>
      </c>
      <c r="E251" t="s">
        <v>460</v>
      </c>
      <c r="F251" t="s">
        <v>408</v>
      </c>
      <c r="G251">
        <v>7400</v>
      </c>
      <c r="H251">
        <v>7401</v>
      </c>
      <c r="I251" t="s">
        <v>718</v>
      </c>
      <c r="J251">
        <v>7666</v>
      </c>
      <c r="K251">
        <v>7669</v>
      </c>
      <c r="L251" t="s">
        <v>1117</v>
      </c>
      <c r="M251">
        <v>3</v>
      </c>
      <c r="N251" t="s">
        <v>170</v>
      </c>
      <c r="O251" t="s">
        <v>170</v>
      </c>
      <c r="P251" t="s">
        <v>420</v>
      </c>
      <c r="Q251" t="s">
        <v>408</v>
      </c>
      <c r="R251" t="s">
        <v>547</v>
      </c>
      <c r="S251">
        <v>2011</v>
      </c>
      <c r="T251">
        <v>9</v>
      </c>
      <c r="U251" t="s">
        <v>408</v>
      </c>
      <c r="V251" t="s">
        <v>408</v>
      </c>
      <c r="W251">
        <v>0</v>
      </c>
      <c r="X251">
        <v>0</v>
      </c>
      <c r="Y251" t="s">
        <v>408</v>
      </c>
      <c r="Z251">
        <v>2011</v>
      </c>
      <c r="AA251">
        <v>0</v>
      </c>
      <c r="AB251" s="5">
        <v>0.61949052764099999</v>
      </c>
      <c r="AC251" s="5">
        <v>1.23898105528</v>
      </c>
      <c r="AD251" t="s">
        <v>408</v>
      </c>
      <c r="AE251" t="s">
        <v>152</v>
      </c>
      <c r="AF251" t="s">
        <v>408</v>
      </c>
      <c r="AG251" t="s">
        <v>408</v>
      </c>
      <c r="AH251" t="s">
        <v>408</v>
      </c>
      <c r="AI251" t="s">
        <v>408</v>
      </c>
      <c r="AJ251" t="s">
        <v>408</v>
      </c>
      <c r="AK251" t="s">
        <v>408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s="58">
        <f t="shared" si="3"/>
        <v>1</v>
      </c>
      <c r="AU251" s="79">
        <v>43347</v>
      </c>
      <c r="AV251" s="78" t="s">
        <v>410</v>
      </c>
      <c r="AW251" t="s">
        <v>408</v>
      </c>
      <c r="AX251">
        <v>2</v>
      </c>
      <c r="AY251" t="s">
        <v>412</v>
      </c>
      <c r="AZ251" t="s">
        <v>408</v>
      </c>
    </row>
    <row r="252" spans="1:52" x14ac:dyDescent="0.3">
      <c r="A252">
        <v>241</v>
      </c>
      <c r="B252" t="s">
        <v>1118</v>
      </c>
      <c r="C252" t="s">
        <v>154</v>
      </c>
      <c r="D252" t="s">
        <v>627</v>
      </c>
      <c r="E252" t="s">
        <v>466</v>
      </c>
      <c r="F252" t="s">
        <v>408</v>
      </c>
      <c r="G252">
        <v>3558</v>
      </c>
      <c r="H252">
        <v>3563</v>
      </c>
      <c r="I252" t="s">
        <v>1052</v>
      </c>
      <c r="J252">
        <v>3001</v>
      </c>
      <c r="K252">
        <v>3000</v>
      </c>
      <c r="L252" t="s">
        <v>1119</v>
      </c>
      <c r="M252">
        <v>3</v>
      </c>
      <c r="N252" t="s">
        <v>163</v>
      </c>
      <c r="O252" t="s">
        <v>163</v>
      </c>
      <c r="P252" t="s">
        <v>403</v>
      </c>
      <c r="Q252" t="s">
        <v>1120</v>
      </c>
      <c r="R252" t="s">
        <v>445</v>
      </c>
      <c r="S252">
        <v>2012</v>
      </c>
      <c r="T252">
        <v>6</v>
      </c>
      <c r="U252" t="s">
        <v>1121</v>
      </c>
      <c r="V252" t="s">
        <v>1122</v>
      </c>
      <c r="W252">
        <v>2016</v>
      </c>
      <c r="X252">
        <v>8</v>
      </c>
      <c r="Y252" t="s">
        <v>370</v>
      </c>
      <c r="Z252">
        <v>2016</v>
      </c>
      <c r="AA252">
        <v>2016</v>
      </c>
      <c r="AB252" s="5">
        <v>0.75613164060299998</v>
      </c>
      <c r="AC252" s="5">
        <v>1.5122632812100001</v>
      </c>
      <c r="AD252" t="s">
        <v>408</v>
      </c>
      <c r="AE252" t="s">
        <v>152</v>
      </c>
      <c r="AF252" t="s">
        <v>408</v>
      </c>
      <c r="AG252" t="s">
        <v>408</v>
      </c>
      <c r="AH252" t="s">
        <v>152</v>
      </c>
      <c r="AI252" t="s">
        <v>456</v>
      </c>
      <c r="AJ252" t="s">
        <v>400</v>
      </c>
      <c r="AK252" t="s">
        <v>411</v>
      </c>
      <c r="AL252">
        <v>2016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 s="58">
        <f t="shared" si="3"/>
        <v>1</v>
      </c>
      <c r="AU252" s="79" t="s">
        <v>457</v>
      </c>
      <c r="AV252" s="78" t="s">
        <v>410</v>
      </c>
      <c r="AW252" t="s">
        <v>411</v>
      </c>
      <c r="AX252">
        <v>1</v>
      </c>
      <c r="AY252" t="s">
        <v>412</v>
      </c>
      <c r="AZ252" t="s">
        <v>408</v>
      </c>
    </row>
    <row r="253" spans="1:52" x14ac:dyDescent="0.3">
      <c r="A253">
        <v>242</v>
      </c>
      <c r="B253" t="s">
        <v>1026</v>
      </c>
      <c r="C253" t="s">
        <v>155</v>
      </c>
      <c r="D253" t="s">
        <v>881</v>
      </c>
      <c r="E253" t="s">
        <v>460</v>
      </c>
      <c r="F253" t="s">
        <v>408</v>
      </c>
      <c r="G253">
        <v>2558</v>
      </c>
      <c r="H253">
        <v>2559</v>
      </c>
      <c r="I253" t="s">
        <v>961</v>
      </c>
      <c r="J253">
        <v>2500</v>
      </c>
      <c r="K253">
        <v>2501</v>
      </c>
      <c r="L253" t="s">
        <v>1123</v>
      </c>
      <c r="M253">
        <v>3</v>
      </c>
      <c r="N253" t="s">
        <v>167</v>
      </c>
      <c r="O253" t="s">
        <v>167</v>
      </c>
      <c r="P253" t="s">
        <v>420</v>
      </c>
      <c r="Q253" t="s">
        <v>408</v>
      </c>
      <c r="R253" t="s">
        <v>422</v>
      </c>
      <c r="S253">
        <v>2011</v>
      </c>
      <c r="T253">
        <v>5</v>
      </c>
      <c r="U253" t="s">
        <v>408</v>
      </c>
      <c r="V253" t="s">
        <v>482</v>
      </c>
      <c r="W253">
        <v>2018</v>
      </c>
      <c r="X253">
        <v>7</v>
      </c>
      <c r="Y253" t="s">
        <v>370</v>
      </c>
      <c r="Z253">
        <v>2018</v>
      </c>
      <c r="AA253">
        <v>2018</v>
      </c>
      <c r="AB253" s="5">
        <v>0.25341737214799998</v>
      </c>
      <c r="AC253" s="5">
        <v>0.50683474429599995</v>
      </c>
      <c r="AD253" t="s">
        <v>408</v>
      </c>
      <c r="AE253" t="s">
        <v>152</v>
      </c>
      <c r="AF253" t="s">
        <v>408</v>
      </c>
      <c r="AG253" t="s">
        <v>408</v>
      </c>
      <c r="AH253" t="s">
        <v>408</v>
      </c>
      <c r="AI253" t="s">
        <v>408</v>
      </c>
      <c r="AJ253" t="s">
        <v>408</v>
      </c>
      <c r="AK253" t="s">
        <v>408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 s="58">
        <f t="shared" si="3"/>
        <v>1</v>
      </c>
      <c r="AU253" s="79">
        <v>43343</v>
      </c>
      <c r="AV253" s="78" t="s">
        <v>410</v>
      </c>
      <c r="AW253" t="s">
        <v>408</v>
      </c>
      <c r="AX253">
        <v>2</v>
      </c>
      <c r="AY253" t="s">
        <v>412</v>
      </c>
      <c r="AZ253" t="s">
        <v>408</v>
      </c>
    </row>
    <row r="254" spans="1:52" x14ac:dyDescent="0.3">
      <c r="A254">
        <v>243</v>
      </c>
      <c r="B254" t="s">
        <v>538</v>
      </c>
      <c r="C254" t="s">
        <v>152</v>
      </c>
      <c r="D254" t="s">
        <v>539</v>
      </c>
      <c r="E254" t="s">
        <v>417</v>
      </c>
      <c r="F254" t="s">
        <v>408</v>
      </c>
      <c r="G254">
        <v>2800</v>
      </c>
      <c r="H254">
        <v>2801</v>
      </c>
      <c r="I254" t="s">
        <v>483</v>
      </c>
      <c r="J254">
        <v>3556</v>
      </c>
      <c r="K254">
        <v>3555</v>
      </c>
      <c r="L254" t="s">
        <v>573</v>
      </c>
      <c r="M254">
        <v>3</v>
      </c>
      <c r="N254" t="s">
        <v>165</v>
      </c>
      <c r="O254" t="s">
        <v>165</v>
      </c>
      <c r="P254" t="s">
        <v>403</v>
      </c>
      <c r="Q254" t="s">
        <v>1124</v>
      </c>
      <c r="R254" t="s">
        <v>556</v>
      </c>
      <c r="S254">
        <v>2012</v>
      </c>
      <c r="T254">
        <v>10</v>
      </c>
      <c r="U254" t="s">
        <v>408</v>
      </c>
      <c r="V254" t="s">
        <v>408</v>
      </c>
      <c r="W254">
        <v>0</v>
      </c>
      <c r="X254">
        <v>0</v>
      </c>
      <c r="Y254" t="s">
        <v>408</v>
      </c>
      <c r="Z254">
        <v>2012</v>
      </c>
      <c r="AA254">
        <v>2012</v>
      </c>
      <c r="AB254" s="5">
        <v>1.1610218882800001</v>
      </c>
      <c r="AC254" s="5">
        <v>2.3220437765600002</v>
      </c>
      <c r="AD254" t="s">
        <v>408</v>
      </c>
      <c r="AE254" t="s">
        <v>152</v>
      </c>
      <c r="AF254" t="s">
        <v>408</v>
      </c>
      <c r="AG254" t="s">
        <v>408</v>
      </c>
      <c r="AH254" t="s">
        <v>408</v>
      </c>
      <c r="AI254" t="s">
        <v>408</v>
      </c>
      <c r="AJ254" t="s">
        <v>408</v>
      </c>
      <c r="AK254" t="s">
        <v>408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s="58">
        <f t="shared" si="3"/>
        <v>1</v>
      </c>
      <c r="AU254" s="79">
        <v>43336</v>
      </c>
      <c r="AV254" s="78" t="s">
        <v>410</v>
      </c>
      <c r="AW254" t="s">
        <v>152</v>
      </c>
      <c r="AX254">
        <v>2</v>
      </c>
      <c r="AY254" t="s">
        <v>412</v>
      </c>
      <c r="AZ254" t="s">
        <v>408</v>
      </c>
    </row>
    <row r="255" spans="1:52" x14ac:dyDescent="0.3">
      <c r="A255">
        <v>244</v>
      </c>
      <c r="B255" t="s">
        <v>867</v>
      </c>
      <c r="C255" t="s">
        <v>154</v>
      </c>
      <c r="D255" t="s">
        <v>868</v>
      </c>
      <c r="E255" t="s">
        <v>466</v>
      </c>
      <c r="F255" t="s">
        <v>408</v>
      </c>
      <c r="G255">
        <v>2759</v>
      </c>
      <c r="H255">
        <v>2758</v>
      </c>
      <c r="I255" t="s">
        <v>761</v>
      </c>
      <c r="J255">
        <v>2401</v>
      </c>
      <c r="K255">
        <v>2400</v>
      </c>
      <c r="L255" t="s">
        <v>619</v>
      </c>
      <c r="M255">
        <v>4</v>
      </c>
      <c r="N255" t="s">
        <v>165</v>
      </c>
      <c r="O255" t="s">
        <v>165</v>
      </c>
      <c r="P255" t="s">
        <v>403</v>
      </c>
      <c r="Q255" t="s">
        <v>871</v>
      </c>
      <c r="R255" t="s">
        <v>703</v>
      </c>
      <c r="S255">
        <v>2014</v>
      </c>
      <c r="T255">
        <v>7</v>
      </c>
      <c r="U255" t="s">
        <v>408</v>
      </c>
      <c r="V255" t="s">
        <v>454</v>
      </c>
      <c r="W255">
        <v>2018</v>
      </c>
      <c r="X255">
        <v>11</v>
      </c>
      <c r="Y255" t="s">
        <v>818</v>
      </c>
      <c r="Z255">
        <v>2018</v>
      </c>
      <c r="AA255">
        <v>2018</v>
      </c>
      <c r="AB255" s="5">
        <v>0.50817017072299997</v>
      </c>
      <c r="AC255" s="5">
        <v>1.0163403414500001</v>
      </c>
      <c r="AD255" t="s">
        <v>408</v>
      </c>
      <c r="AE255" t="s">
        <v>152</v>
      </c>
      <c r="AF255" t="s">
        <v>408</v>
      </c>
      <c r="AG255" t="s">
        <v>408</v>
      </c>
      <c r="AH255" t="s">
        <v>408</v>
      </c>
      <c r="AI255" t="s">
        <v>408</v>
      </c>
      <c r="AJ255" t="s">
        <v>408</v>
      </c>
      <c r="AK255" t="s">
        <v>408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 s="58">
        <f t="shared" si="3"/>
        <v>1</v>
      </c>
      <c r="AU255" s="79">
        <v>43342</v>
      </c>
      <c r="AV255" s="78" t="s">
        <v>410</v>
      </c>
      <c r="AW255" t="s">
        <v>152</v>
      </c>
      <c r="AX255">
        <v>2</v>
      </c>
      <c r="AY255" t="s">
        <v>412</v>
      </c>
      <c r="AZ255" t="s">
        <v>408</v>
      </c>
    </row>
    <row r="256" spans="1:52" x14ac:dyDescent="0.3">
      <c r="A256">
        <v>245</v>
      </c>
      <c r="B256" t="s">
        <v>489</v>
      </c>
      <c r="C256" t="s">
        <v>152</v>
      </c>
      <c r="D256" t="s">
        <v>490</v>
      </c>
      <c r="E256" t="s">
        <v>460</v>
      </c>
      <c r="F256" t="s">
        <v>408</v>
      </c>
      <c r="G256">
        <v>800</v>
      </c>
      <c r="H256">
        <v>801</v>
      </c>
      <c r="I256" t="s">
        <v>554</v>
      </c>
      <c r="J256">
        <v>974</v>
      </c>
      <c r="K256">
        <v>975</v>
      </c>
      <c r="L256" t="s">
        <v>1125</v>
      </c>
      <c r="M256">
        <v>3</v>
      </c>
      <c r="N256" t="s">
        <v>167</v>
      </c>
      <c r="O256" t="s">
        <v>167</v>
      </c>
      <c r="P256" t="s">
        <v>420</v>
      </c>
      <c r="Q256" t="s">
        <v>408</v>
      </c>
      <c r="R256" t="s">
        <v>1126</v>
      </c>
      <c r="S256">
        <v>2001</v>
      </c>
      <c r="T256">
        <v>9</v>
      </c>
      <c r="U256" t="s">
        <v>408</v>
      </c>
      <c r="V256" t="s">
        <v>562</v>
      </c>
      <c r="W256">
        <v>2015</v>
      </c>
      <c r="X256">
        <v>10</v>
      </c>
      <c r="Y256" t="s">
        <v>370</v>
      </c>
      <c r="Z256">
        <v>2015</v>
      </c>
      <c r="AA256">
        <v>2015</v>
      </c>
      <c r="AB256" s="5">
        <v>0.25054827741300001</v>
      </c>
      <c r="AC256" s="5">
        <v>0.50109655482600002</v>
      </c>
      <c r="AD256" t="s">
        <v>408</v>
      </c>
      <c r="AE256" t="s">
        <v>152</v>
      </c>
      <c r="AF256" t="s">
        <v>408</v>
      </c>
      <c r="AG256" t="s">
        <v>408</v>
      </c>
      <c r="AH256" t="s">
        <v>408</v>
      </c>
      <c r="AI256" t="s">
        <v>408</v>
      </c>
      <c r="AJ256" t="s">
        <v>408</v>
      </c>
      <c r="AK256" t="s">
        <v>408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 s="58">
        <f t="shared" si="3"/>
        <v>1</v>
      </c>
      <c r="AU256" s="79">
        <v>43335</v>
      </c>
      <c r="AV256" s="78" t="s">
        <v>410</v>
      </c>
      <c r="AW256" t="s">
        <v>408</v>
      </c>
      <c r="AX256">
        <v>2</v>
      </c>
      <c r="AY256" t="s">
        <v>412</v>
      </c>
      <c r="AZ256" t="s">
        <v>408</v>
      </c>
    </row>
    <row r="257" spans="1:52" x14ac:dyDescent="0.3">
      <c r="A257">
        <v>246</v>
      </c>
      <c r="B257" t="s">
        <v>472</v>
      </c>
      <c r="C257" t="s">
        <v>152</v>
      </c>
      <c r="D257" t="s">
        <v>473</v>
      </c>
      <c r="E257" t="s">
        <v>460</v>
      </c>
      <c r="F257" t="s">
        <v>408</v>
      </c>
      <c r="G257">
        <v>900</v>
      </c>
      <c r="H257">
        <v>901</v>
      </c>
      <c r="I257" t="s">
        <v>1127</v>
      </c>
      <c r="J257">
        <v>1470</v>
      </c>
      <c r="K257">
        <v>1471</v>
      </c>
      <c r="L257" t="s">
        <v>770</v>
      </c>
      <c r="M257">
        <v>3</v>
      </c>
      <c r="N257" t="s">
        <v>163</v>
      </c>
      <c r="O257" t="s">
        <v>163</v>
      </c>
      <c r="P257" t="s">
        <v>403</v>
      </c>
      <c r="Q257" t="s">
        <v>408</v>
      </c>
      <c r="R257" t="s">
        <v>648</v>
      </c>
      <c r="S257">
        <v>2018</v>
      </c>
      <c r="T257">
        <v>9</v>
      </c>
      <c r="U257" t="s">
        <v>408</v>
      </c>
      <c r="V257" t="s">
        <v>408</v>
      </c>
      <c r="W257">
        <v>0</v>
      </c>
      <c r="X257">
        <v>0</v>
      </c>
      <c r="Y257" t="s">
        <v>408</v>
      </c>
      <c r="Z257">
        <v>2018</v>
      </c>
      <c r="AA257">
        <v>2012</v>
      </c>
      <c r="AB257" s="5">
        <v>0.794692033076</v>
      </c>
      <c r="AC257" s="5">
        <v>1.5893840661500001</v>
      </c>
      <c r="AD257" t="s">
        <v>400</v>
      </c>
      <c r="AE257" t="s">
        <v>152</v>
      </c>
      <c r="AF257" t="s">
        <v>400</v>
      </c>
      <c r="AG257" t="s">
        <v>400</v>
      </c>
      <c r="AH257" t="s">
        <v>152</v>
      </c>
      <c r="AI257" t="s">
        <v>438</v>
      </c>
      <c r="AJ257" t="s">
        <v>400</v>
      </c>
      <c r="AK257" t="s">
        <v>408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 s="58">
        <f t="shared" si="3"/>
        <v>1</v>
      </c>
      <c r="AU257" s="79" t="s">
        <v>457</v>
      </c>
      <c r="AV257" s="78" t="s">
        <v>410</v>
      </c>
      <c r="AW257" t="s">
        <v>411</v>
      </c>
      <c r="AX257">
        <v>1</v>
      </c>
      <c r="AY257" t="s">
        <v>412</v>
      </c>
      <c r="AZ257" t="s">
        <v>408</v>
      </c>
    </row>
    <row r="258" spans="1:52" x14ac:dyDescent="0.3">
      <c r="A258">
        <v>247</v>
      </c>
      <c r="B258" t="s">
        <v>477</v>
      </c>
      <c r="C258" t="s">
        <v>155</v>
      </c>
      <c r="D258" t="s">
        <v>478</v>
      </c>
      <c r="E258" t="s">
        <v>417</v>
      </c>
      <c r="F258" t="s">
        <v>408</v>
      </c>
      <c r="G258">
        <v>601</v>
      </c>
      <c r="H258">
        <v>600</v>
      </c>
      <c r="I258" t="s">
        <v>535</v>
      </c>
      <c r="J258">
        <v>401</v>
      </c>
      <c r="K258">
        <v>400</v>
      </c>
      <c r="L258" t="s">
        <v>442</v>
      </c>
      <c r="M258">
        <v>2</v>
      </c>
      <c r="N258" t="s">
        <v>167</v>
      </c>
      <c r="O258" t="s">
        <v>167</v>
      </c>
      <c r="P258" t="s">
        <v>414</v>
      </c>
      <c r="Q258" t="s">
        <v>408</v>
      </c>
      <c r="R258" t="s">
        <v>885</v>
      </c>
      <c r="S258">
        <v>2013</v>
      </c>
      <c r="T258">
        <v>10</v>
      </c>
      <c r="U258" t="s">
        <v>408</v>
      </c>
      <c r="V258" t="s">
        <v>1128</v>
      </c>
      <c r="W258">
        <v>2016</v>
      </c>
      <c r="X258">
        <v>5</v>
      </c>
      <c r="Y258" t="s">
        <v>370</v>
      </c>
      <c r="Z258">
        <v>2016</v>
      </c>
      <c r="AA258">
        <v>2016</v>
      </c>
      <c r="AB258" s="5">
        <v>0.161026327228</v>
      </c>
      <c r="AC258" s="5">
        <v>0.32205265445600001</v>
      </c>
      <c r="AD258" t="s">
        <v>408</v>
      </c>
      <c r="AE258" t="s">
        <v>152</v>
      </c>
      <c r="AF258" t="s">
        <v>408</v>
      </c>
      <c r="AG258" t="s">
        <v>408</v>
      </c>
      <c r="AH258" t="s">
        <v>408</v>
      </c>
      <c r="AI258" t="s">
        <v>408</v>
      </c>
      <c r="AJ258" t="s">
        <v>408</v>
      </c>
      <c r="AK258" t="s">
        <v>411</v>
      </c>
      <c r="AL258">
        <v>2016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 s="58">
        <f t="shared" si="3"/>
        <v>1</v>
      </c>
      <c r="AU258" s="79">
        <v>43333</v>
      </c>
      <c r="AV258" s="78" t="s">
        <v>410</v>
      </c>
      <c r="AW258" t="s">
        <v>408</v>
      </c>
      <c r="AX258">
        <v>2</v>
      </c>
      <c r="AY258" t="s">
        <v>412</v>
      </c>
      <c r="AZ258" t="s">
        <v>408</v>
      </c>
    </row>
    <row r="259" spans="1:52" x14ac:dyDescent="0.3">
      <c r="A259">
        <v>248</v>
      </c>
      <c r="B259" t="s">
        <v>1129</v>
      </c>
      <c r="C259" t="s">
        <v>155</v>
      </c>
      <c r="D259" t="s">
        <v>1130</v>
      </c>
      <c r="E259" t="s">
        <v>1131</v>
      </c>
      <c r="F259" t="s">
        <v>408</v>
      </c>
      <c r="G259">
        <v>9862</v>
      </c>
      <c r="H259">
        <v>9863</v>
      </c>
      <c r="I259" t="s">
        <v>1132</v>
      </c>
      <c r="J259">
        <v>9500</v>
      </c>
      <c r="K259">
        <v>9501</v>
      </c>
      <c r="L259" t="s">
        <v>858</v>
      </c>
      <c r="M259">
        <v>4</v>
      </c>
      <c r="N259" t="s">
        <v>167</v>
      </c>
      <c r="O259" t="s">
        <v>167</v>
      </c>
      <c r="P259" t="s">
        <v>420</v>
      </c>
      <c r="Q259" t="s">
        <v>1133</v>
      </c>
      <c r="R259" t="s">
        <v>422</v>
      </c>
      <c r="S259">
        <v>2011</v>
      </c>
      <c r="T259">
        <v>5</v>
      </c>
      <c r="U259" t="s">
        <v>408</v>
      </c>
      <c r="V259" t="s">
        <v>407</v>
      </c>
      <c r="W259">
        <v>2020</v>
      </c>
      <c r="X259">
        <v>0</v>
      </c>
      <c r="Y259" t="s">
        <v>408</v>
      </c>
      <c r="Z259">
        <v>2020</v>
      </c>
      <c r="AA259">
        <v>0</v>
      </c>
      <c r="AB259" s="5">
        <v>0.493391647998</v>
      </c>
      <c r="AC259" s="5">
        <v>0.98678329599600001</v>
      </c>
      <c r="AD259" t="s">
        <v>408</v>
      </c>
      <c r="AE259" t="s">
        <v>152</v>
      </c>
      <c r="AF259" t="s">
        <v>408</v>
      </c>
      <c r="AG259" t="s">
        <v>408</v>
      </c>
      <c r="AH259" t="s">
        <v>408</v>
      </c>
      <c r="AI259" t="s">
        <v>408</v>
      </c>
      <c r="AJ259" t="s">
        <v>408</v>
      </c>
      <c r="AK259" t="s">
        <v>408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 s="58">
        <f t="shared" si="3"/>
        <v>1</v>
      </c>
      <c r="AU259" s="79" t="s">
        <v>431</v>
      </c>
      <c r="AV259" s="78" t="s">
        <v>410</v>
      </c>
      <c r="AW259" t="s">
        <v>408</v>
      </c>
      <c r="AX259">
        <v>3</v>
      </c>
      <c r="AY259" t="s">
        <v>412</v>
      </c>
      <c r="AZ259" t="s">
        <v>408</v>
      </c>
    </row>
    <row r="260" spans="1:52" x14ac:dyDescent="0.3">
      <c r="A260">
        <v>249</v>
      </c>
      <c r="B260" t="s">
        <v>446</v>
      </c>
      <c r="C260" t="s">
        <v>447</v>
      </c>
      <c r="D260" t="s">
        <v>448</v>
      </c>
      <c r="E260" t="s">
        <v>449</v>
      </c>
      <c r="F260" t="s">
        <v>447</v>
      </c>
      <c r="G260">
        <v>1400</v>
      </c>
      <c r="H260">
        <v>1401</v>
      </c>
      <c r="I260" t="s">
        <v>450</v>
      </c>
      <c r="J260">
        <v>1466</v>
      </c>
      <c r="K260">
        <v>1467</v>
      </c>
      <c r="L260" t="s">
        <v>451</v>
      </c>
      <c r="M260">
        <v>2</v>
      </c>
      <c r="N260" t="s">
        <v>165</v>
      </c>
      <c r="O260" t="s">
        <v>165</v>
      </c>
      <c r="P260" t="s">
        <v>420</v>
      </c>
      <c r="Q260" t="s">
        <v>408</v>
      </c>
      <c r="R260" t="s">
        <v>445</v>
      </c>
      <c r="S260">
        <v>2012</v>
      </c>
      <c r="T260">
        <v>7</v>
      </c>
      <c r="U260" t="s">
        <v>408</v>
      </c>
      <c r="V260" t="s">
        <v>453</v>
      </c>
      <c r="W260">
        <v>2017</v>
      </c>
      <c r="X260">
        <v>6</v>
      </c>
      <c r="Y260" t="s">
        <v>408</v>
      </c>
      <c r="Z260">
        <v>2017</v>
      </c>
      <c r="AA260">
        <v>0</v>
      </c>
      <c r="AB260" s="5">
        <v>0.14469620682500001</v>
      </c>
      <c r="AC260" s="5">
        <v>0.14469620682500001</v>
      </c>
      <c r="AD260" t="s">
        <v>408</v>
      </c>
      <c r="AE260" t="s">
        <v>411</v>
      </c>
      <c r="AF260" t="s">
        <v>447</v>
      </c>
      <c r="AG260" t="s">
        <v>152</v>
      </c>
      <c r="AH260" t="s">
        <v>408</v>
      </c>
      <c r="AI260" t="s">
        <v>408</v>
      </c>
      <c r="AJ260" t="s">
        <v>408</v>
      </c>
      <c r="AK260" t="s">
        <v>408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 s="58">
        <f t="shared" si="3"/>
        <v>1</v>
      </c>
      <c r="AU260" s="79">
        <v>43328</v>
      </c>
      <c r="AV260" s="78" t="s">
        <v>410</v>
      </c>
      <c r="AW260" t="s">
        <v>152</v>
      </c>
      <c r="AX260">
        <v>2</v>
      </c>
      <c r="AY260" t="s">
        <v>412</v>
      </c>
      <c r="AZ260" t="s">
        <v>408</v>
      </c>
    </row>
    <row r="261" spans="1:52" x14ac:dyDescent="0.3">
      <c r="A261">
        <v>250</v>
      </c>
      <c r="B261" t="s">
        <v>587</v>
      </c>
      <c r="C261" t="s">
        <v>155</v>
      </c>
      <c r="D261" t="s">
        <v>588</v>
      </c>
      <c r="E261" t="s">
        <v>417</v>
      </c>
      <c r="F261" t="s">
        <v>408</v>
      </c>
      <c r="G261">
        <v>10233</v>
      </c>
      <c r="H261">
        <v>10230</v>
      </c>
      <c r="I261" t="s">
        <v>985</v>
      </c>
      <c r="J261">
        <v>9925</v>
      </c>
      <c r="K261">
        <v>9930</v>
      </c>
      <c r="L261" t="s">
        <v>1134</v>
      </c>
      <c r="M261">
        <v>2</v>
      </c>
      <c r="N261" t="s">
        <v>170</v>
      </c>
      <c r="O261" t="s">
        <v>170</v>
      </c>
      <c r="P261" t="s">
        <v>420</v>
      </c>
      <c r="Q261" t="s">
        <v>1135</v>
      </c>
      <c r="R261" t="s">
        <v>422</v>
      </c>
      <c r="S261">
        <v>2011</v>
      </c>
      <c r="T261">
        <v>5</v>
      </c>
      <c r="U261" t="s">
        <v>408</v>
      </c>
      <c r="V261" t="s">
        <v>408</v>
      </c>
      <c r="W261">
        <v>2021</v>
      </c>
      <c r="X261">
        <v>0</v>
      </c>
      <c r="Y261" t="s">
        <v>408</v>
      </c>
      <c r="Z261">
        <v>2021</v>
      </c>
      <c r="AA261">
        <v>0</v>
      </c>
      <c r="AB261" s="5">
        <v>0.49532335218500001</v>
      </c>
      <c r="AC261" s="5">
        <v>0.99064670437000002</v>
      </c>
      <c r="AD261" t="s">
        <v>408</v>
      </c>
      <c r="AE261" t="s">
        <v>152</v>
      </c>
      <c r="AF261" t="s">
        <v>408</v>
      </c>
      <c r="AG261" t="s">
        <v>408</v>
      </c>
      <c r="AH261" t="s">
        <v>408</v>
      </c>
      <c r="AI261" t="s">
        <v>408</v>
      </c>
      <c r="AJ261" t="s">
        <v>408</v>
      </c>
      <c r="AK261" t="s">
        <v>408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 s="58">
        <f t="shared" si="3"/>
        <v>1</v>
      </c>
      <c r="AU261" s="79" t="s">
        <v>499</v>
      </c>
      <c r="AV261" s="78" t="s">
        <v>410</v>
      </c>
      <c r="AW261" t="s">
        <v>400</v>
      </c>
      <c r="AX261">
        <v>2</v>
      </c>
      <c r="AY261" t="s">
        <v>412</v>
      </c>
      <c r="AZ261" t="s">
        <v>408</v>
      </c>
    </row>
    <row r="262" spans="1:52" x14ac:dyDescent="0.3">
      <c r="A262">
        <v>251</v>
      </c>
      <c r="B262" t="s">
        <v>709</v>
      </c>
      <c r="C262" t="s">
        <v>154</v>
      </c>
      <c r="D262" t="s">
        <v>710</v>
      </c>
      <c r="E262" t="s">
        <v>460</v>
      </c>
      <c r="F262" t="s">
        <v>408</v>
      </c>
      <c r="G262">
        <v>4730</v>
      </c>
      <c r="H262">
        <v>4733</v>
      </c>
      <c r="I262" t="s">
        <v>1136</v>
      </c>
      <c r="J262">
        <v>4790</v>
      </c>
      <c r="K262">
        <v>4789</v>
      </c>
      <c r="L262" t="s">
        <v>474</v>
      </c>
      <c r="M262">
        <v>2</v>
      </c>
      <c r="N262" t="s">
        <v>165</v>
      </c>
      <c r="O262" t="s">
        <v>165</v>
      </c>
      <c r="P262" t="s">
        <v>403</v>
      </c>
      <c r="Q262" t="s">
        <v>1137</v>
      </c>
      <c r="R262" t="s">
        <v>942</v>
      </c>
      <c r="S262">
        <v>2015</v>
      </c>
      <c r="T262">
        <v>7</v>
      </c>
      <c r="U262" t="s">
        <v>408</v>
      </c>
      <c r="V262" t="s">
        <v>695</v>
      </c>
      <c r="W262">
        <v>2020</v>
      </c>
      <c r="X262">
        <v>0</v>
      </c>
      <c r="Y262" t="s">
        <v>370</v>
      </c>
      <c r="Z262">
        <v>2020</v>
      </c>
      <c r="AA262">
        <v>2020</v>
      </c>
      <c r="AB262" s="5">
        <v>0.35264886940599999</v>
      </c>
      <c r="AC262" s="5">
        <v>0.70529773881199997</v>
      </c>
      <c r="AD262" t="s">
        <v>408</v>
      </c>
      <c r="AE262" t="s">
        <v>152</v>
      </c>
      <c r="AF262" t="s">
        <v>408</v>
      </c>
      <c r="AG262" t="s">
        <v>408</v>
      </c>
      <c r="AH262" t="s">
        <v>408</v>
      </c>
      <c r="AI262" t="s">
        <v>408</v>
      </c>
      <c r="AJ262" t="s">
        <v>408</v>
      </c>
      <c r="AK262" t="s">
        <v>408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s="58">
        <f t="shared" si="3"/>
        <v>1</v>
      </c>
      <c r="AU262" s="79" t="s">
        <v>431</v>
      </c>
      <c r="AV262" t="s">
        <v>410</v>
      </c>
      <c r="AW262" t="s">
        <v>152</v>
      </c>
      <c r="AX262">
        <v>2</v>
      </c>
      <c r="AY262" t="s">
        <v>412</v>
      </c>
      <c r="AZ262" t="s">
        <v>408</v>
      </c>
    </row>
    <row r="263" spans="1:52" x14ac:dyDescent="0.3">
      <c r="A263">
        <v>252</v>
      </c>
      <c r="B263" t="s">
        <v>587</v>
      </c>
      <c r="C263" t="s">
        <v>155</v>
      </c>
      <c r="D263" t="s">
        <v>588</v>
      </c>
      <c r="E263" t="s">
        <v>417</v>
      </c>
      <c r="F263" t="s">
        <v>408</v>
      </c>
      <c r="G263">
        <v>9851</v>
      </c>
      <c r="H263">
        <v>9850</v>
      </c>
      <c r="I263" t="s">
        <v>1132</v>
      </c>
      <c r="J263">
        <v>9815</v>
      </c>
      <c r="K263">
        <v>9814</v>
      </c>
      <c r="L263" t="s">
        <v>1138</v>
      </c>
      <c r="M263">
        <v>2</v>
      </c>
      <c r="N263" t="s">
        <v>167</v>
      </c>
      <c r="O263" t="s">
        <v>167</v>
      </c>
      <c r="P263" t="s">
        <v>420</v>
      </c>
      <c r="Q263" t="s">
        <v>1135</v>
      </c>
      <c r="R263" t="s">
        <v>422</v>
      </c>
      <c r="S263">
        <v>2011</v>
      </c>
      <c r="T263">
        <v>5</v>
      </c>
      <c r="U263" t="s">
        <v>408</v>
      </c>
      <c r="V263" t="s">
        <v>408</v>
      </c>
      <c r="W263">
        <v>0</v>
      </c>
      <c r="X263">
        <v>0</v>
      </c>
      <c r="Y263" t="s">
        <v>408</v>
      </c>
      <c r="Z263">
        <v>2011</v>
      </c>
      <c r="AA263">
        <v>0</v>
      </c>
      <c r="AB263" s="5">
        <v>0.11880822290900001</v>
      </c>
      <c r="AC263" s="5">
        <v>0.23761644581800001</v>
      </c>
      <c r="AD263" t="s">
        <v>408</v>
      </c>
      <c r="AE263" t="s">
        <v>152</v>
      </c>
      <c r="AF263" t="s">
        <v>408</v>
      </c>
      <c r="AG263" t="s">
        <v>408</v>
      </c>
      <c r="AH263" t="s">
        <v>408</v>
      </c>
      <c r="AI263" t="s">
        <v>408</v>
      </c>
      <c r="AJ263" t="s">
        <v>408</v>
      </c>
      <c r="AK263" t="s">
        <v>411</v>
      </c>
      <c r="AL263">
        <v>2011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 s="58">
        <f t="shared" si="3"/>
        <v>1</v>
      </c>
      <c r="AU263" s="79">
        <v>43339</v>
      </c>
      <c r="AV263" s="78" t="s">
        <v>410</v>
      </c>
      <c r="AW263" t="s">
        <v>408</v>
      </c>
      <c r="AX263">
        <v>2</v>
      </c>
      <c r="AY263" t="s">
        <v>412</v>
      </c>
      <c r="AZ263" t="s">
        <v>408</v>
      </c>
    </row>
    <row r="264" spans="1:52" x14ac:dyDescent="0.3">
      <c r="A264">
        <v>253</v>
      </c>
      <c r="B264" t="s">
        <v>974</v>
      </c>
      <c r="C264" t="s">
        <v>154</v>
      </c>
      <c r="D264" t="s">
        <v>975</v>
      </c>
      <c r="E264" t="s">
        <v>460</v>
      </c>
      <c r="F264" t="s">
        <v>408</v>
      </c>
      <c r="G264">
        <v>1170</v>
      </c>
      <c r="H264">
        <v>1171</v>
      </c>
      <c r="I264" t="s">
        <v>929</v>
      </c>
      <c r="J264">
        <v>1000</v>
      </c>
      <c r="K264">
        <v>1001</v>
      </c>
      <c r="L264" t="s">
        <v>1139</v>
      </c>
      <c r="M264">
        <v>3</v>
      </c>
      <c r="N264" t="s">
        <v>167</v>
      </c>
      <c r="O264" t="s">
        <v>167</v>
      </c>
      <c r="P264" t="s">
        <v>420</v>
      </c>
      <c r="Q264" t="s">
        <v>408</v>
      </c>
      <c r="R264" t="s">
        <v>976</v>
      </c>
      <c r="S264">
        <v>2001</v>
      </c>
      <c r="T264">
        <v>6</v>
      </c>
      <c r="U264" t="s">
        <v>370</v>
      </c>
      <c r="V264" t="s">
        <v>494</v>
      </c>
      <c r="W264">
        <v>2018</v>
      </c>
      <c r="X264">
        <v>9</v>
      </c>
      <c r="Y264" t="s">
        <v>408</v>
      </c>
      <c r="Z264">
        <v>2018</v>
      </c>
      <c r="AA264">
        <v>2001</v>
      </c>
      <c r="AB264" s="5">
        <v>0.25014028265499999</v>
      </c>
      <c r="AC264" s="5">
        <v>0.50028056530999998</v>
      </c>
      <c r="AD264" t="s">
        <v>408</v>
      </c>
      <c r="AE264" t="s">
        <v>152</v>
      </c>
      <c r="AF264" t="s">
        <v>408</v>
      </c>
      <c r="AG264" t="s">
        <v>408</v>
      </c>
      <c r="AH264" t="s">
        <v>408</v>
      </c>
      <c r="AI264" t="s">
        <v>408</v>
      </c>
      <c r="AJ264" t="s">
        <v>408</v>
      </c>
      <c r="AK264" t="s">
        <v>408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s="58">
        <f t="shared" si="3"/>
        <v>1</v>
      </c>
      <c r="AU264" s="79">
        <v>43347</v>
      </c>
      <c r="AV264" s="78" t="s">
        <v>410</v>
      </c>
      <c r="AW264" t="s">
        <v>408</v>
      </c>
      <c r="AX264">
        <v>2</v>
      </c>
      <c r="AY264" t="s">
        <v>412</v>
      </c>
      <c r="AZ264" t="s">
        <v>408</v>
      </c>
    </row>
    <row r="265" spans="1:52" x14ac:dyDescent="0.3">
      <c r="A265">
        <v>254</v>
      </c>
      <c r="B265" t="s">
        <v>974</v>
      </c>
      <c r="C265" t="s">
        <v>154</v>
      </c>
      <c r="D265" t="s">
        <v>975</v>
      </c>
      <c r="E265" t="s">
        <v>460</v>
      </c>
      <c r="F265" t="s">
        <v>408</v>
      </c>
      <c r="G265">
        <v>958</v>
      </c>
      <c r="H265">
        <v>959</v>
      </c>
      <c r="I265" t="s">
        <v>1139</v>
      </c>
      <c r="J265">
        <v>800</v>
      </c>
      <c r="K265">
        <v>801</v>
      </c>
      <c r="L265" t="s">
        <v>502</v>
      </c>
      <c r="M265">
        <v>3</v>
      </c>
      <c r="N265" t="s">
        <v>167</v>
      </c>
      <c r="O265" t="s">
        <v>167</v>
      </c>
      <c r="P265" t="s">
        <v>420</v>
      </c>
      <c r="Q265" t="s">
        <v>408</v>
      </c>
      <c r="R265" t="s">
        <v>976</v>
      </c>
      <c r="S265">
        <v>2001</v>
      </c>
      <c r="T265">
        <v>6</v>
      </c>
      <c r="U265" t="s">
        <v>408</v>
      </c>
      <c r="V265" t="s">
        <v>494</v>
      </c>
      <c r="W265">
        <v>2018</v>
      </c>
      <c r="X265">
        <v>9</v>
      </c>
      <c r="Y265" t="s">
        <v>408</v>
      </c>
      <c r="Z265">
        <v>2018</v>
      </c>
      <c r="AA265">
        <v>2009</v>
      </c>
      <c r="AB265" s="5">
        <v>0.25050322097</v>
      </c>
      <c r="AC265" s="5">
        <v>0.50100644193999999</v>
      </c>
      <c r="AD265" t="s">
        <v>408</v>
      </c>
      <c r="AE265" t="s">
        <v>152</v>
      </c>
      <c r="AF265" t="s">
        <v>408</v>
      </c>
      <c r="AG265" t="s">
        <v>408</v>
      </c>
      <c r="AH265" t="s">
        <v>408</v>
      </c>
      <c r="AI265" t="s">
        <v>408</v>
      </c>
      <c r="AJ265" t="s">
        <v>408</v>
      </c>
      <c r="AK265" t="s">
        <v>408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s="58">
        <f t="shared" si="3"/>
        <v>1</v>
      </c>
      <c r="AU265" s="79">
        <v>43347</v>
      </c>
      <c r="AV265" t="s">
        <v>410</v>
      </c>
      <c r="AW265" t="s">
        <v>408</v>
      </c>
      <c r="AX265">
        <v>2</v>
      </c>
      <c r="AY265" t="s">
        <v>412</v>
      </c>
      <c r="AZ265" t="s">
        <v>408</v>
      </c>
    </row>
    <row r="266" spans="1:52" x14ac:dyDescent="0.3">
      <c r="A266">
        <v>255</v>
      </c>
      <c r="B266" t="s">
        <v>693</v>
      </c>
      <c r="C266" t="s">
        <v>152</v>
      </c>
      <c r="D266" t="s">
        <v>694</v>
      </c>
      <c r="E266" t="s">
        <v>460</v>
      </c>
      <c r="F266" t="s">
        <v>408</v>
      </c>
      <c r="G266">
        <v>2400</v>
      </c>
      <c r="H266">
        <v>2401</v>
      </c>
      <c r="I266" t="s">
        <v>625</v>
      </c>
      <c r="J266">
        <v>2550</v>
      </c>
      <c r="K266">
        <v>2551</v>
      </c>
      <c r="L266" t="s">
        <v>970</v>
      </c>
      <c r="M266">
        <v>3</v>
      </c>
      <c r="N266" t="s">
        <v>163</v>
      </c>
      <c r="O266" t="s">
        <v>163</v>
      </c>
      <c r="P266" t="s">
        <v>403</v>
      </c>
      <c r="Q266" t="s">
        <v>408</v>
      </c>
      <c r="R266" t="s">
        <v>971</v>
      </c>
      <c r="S266">
        <v>2021</v>
      </c>
      <c r="T266">
        <v>5</v>
      </c>
      <c r="U266" t="s">
        <v>1140</v>
      </c>
      <c r="V266" t="s">
        <v>408</v>
      </c>
      <c r="W266">
        <v>0</v>
      </c>
      <c r="X266">
        <v>0</v>
      </c>
      <c r="Y266" t="s">
        <v>408</v>
      </c>
      <c r="Z266">
        <v>2021</v>
      </c>
      <c r="AA266">
        <v>0</v>
      </c>
      <c r="AB266" s="5">
        <v>0.158867260402</v>
      </c>
      <c r="AC266" s="5">
        <v>0.317734520804</v>
      </c>
      <c r="AD266" t="s">
        <v>400</v>
      </c>
      <c r="AE266" t="s">
        <v>152</v>
      </c>
      <c r="AF266" t="s">
        <v>400</v>
      </c>
      <c r="AG266" t="s">
        <v>152</v>
      </c>
      <c r="AH266" t="s">
        <v>411</v>
      </c>
      <c r="AI266" t="s">
        <v>470</v>
      </c>
      <c r="AJ266" t="s">
        <v>411</v>
      </c>
      <c r="AK266" t="s">
        <v>411</v>
      </c>
      <c r="AL266">
        <v>2015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 s="58">
        <f t="shared" si="3"/>
        <v>1</v>
      </c>
      <c r="AU266" s="79" t="s">
        <v>602</v>
      </c>
      <c r="AV266" s="78" t="s">
        <v>410</v>
      </c>
      <c r="AW266" t="s">
        <v>411</v>
      </c>
      <c r="AX266">
        <v>2</v>
      </c>
      <c r="AY266" t="s">
        <v>412</v>
      </c>
      <c r="AZ266" t="s">
        <v>408</v>
      </c>
    </row>
    <row r="267" spans="1:52" x14ac:dyDescent="0.3">
      <c r="A267">
        <v>256</v>
      </c>
      <c r="B267" t="s">
        <v>477</v>
      </c>
      <c r="C267" t="s">
        <v>152</v>
      </c>
      <c r="D267" t="s">
        <v>478</v>
      </c>
      <c r="E267" t="s">
        <v>417</v>
      </c>
      <c r="F267" t="s">
        <v>408</v>
      </c>
      <c r="G267">
        <v>1601</v>
      </c>
      <c r="H267">
        <v>1600</v>
      </c>
      <c r="I267" t="s">
        <v>541</v>
      </c>
      <c r="J267">
        <v>2001</v>
      </c>
      <c r="K267">
        <v>2000</v>
      </c>
      <c r="L267" t="s">
        <v>479</v>
      </c>
      <c r="M267">
        <v>2</v>
      </c>
      <c r="N267" t="s">
        <v>167</v>
      </c>
      <c r="O267" t="s">
        <v>167</v>
      </c>
      <c r="P267" t="s">
        <v>420</v>
      </c>
      <c r="Q267" t="s">
        <v>408</v>
      </c>
      <c r="R267" t="s">
        <v>481</v>
      </c>
      <c r="S267">
        <v>2000</v>
      </c>
      <c r="T267">
        <v>7</v>
      </c>
      <c r="U267" t="s">
        <v>408</v>
      </c>
      <c r="V267" t="s">
        <v>482</v>
      </c>
      <c r="W267">
        <v>2018</v>
      </c>
      <c r="X267">
        <v>9</v>
      </c>
      <c r="Y267" t="s">
        <v>370</v>
      </c>
      <c r="Z267">
        <v>2018</v>
      </c>
      <c r="AA267">
        <v>2018</v>
      </c>
      <c r="AB267" s="5">
        <v>0.50125286347200004</v>
      </c>
      <c r="AC267" s="5">
        <v>1.00250572694</v>
      </c>
      <c r="AD267" t="s">
        <v>408</v>
      </c>
      <c r="AE267" t="s">
        <v>152</v>
      </c>
      <c r="AF267" t="s">
        <v>408</v>
      </c>
      <c r="AG267" t="s">
        <v>408</v>
      </c>
      <c r="AH267" t="s">
        <v>408</v>
      </c>
      <c r="AI267" t="s">
        <v>408</v>
      </c>
      <c r="AJ267" t="s">
        <v>408</v>
      </c>
      <c r="AK267" t="s">
        <v>408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s="58">
        <f t="shared" ref="AT267:AT330" si="4">SUM(AM267:AS267)</f>
        <v>1</v>
      </c>
      <c r="AU267" s="79">
        <v>43333</v>
      </c>
      <c r="AV267" t="s">
        <v>410</v>
      </c>
      <c r="AW267" t="s">
        <v>408</v>
      </c>
      <c r="AX267">
        <v>2</v>
      </c>
      <c r="AY267" t="s">
        <v>412</v>
      </c>
      <c r="AZ267" t="s">
        <v>408</v>
      </c>
    </row>
    <row r="268" spans="1:52" x14ac:dyDescent="0.3">
      <c r="A268">
        <v>257</v>
      </c>
      <c r="B268" t="s">
        <v>886</v>
      </c>
      <c r="C268" t="s">
        <v>154</v>
      </c>
      <c r="D268" t="s">
        <v>887</v>
      </c>
      <c r="E268" t="s">
        <v>417</v>
      </c>
      <c r="F268" t="s">
        <v>408</v>
      </c>
      <c r="G268">
        <v>435</v>
      </c>
      <c r="H268">
        <v>428</v>
      </c>
      <c r="I268" t="s">
        <v>734</v>
      </c>
      <c r="J268">
        <v>341</v>
      </c>
      <c r="K268">
        <v>336</v>
      </c>
      <c r="L268" t="s">
        <v>1141</v>
      </c>
      <c r="M268">
        <v>3</v>
      </c>
      <c r="N268" t="s">
        <v>163</v>
      </c>
      <c r="O268" t="s">
        <v>163</v>
      </c>
      <c r="P268" t="s">
        <v>420</v>
      </c>
      <c r="Q268" t="s">
        <v>1142</v>
      </c>
      <c r="R268" t="s">
        <v>1143</v>
      </c>
      <c r="S268">
        <v>2015</v>
      </c>
      <c r="T268">
        <v>8</v>
      </c>
      <c r="U268" t="s">
        <v>408</v>
      </c>
      <c r="V268" t="s">
        <v>408</v>
      </c>
      <c r="W268">
        <v>0</v>
      </c>
      <c r="X268">
        <v>0</v>
      </c>
      <c r="Y268" t="s">
        <v>408</v>
      </c>
      <c r="Z268">
        <v>2015</v>
      </c>
      <c r="AA268">
        <v>0</v>
      </c>
      <c r="AB268" s="5">
        <v>0.113334829557</v>
      </c>
      <c r="AC268" s="5">
        <v>0.226669659114</v>
      </c>
      <c r="AD268" t="s">
        <v>408</v>
      </c>
      <c r="AE268" t="s">
        <v>152</v>
      </c>
      <c r="AF268" t="s">
        <v>408</v>
      </c>
      <c r="AG268" t="s">
        <v>408</v>
      </c>
      <c r="AH268" t="s">
        <v>152</v>
      </c>
      <c r="AI268" t="s">
        <v>438</v>
      </c>
      <c r="AJ268" t="s">
        <v>400</v>
      </c>
      <c r="AK268" t="s">
        <v>400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 s="58">
        <f t="shared" si="4"/>
        <v>1</v>
      </c>
      <c r="AU268" s="79" t="s">
        <v>471</v>
      </c>
      <c r="AV268" s="78" t="s">
        <v>410</v>
      </c>
      <c r="AW268" t="s">
        <v>411</v>
      </c>
      <c r="AX268">
        <v>1</v>
      </c>
      <c r="AY268" t="s">
        <v>412</v>
      </c>
      <c r="AZ268" t="s">
        <v>408</v>
      </c>
    </row>
    <row r="269" spans="1:52" x14ac:dyDescent="0.3">
      <c r="A269">
        <v>258</v>
      </c>
      <c r="B269" t="s">
        <v>477</v>
      </c>
      <c r="C269" t="s">
        <v>155</v>
      </c>
      <c r="D269" t="s">
        <v>478</v>
      </c>
      <c r="E269" t="s">
        <v>417</v>
      </c>
      <c r="F269" t="s">
        <v>408</v>
      </c>
      <c r="G269">
        <v>5900</v>
      </c>
      <c r="H269">
        <v>5901</v>
      </c>
      <c r="I269" t="s">
        <v>1036</v>
      </c>
      <c r="J269">
        <v>4100</v>
      </c>
      <c r="K269">
        <v>4101</v>
      </c>
      <c r="L269" t="s">
        <v>1144</v>
      </c>
      <c r="M269">
        <v>2</v>
      </c>
      <c r="N269" t="s">
        <v>165</v>
      </c>
      <c r="O269" t="s">
        <v>165</v>
      </c>
      <c r="P269" t="s">
        <v>420</v>
      </c>
      <c r="Q269" t="s">
        <v>1145</v>
      </c>
      <c r="R269" t="s">
        <v>556</v>
      </c>
      <c r="S269">
        <v>2013</v>
      </c>
      <c r="T269">
        <v>9</v>
      </c>
      <c r="U269" t="s">
        <v>408</v>
      </c>
      <c r="V269" t="s">
        <v>408</v>
      </c>
      <c r="W269">
        <v>0</v>
      </c>
      <c r="X269">
        <v>0</v>
      </c>
      <c r="Y269" t="s">
        <v>408</v>
      </c>
      <c r="Z269">
        <v>2013</v>
      </c>
      <c r="AA269">
        <v>2013</v>
      </c>
      <c r="AB269" s="5">
        <v>1.79366880401</v>
      </c>
      <c r="AC269" s="5">
        <v>3.5873376080199999</v>
      </c>
      <c r="AD269" t="s">
        <v>408</v>
      </c>
      <c r="AE269" t="s">
        <v>152</v>
      </c>
      <c r="AF269" t="s">
        <v>408</v>
      </c>
      <c r="AG269" t="s">
        <v>408</v>
      </c>
      <c r="AH269" t="s">
        <v>408</v>
      </c>
      <c r="AI269" t="s">
        <v>408</v>
      </c>
      <c r="AJ269" t="s">
        <v>408</v>
      </c>
      <c r="AK269" t="s">
        <v>408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 s="58">
        <f t="shared" si="4"/>
        <v>1</v>
      </c>
      <c r="AU269" s="79">
        <v>43333</v>
      </c>
      <c r="AV269" t="s">
        <v>410</v>
      </c>
      <c r="AW269" t="s">
        <v>152</v>
      </c>
      <c r="AX269">
        <v>2</v>
      </c>
      <c r="AY269" t="s">
        <v>412</v>
      </c>
      <c r="AZ269" t="s">
        <v>408</v>
      </c>
    </row>
    <row r="270" spans="1:52" x14ac:dyDescent="0.3">
      <c r="A270">
        <v>259</v>
      </c>
      <c r="B270" t="s">
        <v>1146</v>
      </c>
      <c r="C270" t="s">
        <v>155</v>
      </c>
      <c r="D270" t="s">
        <v>1147</v>
      </c>
      <c r="E270" t="s">
        <v>417</v>
      </c>
      <c r="F270" t="s">
        <v>408</v>
      </c>
      <c r="G270">
        <v>1001</v>
      </c>
      <c r="H270">
        <v>1000</v>
      </c>
      <c r="I270" t="s">
        <v>958</v>
      </c>
      <c r="J270">
        <v>601</v>
      </c>
      <c r="K270">
        <v>600</v>
      </c>
      <c r="L270" t="s">
        <v>535</v>
      </c>
      <c r="M270">
        <v>3</v>
      </c>
      <c r="N270" t="s">
        <v>163</v>
      </c>
      <c r="O270" t="s">
        <v>163</v>
      </c>
      <c r="P270" t="s">
        <v>403</v>
      </c>
      <c r="Q270" t="s">
        <v>1148</v>
      </c>
      <c r="R270" t="s">
        <v>885</v>
      </c>
      <c r="S270">
        <v>2013</v>
      </c>
      <c r="T270">
        <v>10</v>
      </c>
      <c r="U270" t="s">
        <v>408</v>
      </c>
      <c r="V270" t="s">
        <v>511</v>
      </c>
      <c r="W270">
        <v>2018</v>
      </c>
      <c r="X270">
        <v>7</v>
      </c>
      <c r="Y270" t="s">
        <v>408</v>
      </c>
      <c r="Z270">
        <v>2018</v>
      </c>
      <c r="AA270">
        <v>2013</v>
      </c>
      <c r="AB270" s="5">
        <v>0.321585012078</v>
      </c>
      <c r="AC270" s="5">
        <v>0.643170024156</v>
      </c>
      <c r="AD270" t="s">
        <v>408</v>
      </c>
      <c r="AE270" t="s">
        <v>152</v>
      </c>
      <c r="AF270" t="s">
        <v>408</v>
      </c>
      <c r="AG270" t="s">
        <v>408</v>
      </c>
      <c r="AH270" t="s">
        <v>152</v>
      </c>
      <c r="AI270" t="s">
        <v>470</v>
      </c>
      <c r="AJ270" t="s">
        <v>400</v>
      </c>
      <c r="AK270" t="s">
        <v>408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 s="58">
        <f t="shared" si="4"/>
        <v>1</v>
      </c>
      <c r="AU270" s="79" t="s">
        <v>457</v>
      </c>
      <c r="AV270" t="s">
        <v>410</v>
      </c>
      <c r="AW270" t="s">
        <v>411</v>
      </c>
      <c r="AX270">
        <v>1</v>
      </c>
      <c r="AY270" t="s">
        <v>412</v>
      </c>
      <c r="AZ270" t="s">
        <v>408</v>
      </c>
    </row>
    <row r="271" spans="1:52" x14ac:dyDescent="0.3">
      <c r="A271">
        <v>260</v>
      </c>
      <c r="B271" t="s">
        <v>956</v>
      </c>
      <c r="C271" t="s">
        <v>155</v>
      </c>
      <c r="D271" t="s">
        <v>957</v>
      </c>
      <c r="E271" t="s">
        <v>417</v>
      </c>
      <c r="F271" t="s">
        <v>155</v>
      </c>
      <c r="G271">
        <v>239</v>
      </c>
      <c r="H271">
        <v>238</v>
      </c>
      <c r="I271" t="s">
        <v>1149</v>
      </c>
      <c r="J271">
        <v>1</v>
      </c>
      <c r="K271">
        <v>2</v>
      </c>
      <c r="L271" t="s">
        <v>536</v>
      </c>
      <c r="M271">
        <v>4</v>
      </c>
      <c r="N271" t="s">
        <v>163</v>
      </c>
      <c r="O271" t="s">
        <v>163</v>
      </c>
      <c r="P271" t="s">
        <v>403</v>
      </c>
      <c r="Q271" t="s">
        <v>1150</v>
      </c>
      <c r="R271" t="s">
        <v>505</v>
      </c>
      <c r="S271">
        <v>2015</v>
      </c>
      <c r="T271">
        <v>10</v>
      </c>
      <c r="U271" t="s">
        <v>1151</v>
      </c>
      <c r="V271" t="s">
        <v>408</v>
      </c>
      <c r="W271">
        <v>0</v>
      </c>
      <c r="X271">
        <v>0</v>
      </c>
      <c r="Y271" t="s">
        <v>408</v>
      </c>
      <c r="Z271">
        <v>2015</v>
      </c>
      <c r="AA271">
        <v>2015</v>
      </c>
      <c r="AB271" s="5">
        <v>0.17732166771800001</v>
      </c>
      <c r="AC271" s="5">
        <v>0.35464333543600002</v>
      </c>
      <c r="AD271" t="s">
        <v>505</v>
      </c>
      <c r="AE271" t="s">
        <v>152</v>
      </c>
      <c r="AF271" t="s">
        <v>400</v>
      </c>
      <c r="AG271" t="s">
        <v>400</v>
      </c>
      <c r="AH271" t="s">
        <v>411</v>
      </c>
      <c r="AI271" t="s">
        <v>470</v>
      </c>
      <c r="AJ271" t="s">
        <v>400</v>
      </c>
      <c r="AK271" t="s">
        <v>408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 s="58">
        <f t="shared" si="4"/>
        <v>1</v>
      </c>
      <c r="AU271" s="79" t="s">
        <v>457</v>
      </c>
      <c r="AV271" s="78" t="s">
        <v>410</v>
      </c>
      <c r="AW271" t="s">
        <v>411</v>
      </c>
      <c r="AX271">
        <v>1</v>
      </c>
      <c r="AY271" t="s">
        <v>412</v>
      </c>
      <c r="AZ271" t="s">
        <v>408</v>
      </c>
    </row>
    <row r="272" spans="1:52" x14ac:dyDescent="0.3">
      <c r="A272">
        <v>261</v>
      </c>
      <c r="B272" t="s">
        <v>811</v>
      </c>
      <c r="C272" t="s">
        <v>154</v>
      </c>
      <c r="D272" t="s">
        <v>812</v>
      </c>
      <c r="E272" t="s">
        <v>399</v>
      </c>
      <c r="F272" t="s">
        <v>408</v>
      </c>
      <c r="G272">
        <v>2631</v>
      </c>
      <c r="H272">
        <v>2630</v>
      </c>
      <c r="I272" t="s">
        <v>1152</v>
      </c>
      <c r="J272">
        <v>2501</v>
      </c>
      <c r="K272">
        <v>2500</v>
      </c>
      <c r="L272" t="s">
        <v>1153</v>
      </c>
      <c r="M272">
        <v>2</v>
      </c>
      <c r="N272" t="s">
        <v>167</v>
      </c>
      <c r="O272" t="s">
        <v>167</v>
      </c>
      <c r="P272" t="s">
        <v>420</v>
      </c>
      <c r="Q272" t="s">
        <v>408</v>
      </c>
      <c r="R272" t="s">
        <v>697</v>
      </c>
      <c r="S272">
        <v>1996</v>
      </c>
      <c r="T272">
        <v>8</v>
      </c>
      <c r="U272" t="s">
        <v>1154</v>
      </c>
      <c r="V272" t="s">
        <v>469</v>
      </c>
      <c r="W272">
        <v>2018</v>
      </c>
      <c r="X272">
        <v>5</v>
      </c>
      <c r="Y272" t="s">
        <v>408</v>
      </c>
      <c r="Z272">
        <v>2018</v>
      </c>
      <c r="AA272">
        <v>2016</v>
      </c>
      <c r="AB272" s="5">
        <v>0.19157966061199999</v>
      </c>
      <c r="AC272" s="5">
        <v>0.38315932122399998</v>
      </c>
      <c r="AD272" t="s">
        <v>408</v>
      </c>
      <c r="AE272" t="s">
        <v>152</v>
      </c>
      <c r="AF272" t="s">
        <v>408</v>
      </c>
      <c r="AG272" t="s">
        <v>408</v>
      </c>
      <c r="AH272" t="s">
        <v>408</v>
      </c>
      <c r="AI272" t="s">
        <v>408</v>
      </c>
      <c r="AJ272" t="s">
        <v>408</v>
      </c>
      <c r="AK272" t="s">
        <v>411</v>
      </c>
      <c r="AL272">
        <v>2018</v>
      </c>
      <c r="AM272">
        <v>0</v>
      </c>
      <c r="AN272">
        <v>0</v>
      </c>
      <c r="AO272">
        <v>0.4</v>
      </c>
      <c r="AP272">
        <v>0</v>
      </c>
      <c r="AQ272">
        <v>0</v>
      </c>
      <c r="AR272">
        <v>0</v>
      </c>
      <c r="AS272">
        <v>0.6</v>
      </c>
      <c r="AT272" s="58">
        <f t="shared" si="4"/>
        <v>1</v>
      </c>
      <c r="AU272" s="79">
        <v>43342</v>
      </c>
      <c r="AV272" s="78" t="s">
        <v>410</v>
      </c>
      <c r="AW272" t="s">
        <v>408</v>
      </c>
      <c r="AX272">
        <v>2</v>
      </c>
      <c r="AY272" t="s">
        <v>412</v>
      </c>
      <c r="AZ272" t="s">
        <v>408</v>
      </c>
    </row>
    <row r="273" spans="1:52" x14ac:dyDescent="0.3">
      <c r="A273">
        <v>262</v>
      </c>
      <c r="B273" t="s">
        <v>477</v>
      </c>
      <c r="C273" t="s">
        <v>152</v>
      </c>
      <c r="D273" t="s">
        <v>478</v>
      </c>
      <c r="E273" t="s">
        <v>417</v>
      </c>
      <c r="F273" t="s">
        <v>408</v>
      </c>
      <c r="G273">
        <v>3000</v>
      </c>
      <c r="H273">
        <v>3001</v>
      </c>
      <c r="I273" t="s">
        <v>484</v>
      </c>
      <c r="J273">
        <v>3114</v>
      </c>
      <c r="K273">
        <v>3115</v>
      </c>
      <c r="L273" t="s">
        <v>1155</v>
      </c>
      <c r="M273">
        <v>2</v>
      </c>
      <c r="N273" t="s">
        <v>167</v>
      </c>
      <c r="O273" t="s">
        <v>170</v>
      </c>
      <c r="P273" t="s">
        <v>414</v>
      </c>
      <c r="Q273" t="s">
        <v>408</v>
      </c>
      <c r="R273" t="s">
        <v>810</v>
      </c>
      <c r="S273">
        <v>2004</v>
      </c>
      <c r="T273">
        <v>7</v>
      </c>
      <c r="U273" t="s">
        <v>408</v>
      </c>
      <c r="V273" t="s">
        <v>487</v>
      </c>
      <c r="W273">
        <v>2020</v>
      </c>
      <c r="X273">
        <v>0</v>
      </c>
      <c r="Y273" t="s">
        <v>408</v>
      </c>
      <c r="Z273">
        <v>2020</v>
      </c>
      <c r="AA273">
        <v>2012</v>
      </c>
      <c r="AB273" s="5">
        <v>0.12326908701100001</v>
      </c>
      <c r="AC273" s="5">
        <v>0.24653817402100001</v>
      </c>
      <c r="AD273" t="s">
        <v>408</v>
      </c>
      <c r="AE273" t="s">
        <v>152</v>
      </c>
      <c r="AF273" t="s">
        <v>408</v>
      </c>
      <c r="AG273" t="s">
        <v>408</v>
      </c>
      <c r="AH273" t="s">
        <v>408</v>
      </c>
      <c r="AI273" t="s">
        <v>408</v>
      </c>
      <c r="AJ273" t="s">
        <v>408</v>
      </c>
      <c r="AK273" t="s">
        <v>408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s="58">
        <f t="shared" si="4"/>
        <v>1</v>
      </c>
      <c r="AU273" s="79" t="s">
        <v>1077</v>
      </c>
      <c r="AV273" s="78" t="s">
        <v>410</v>
      </c>
      <c r="AW273" t="s">
        <v>408</v>
      </c>
      <c r="AX273">
        <v>2</v>
      </c>
      <c r="AY273" t="s">
        <v>412</v>
      </c>
      <c r="AZ273" t="s">
        <v>408</v>
      </c>
    </row>
    <row r="274" spans="1:52" x14ac:dyDescent="0.3">
      <c r="A274">
        <v>263</v>
      </c>
      <c r="B274" t="s">
        <v>898</v>
      </c>
      <c r="C274" t="s">
        <v>154</v>
      </c>
      <c r="D274" t="s">
        <v>899</v>
      </c>
      <c r="E274" t="s">
        <v>417</v>
      </c>
      <c r="F274" t="s">
        <v>408</v>
      </c>
      <c r="G274">
        <v>131</v>
      </c>
      <c r="H274">
        <v>130</v>
      </c>
      <c r="I274" t="s">
        <v>1156</v>
      </c>
      <c r="J274">
        <v>1</v>
      </c>
      <c r="K274">
        <v>2</v>
      </c>
      <c r="L274" t="s">
        <v>877</v>
      </c>
      <c r="M274">
        <v>2</v>
      </c>
      <c r="N274" t="s">
        <v>163</v>
      </c>
      <c r="O274" t="s">
        <v>163</v>
      </c>
      <c r="P274" t="s">
        <v>403</v>
      </c>
      <c r="Q274" t="s">
        <v>901</v>
      </c>
      <c r="R274" t="s">
        <v>662</v>
      </c>
      <c r="S274">
        <v>2015</v>
      </c>
      <c r="T274">
        <v>10</v>
      </c>
      <c r="U274" t="s">
        <v>370</v>
      </c>
      <c r="V274" t="s">
        <v>408</v>
      </c>
      <c r="W274">
        <v>0</v>
      </c>
      <c r="X274">
        <v>0</v>
      </c>
      <c r="Y274" t="s">
        <v>408</v>
      </c>
      <c r="Z274">
        <v>2015</v>
      </c>
      <c r="AA274">
        <v>2015</v>
      </c>
      <c r="AB274" s="5">
        <v>0.17773140328699999</v>
      </c>
      <c r="AC274" s="5">
        <v>0.35546280657399998</v>
      </c>
      <c r="AD274" t="s">
        <v>400</v>
      </c>
      <c r="AE274" t="s">
        <v>152</v>
      </c>
      <c r="AF274" t="s">
        <v>400</v>
      </c>
      <c r="AG274" t="s">
        <v>400</v>
      </c>
      <c r="AH274" t="s">
        <v>152</v>
      </c>
      <c r="AI274" t="s">
        <v>438</v>
      </c>
      <c r="AJ274" t="s">
        <v>400</v>
      </c>
      <c r="AK274" t="s">
        <v>408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 s="58">
        <f t="shared" si="4"/>
        <v>1</v>
      </c>
      <c r="AU274" s="79" t="s">
        <v>471</v>
      </c>
      <c r="AV274" s="78" t="s">
        <v>410</v>
      </c>
      <c r="AW274" t="s">
        <v>411</v>
      </c>
      <c r="AX274">
        <v>1</v>
      </c>
      <c r="AY274" t="s">
        <v>412</v>
      </c>
      <c r="AZ274" t="s">
        <v>408</v>
      </c>
    </row>
    <row r="275" spans="1:52" x14ac:dyDescent="0.3">
      <c r="A275">
        <v>264</v>
      </c>
      <c r="B275" t="s">
        <v>745</v>
      </c>
      <c r="C275" t="s">
        <v>152</v>
      </c>
      <c r="D275" t="s">
        <v>746</v>
      </c>
      <c r="E275" t="s">
        <v>460</v>
      </c>
      <c r="F275" t="s">
        <v>408</v>
      </c>
      <c r="G275">
        <v>200</v>
      </c>
      <c r="H275">
        <v>201</v>
      </c>
      <c r="I275" t="s">
        <v>628</v>
      </c>
      <c r="J275">
        <v>234</v>
      </c>
      <c r="K275">
        <v>235</v>
      </c>
      <c r="L275" t="s">
        <v>972</v>
      </c>
      <c r="M275">
        <v>3</v>
      </c>
      <c r="N275" t="s">
        <v>167</v>
      </c>
      <c r="O275" t="s">
        <v>167</v>
      </c>
      <c r="P275" t="s">
        <v>420</v>
      </c>
      <c r="Q275" t="s">
        <v>1157</v>
      </c>
      <c r="R275" t="s">
        <v>1158</v>
      </c>
      <c r="S275">
        <v>2012</v>
      </c>
      <c r="T275">
        <v>3</v>
      </c>
      <c r="U275" t="s">
        <v>370</v>
      </c>
      <c r="V275" t="s">
        <v>408</v>
      </c>
      <c r="W275">
        <v>0</v>
      </c>
      <c r="X275">
        <v>0</v>
      </c>
      <c r="Y275" t="s">
        <v>408</v>
      </c>
      <c r="Z275">
        <v>2012</v>
      </c>
      <c r="AA275">
        <v>2012</v>
      </c>
      <c r="AB275" s="5">
        <v>8.7835007792299996E-2</v>
      </c>
      <c r="AC275" s="5">
        <v>0.17567001558500001</v>
      </c>
      <c r="AD275" t="s">
        <v>408</v>
      </c>
      <c r="AE275" t="s">
        <v>152</v>
      </c>
      <c r="AF275" t="s">
        <v>408</v>
      </c>
      <c r="AG275" t="s">
        <v>408</v>
      </c>
      <c r="AH275" t="s">
        <v>408</v>
      </c>
      <c r="AI275" t="s">
        <v>408</v>
      </c>
      <c r="AJ275" t="s">
        <v>408</v>
      </c>
      <c r="AK275" t="s">
        <v>408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 s="58">
        <f t="shared" si="4"/>
        <v>1</v>
      </c>
      <c r="AU275" s="79">
        <v>43341</v>
      </c>
      <c r="AV275" s="78" t="s">
        <v>410</v>
      </c>
      <c r="AW275" t="s">
        <v>408</v>
      </c>
      <c r="AX275">
        <v>2</v>
      </c>
      <c r="AY275" t="s">
        <v>412</v>
      </c>
      <c r="AZ275" t="s">
        <v>408</v>
      </c>
    </row>
    <row r="276" spans="1:52" x14ac:dyDescent="0.3">
      <c r="A276">
        <v>265</v>
      </c>
      <c r="B276" t="s">
        <v>1159</v>
      </c>
      <c r="C276" t="s">
        <v>155</v>
      </c>
      <c r="D276" t="s">
        <v>1160</v>
      </c>
      <c r="E276" t="s">
        <v>417</v>
      </c>
      <c r="F276" t="s">
        <v>400</v>
      </c>
      <c r="G276">
        <v>2631</v>
      </c>
      <c r="H276">
        <v>2630</v>
      </c>
      <c r="I276" t="s">
        <v>1161</v>
      </c>
      <c r="J276">
        <v>2201</v>
      </c>
      <c r="K276">
        <v>2200</v>
      </c>
      <c r="L276" t="s">
        <v>492</v>
      </c>
      <c r="M276">
        <v>4</v>
      </c>
      <c r="N276" t="s">
        <v>163</v>
      </c>
      <c r="O276" t="s">
        <v>163</v>
      </c>
      <c r="P276" t="s">
        <v>403</v>
      </c>
      <c r="Q276" t="s">
        <v>404</v>
      </c>
      <c r="R276" t="s">
        <v>601</v>
      </c>
      <c r="S276">
        <v>2017</v>
      </c>
      <c r="T276">
        <v>9</v>
      </c>
      <c r="U276" t="s">
        <v>408</v>
      </c>
      <c r="V276" t="s">
        <v>408</v>
      </c>
      <c r="W276">
        <v>0</v>
      </c>
      <c r="X276">
        <v>0</v>
      </c>
      <c r="Y276" t="s">
        <v>408</v>
      </c>
      <c r="Z276">
        <v>2017</v>
      </c>
      <c r="AA276">
        <v>0</v>
      </c>
      <c r="AB276" s="5">
        <v>0.54415874789200003</v>
      </c>
      <c r="AC276" s="5">
        <v>1.0883174957799999</v>
      </c>
      <c r="AD276" t="s">
        <v>408</v>
      </c>
      <c r="AE276" t="s">
        <v>152</v>
      </c>
      <c r="AF276" t="s">
        <v>408</v>
      </c>
      <c r="AG276" t="s">
        <v>408</v>
      </c>
      <c r="AH276" t="s">
        <v>408</v>
      </c>
      <c r="AI276" t="s">
        <v>470</v>
      </c>
      <c r="AJ276" t="s">
        <v>408</v>
      </c>
      <c r="AK276" t="s">
        <v>408</v>
      </c>
      <c r="AL276">
        <v>0</v>
      </c>
      <c r="AM276">
        <v>0</v>
      </c>
      <c r="AN276">
        <v>0</v>
      </c>
      <c r="AO276">
        <v>0.8</v>
      </c>
      <c r="AP276">
        <v>0</v>
      </c>
      <c r="AQ276">
        <v>0.2</v>
      </c>
      <c r="AR276">
        <v>0</v>
      </c>
      <c r="AS276">
        <v>0</v>
      </c>
      <c r="AT276" s="58">
        <f t="shared" si="4"/>
        <v>1</v>
      </c>
      <c r="AU276" s="79" t="s">
        <v>602</v>
      </c>
      <c r="AV276" s="78" t="s">
        <v>410</v>
      </c>
      <c r="AW276" t="s">
        <v>411</v>
      </c>
      <c r="AX276">
        <v>1</v>
      </c>
      <c r="AY276" t="s">
        <v>412</v>
      </c>
      <c r="AZ276" t="s">
        <v>408</v>
      </c>
    </row>
    <row r="277" spans="1:52" x14ac:dyDescent="0.3">
      <c r="A277">
        <v>266</v>
      </c>
      <c r="B277" t="s">
        <v>806</v>
      </c>
      <c r="C277" t="s">
        <v>155</v>
      </c>
      <c r="D277" t="s">
        <v>807</v>
      </c>
      <c r="E277" t="s">
        <v>460</v>
      </c>
      <c r="F277" t="s">
        <v>408</v>
      </c>
      <c r="G277">
        <v>2765</v>
      </c>
      <c r="H277">
        <v>2764</v>
      </c>
      <c r="I277" t="s">
        <v>1162</v>
      </c>
      <c r="J277">
        <v>2503</v>
      </c>
      <c r="K277">
        <v>2500</v>
      </c>
      <c r="L277" t="s">
        <v>814</v>
      </c>
      <c r="M277">
        <v>3</v>
      </c>
      <c r="N277" t="s">
        <v>167</v>
      </c>
      <c r="O277" t="s">
        <v>167</v>
      </c>
      <c r="P277" t="s">
        <v>420</v>
      </c>
      <c r="Q277" t="s">
        <v>408</v>
      </c>
      <c r="R277" t="s">
        <v>497</v>
      </c>
      <c r="S277">
        <v>2004</v>
      </c>
      <c r="T277">
        <v>9</v>
      </c>
      <c r="U277" t="s">
        <v>408</v>
      </c>
      <c r="V277" t="s">
        <v>695</v>
      </c>
      <c r="W277">
        <v>2020</v>
      </c>
      <c r="X277">
        <v>2020</v>
      </c>
      <c r="Y277" t="s">
        <v>370</v>
      </c>
      <c r="Z277">
        <v>2020</v>
      </c>
      <c r="AA277">
        <v>2020</v>
      </c>
      <c r="AB277" s="5">
        <v>0.469921047072</v>
      </c>
      <c r="AC277" s="5">
        <v>0.939842094144</v>
      </c>
      <c r="AD277" t="s">
        <v>408</v>
      </c>
      <c r="AE277" t="s">
        <v>152</v>
      </c>
      <c r="AF277" t="s">
        <v>408</v>
      </c>
      <c r="AG277" t="s">
        <v>408</v>
      </c>
      <c r="AH277" t="s">
        <v>408</v>
      </c>
      <c r="AI277" t="s">
        <v>408</v>
      </c>
      <c r="AJ277" t="s">
        <v>408</v>
      </c>
      <c r="AK277" t="s">
        <v>408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 s="58">
        <f t="shared" si="4"/>
        <v>1</v>
      </c>
      <c r="AU277" s="79" t="s">
        <v>431</v>
      </c>
      <c r="AV277" s="78" t="s">
        <v>410</v>
      </c>
      <c r="AW277" t="s">
        <v>408</v>
      </c>
      <c r="AX277">
        <v>2</v>
      </c>
      <c r="AY277" t="s">
        <v>412</v>
      </c>
      <c r="AZ277" t="s">
        <v>408</v>
      </c>
    </row>
    <row r="278" spans="1:52" x14ac:dyDescent="0.3">
      <c r="A278">
        <v>267</v>
      </c>
      <c r="B278" t="s">
        <v>1037</v>
      </c>
      <c r="C278" t="s">
        <v>155</v>
      </c>
      <c r="D278" t="s">
        <v>1038</v>
      </c>
      <c r="E278" t="s">
        <v>417</v>
      </c>
      <c r="F278" t="s">
        <v>152</v>
      </c>
      <c r="G278">
        <v>551</v>
      </c>
      <c r="H278">
        <v>550</v>
      </c>
      <c r="I278" t="s">
        <v>535</v>
      </c>
      <c r="J278">
        <v>1</v>
      </c>
      <c r="K278">
        <v>2</v>
      </c>
      <c r="L278" t="s">
        <v>536</v>
      </c>
      <c r="M278">
        <v>4</v>
      </c>
      <c r="N278" t="s">
        <v>163</v>
      </c>
      <c r="O278" t="s">
        <v>163</v>
      </c>
      <c r="P278" t="s">
        <v>403</v>
      </c>
      <c r="Q278" t="s">
        <v>408</v>
      </c>
      <c r="R278" t="s">
        <v>648</v>
      </c>
      <c r="S278">
        <v>2018</v>
      </c>
      <c r="T278">
        <v>10</v>
      </c>
      <c r="U278" t="s">
        <v>1163</v>
      </c>
      <c r="V278" t="s">
        <v>695</v>
      </c>
      <c r="W278">
        <v>2020</v>
      </c>
      <c r="X278">
        <v>2020</v>
      </c>
      <c r="Y278" t="s">
        <v>370</v>
      </c>
      <c r="Z278">
        <v>2020</v>
      </c>
      <c r="AA278">
        <v>2020</v>
      </c>
      <c r="AB278" s="5">
        <v>0.51490258412400003</v>
      </c>
      <c r="AC278" s="5">
        <v>1.02980516825</v>
      </c>
      <c r="AD278" t="s">
        <v>400</v>
      </c>
      <c r="AE278" t="s">
        <v>152</v>
      </c>
      <c r="AF278" t="s">
        <v>400</v>
      </c>
      <c r="AG278" t="s">
        <v>400</v>
      </c>
      <c r="AH278" t="s">
        <v>411</v>
      </c>
      <c r="AI278" t="s">
        <v>438</v>
      </c>
      <c r="AJ278" t="s">
        <v>400</v>
      </c>
      <c r="AK278" t="s">
        <v>408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 s="58">
        <f t="shared" si="4"/>
        <v>1</v>
      </c>
      <c r="AU278" s="79" t="s">
        <v>457</v>
      </c>
      <c r="AV278" s="78" t="s">
        <v>410</v>
      </c>
      <c r="AW278" t="s">
        <v>411</v>
      </c>
      <c r="AX278">
        <v>1</v>
      </c>
      <c r="AY278" t="s">
        <v>412</v>
      </c>
      <c r="AZ278" t="s">
        <v>408</v>
      </c>
    </row>
    <row r="279" spans="1:52" x14ac:dyDescent="0.3">
      <c r="A279">
        <v>268</v>
      </c>
      <c r="B279" t="s">
        <v>1037</v>
      </c>
      <c r="C279" t="s">
        <v>152</v>
      </c>
      <c r="D279" t="s">
        <v>1038</v>
      </c>
      <c r="E279" t="s">
        <v>417</v>
      </c>
      <c r="F279" t="s">
        <v>152</v>
      </c>
      <c r="G279">
        <v>2</v>
      </c>
      <c r="H279">
        <v>1</v>
      </c>
      <c r="I279" t="s">
        <v>536</v>
      </c>
      <c r="J279">
        <v>240</v>
      </c>
      <c r="K279">
        <v>241</v>
      </c>
      <c r="L279" t="s">
        <v>753</v>
      </c>
      <c r="M279">
        <v>4</v>
      </c>
      <c r="N279" t="s">
        <v>163</v>
      </c>
      <c r="O279" t="s">
        <v>163</v>
      </c>
      <c r="P279" t="s">
        <v>403</v>
      </c>
      <c r="Q279" t="s">
        <v>408</v>
      </c>
      <c r="R279" t="s">
        <v>648</v>
      </c>
      <c r="S279">
        <v>2018</v>
      </c>
      <c r="T279">
        <v>10</v>
      </c>
      <c r="U279" t="s">
        <v>1163</v>
      </c>
      <c r="V279" t="s">
        <v>695</v>
      </c>
      <c r="W279">
        <v>2020</v>
      </c>
      <c r="X279">
        <v>0</v>
      </c>
      <c r="Y279" t="s">
        <v>1164</v>
      </c>
      <c r="Z279">
        <v>2020</v>
      </c>
      <c r="AA279">
        <v>2016</v>
      </c>
      <c r="AB279" s="5">
        <v>0.33088717712400001</v>
      </c>
      <c r="AC279" s="5">
        <v>0.66177435424800002</v>
      </c>
      <c r="AD279" t="s">
        <v>400</v>
      </c>
      <c r="AE279" t="s">
        <v>152</v>
      </c>
      <c r="AF279" t="s">
        <v>400</v>
      </c>
      <c r="AG279" t="s">
        <v>400</v>
      </c>
      <c r="AH279" t="s">
        <v>411</v>
      </c>
      <c r="AI279" t="s">
        <v>438</v>
      </c>
      <c r="AJ279" t="s">
        <v>400</v>
      </c>
      <c r="AK279" t="s">
        <v>408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 s="58">
        <f t="shared" si="4"/>
        <v>1</v>
      </c>
      <c r="AU279" s="79" t="s">
        <v>457</v>
      </c>
      <c r="AV279" s="78" t="s">
        <v>410</v>
      </c>
      <c r="AW279" t="s">
        <v>411</v>
      </c>
      <c r="AX279">
        <v>1</v>
      </c>
      <c r="AY279" t="s">
        <v>412</v>
      </c>
      <c r="AZ279" t="s">
        <v>408</v>
      </c>
    </row>
    <row r="280" spans="1:52" x14ac:dyDescent="0.3">
      <c r="A280">
        <v>269</v>
      </c>
      <c r="B280" t="s">
        <v>981</v>
      </c>
      <c r="C280" t="s">
        <v>155</v>
      </c>
      <c r="D280" t="s">
        <v>982</v>
      </c>
      <c r="E280" t="s">
        <v>460</v>
      </c>
      <c r="F280" t="s">
        <v>408</v>
      </c>
      <c r="G280">
        <v>2353</v>
      </c>
      <c r="H280">
        <v>2352</v>
      </c>
      <c r="I280" t="s">
        <v>1165</v>
      </c>
      <c r="J280">
        <v>2201</v>
      </c>
      <c r="K280">
        <v>2200</v>
      </c>
      <c r="L280" t="s">
        <v>813</v>
      </c>
      <c r="M280">
        <v>3</v>
      </c>
      <c r="N280" t="s">
        <v>167</v>
      </c>
      <c r="O280" t="s">
        <v>167</v>
      </c>
      <c r="P280" t="s">
        <v>420</v>
      </c>
      <c r="Q280" t="s">
        <v>1166</v>
      </c>
      <c r="R280" t="s">
        <v>624</v>
      </c>
      <c r="S280">
        <v>2012</v>
      </c>
      <c r="T280">
        <v>9</v>
      </c>
      <c r="U280" t="s">
        <v>370</v>
      </c>
      <c r="V280" t="s">
        <v>407</v>
      </c>
      <c r="W280">
        <v>2020</v>
      </c>
      <c r="X280">
        <v>0</v>
      </c>
      <c r="Y280" t="s">
        <v>408</v>
      </c>
      <c r="Z280">
        <v>2020</v>
      </c>
      <c r="AA280">
        <v>2012</v>
      </c>
      <c r="AB280" s="5">
        <v>0.42609394253799998</v>
      </c>
      <c r="AC280" s="5">
        <v>0.85218788507599996</v>
      </c>
      <c r="AD280" t="s">
        <v>408</v>
      </c>
      <c r="AE280" t="s">
        <v>152</v>
      </c>
      <c r="AF280" t="s">
        <v>408</v>
      </c>
      <c r="AG280" t="s">
        <v>408</v>
      </c>
      <c r="AH280" t="s">
        <v>408</v>
      </c>
      <c r="AI280" t="s">
        <v>408</v>
      </c>
      <c r="AJ280" t="s">
        <v>408</v>
      </c>
      <c r="AK280" t="s">
        <v>408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 s="58">
        <f t="shared" si="4"/>
        <v>1</v>
      </c>
      <c r="AU280" s="79" t="s">
        <v>431</v>
      </c>
      <c r="AV280" s="78" t="s">
        <v>410</v>
      </c>
      <c r="AW280" t="s">
        <v>408</v>
      </c>
      <c r="AX280">
        <v>2</v>
      </c>
      <c r="AY280" t="s">
        <v>412</v>
      </c>
      <c r="AZ280" t="s">
        <v>408</v>
      </c>
    </row>
    <row r="281" spans="1:52" x14ac:dyDescent="0.3">
      <c r="A281">
        <v>270</v>
      </c>
      <c r="B281" t="s">
        <v>736</v>
      </c>
      <c r="C281" t="s">
        <v>154</v>
      </c>
      <c r="D281" t="s">
        <v>737</v>
      </c>
      <c r="E281" t="s">
        <v>417</v>
      </c>
      <c r="F281" t="s">
        <v>400</v>
      </c>
      <c r="G281">
        <v>201</v>
      </c>
      <c r="H281">
        <v>200</v>
      </c>
      <c r="I281" t="s">
        <v>739</v>
      </c>
      <c r="J281">
        <v>37</v>
      </c>
      <c r="K281">
        <v>36</v>
      </c>
      <c r="L281" t="s">
        <v>565</v>
      </c>
      <c r="M281">
        <v>3</v>
      </c>
      <c r="N281" t="s">
        <v>167</v>
      </c>
      <c r="O281" t="s">
        <v>167</v>
      </c>
      <c r="P281" t="s">
        <v>403</v>
      </c>
      <c r="Q281" t="s">
        <v>408</v>
      </c>
      <c r="R281" t="s">
        <v>596</v>
      </c>
      <c r="S281">
        <v>2022</v>
      </c>
      <c r="T281">
        <v>7</v>
      </c>
      <c r="U281" t="s">
        <v>1167</v>
      </c>
      <c r="V281" t="s">
        <v>408</v>
      </c>
      <c r="W281">
        <v>0</v>
      </c>
      <c r="X281">
        <v>0</v>
      </c>
      <c r="Y281" t="s">
        <v>408</v>
      </c>
      <c r="Z281">
        <v>2022</v>
      </c>
      <c r="AA281">
        <v>0</v>
      </c>
      <c r="AB281" s="5">
        <v>0.227978511025</v>
      </c>
      <c r="AC281" s="5">
        <v>0.45595702204999999</v>
      </c>
      <c r="AD281" t="s">
        <v>408</v>
      </c>
      <c r="AE281" t="s">
        <v>400</v>
      </c>
      <c r="AF281" t="s">
        <v>400</v>
      </c>
      <c r="AG281" t="s">
        <v>400</v>
      </c>
      <c r="AH281" t="s">
        <v>400</v>
      </c>
      <c r="AI281" t="s">
        <v>400</v>
      </c>
      <c r="AJ281" t="s">
        <v>400</v>
      </c>
      <c r="AK281" t="s">
        <v>400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 s="58">
        <f t="shared" si="4"/>
        <v>1</v>
      </c>
      <c r="AU281" s="79" t="s">
        <v>597</v>
      </c>
      <c r="AV281" s="78" t="s">
        <v>410</v>
      </c>
      <c r="AW281" t="s">
        <v>400</v>
      </c>
      <c r="AX281">
        <v>2</v>
      </c>
      <c r="AY281" t="s">
        <v>412</v>
      </c>
      <c r="AZ281">
        <v>30</v>
      </c>
    </row>
    <row r="282" spans="1:52" x14ac:dyDescent="0.3">
      <c r="A282">
        <v>271</v>
      </c>
      <c r="B282" t="s">
        <v>477</v>
      </c>
      <c r="C282" t="s">
        <v>152</v>
      </c>
      <c r="D282" t="s">
        <v>478</v>
      </c>
      <c r="E282" t="s">
        <v>417</v>
      </c>
      <c r="F282" t="s">
        <v>408</v>
      </c>
      <c r="G282">
        <v>2600</v>
      </c>
      <c r="H282">
        <v>2601</v>
      </c>
      <c r="I282" t="s">
        <v>1168</v>
      </c>
      <c r="J282">
        <v>2800</v>
      </c>
      <c r="K282">
        <v>2801</v>
      </c>
      <c r="L282" t="s">
        <v>483</v>
      </c>
      <c r="M282">
        <v>2</v>
      </c>
      <c r="N282" t="s">
        <v>165</v>
      </c>
      <c r="O282" t="s">
        <v>165</v>
      </c>
      <c r="P282" t="s">
        <v>414</v>
      </c>
      <c r="Q282" t="s">
        <v>1169</v>
      </c>
      <c r="R282" t="s">
        <v>703</v>
      </c>
      <c r="S282">
        <v>2013</v>
      </c>
      <c r="T282">
        <v>11</v>
      </c>
      <c r="U282" t="s">
        <v>408</v>
      </c>
      <c r="V282" t="s">
        <v>487</v>
      </c>
      <c r="W282">
        <v>2020</v>
      </c>
      <c r="X282">
        <v>0</v>
      </c>
      <c r="Y282" t="s">
        <v>408</v>
      </c>
      <c r="Z282">
        <v>2020</v>
      </c>
      <c r="AA282">
        <v>2003</v>
      </c>
      <c r="AB282" s="5">
        <v>0.25105867430599998</v>
      </c>
      <c r="AC282" s="5">
        <v>0.50211734861199997</v>
      </c>
      <c r="AD282" t="s">
        <v>408</v>
      </c>
      <c r="AE282" t="s">
        <v>152</v>
      </c>
      <c r="AF282" t="s">
        <v>408</v>
      </c>
      <c r="AG282" t="s">
        <v>408</v>
      </c>
      <c r="AH282" t="s">
        <v>408</v>
      </c>
      <c r="AI282" t="s">
        <v>408</v>
      </c>
      <c r="AJ282" t="s">
        <v>408</v>
      </c>
      <c r="AK282" t="s">
        <v>408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s="58">
        <f t="shared" si="4"/>
        <v>1</v>
      </c>
      <c r="AU282" s="79" t="s">
        <v>488</v>
      </c>
      <c r="AV282" s="78" t="s">
        <v>410</v>
      </c>
      <c r="AW282" t="s">
        <v>152</v>
      </c>
      <c r="AX282">
        <v>2</v>
      </c>
      <c r="AY282" t="s">
        <v>412</v>
      </c>
      <c r="AZ282" t="s">
        <v>408</v>
      </c>
    </row>
    <row r="283" spans="1:52" x14ac:dyDescent="0.3">
      <c r="A283">
        <v>272</v>
      </c>
      <c r="B283" t="s">
        <v>1070</v>
      </c>
      <c r="C283" t="s">
        <v>155</v>
      </c>
      <c r="D283" t="s">
        <v>1071</v>
      </c>
      <c r="E283" t="s">
        <v>460</v>
      </c>
      <c r="F283" t="s">
        <v>408</v>
      </c>
      <c r="G283">
        <v>5100</v>
      </c>
      <c r="H283">
        <v>5101</v>
      </c>
      <c r="I283" t="s">
        <v>765</v>
      </c>
      <c r="J283">
        <v>4700</v>
      </c>
      <c r="K283">
        <v>4701</v>
      </c>
      <c r="L283" t="s">
        <v>766</v>
      </c>
      <c r="M283">
        <v>3</v>
      </c>
      <c r="N283" t="s">
        <v>165</v>
      </c>
      <c r="O283" t="s">
        <v>165</v>
      </c>
      <c r="P283" t="s">
        <v>420</v>
      </c>
      <c r="Q283" t="s">
        <v>1170</v>
      </c>
      <c r="R283" t="s">
        <v>703</v>
      </c>
      <c r="S283">
        <v>2014</v>
      </c>
      <c r="T283">
        <v>5</v>
      </c>
      <c r="U283" t="s">
        <v>408</v>
      </c>
      <c r="V283" t="s">
        <v>454</v>
      </c>
      <c r="W283">
        <v>2018</v>
      </c>
      <c r="X283">
        <v>10</v>
      </c>
      <c r="Y283" t="s">
        <v>370</v>
      </c>
      <c r="Z283">
        <v>2018</v>
      </c>
      <c r="AA283">
        <v>2018</v>
      </c>
      <c r="AB283" s="5">
        <v>0.50267502529600006</v>
      </c>
      <c r="AC283" s="5">
        <v>1.0053500505899999</v>
      </c>
      <c r="AD283" t="s">
        <v>408</v>
      </c>
      <c r="AE283" t="s">
        <v>152</v>
      </c>
      <c r="AF283" t="s">
        <v>408</v>
      </c>
      <c r="AG283" t="s">
        <v>408</v>
      </c>
      <c r="AH283" t="s">
        <v>408</v>
      </c>
      <c r="AI283" t="s">
        <v>408</v>
      </c>
      <c r="AJ283" t="s">
        <v>408</v>
      </c>
      <c r="AK283" t="s">
        <v>408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 s="58">
        <f t="shared" si="4"/>
        <v>1</v>
      </c>
      <c r="AU283" s="79">
        <v>43347</v>
      </c>
      <c r="AV283" t="s">
        <v>410</v>
      </c>
      <c r="AW283" t="s">
        <v>152</v>
      </c>
      <c r="AX283">
        <v>2</v>
      </c>
      <c r="AY283" t="s">
        <v>412</v>
      </c>
      <c r="AZ283" t="s">
        <v>408</v>
      </c>
    </row>
    <row r="284" spans="1:52" x14ac:dyDescent="0.3">
      <c r="A284">
        <v>273</v>
      </c>
      <c r="B284" t="s">
        <v>464</v>
      </c>
      <c r="C284" t="s">
        <v>154</v>
      </c>
      <c r="D284" t="s">
        <v>465</v>
      </c>
      <c r="E284" t="s">
        <v>466</v>
      </c>
      <c r="F284" t="s">
        <v>408</v>
      </c>
      <c r="G284">
        <v>3555</v>
      </c>
      <c r="H284">
        <v>3554</v>
      </c>
      <c r="I284" t="s">
        <v>468</v>
      </c>
      <c r="J284">
        <v>2401</v>
      </c>
      <c r="K284">
        <v>2400</v>
      </c>
      <c r="L284" t="s">
        <v>576</v>
      </c>
      <c r="M284">
        <v>4</v>
      </c>
      <c r="N284" t="s">
        <v>165</v>
      </c>
      <c r="O284" t="s">
        <v>165</v>
      </c>
      <c r="P284" t="s">
        <v>420</v>
      </c>
      <c r="Q284" t="s">
        <v>1171</v>
      </c>
      <c r="R284" t="s">
        <v>942</v>
      </c>
      <c r="S284">
        <v>2015</v>
      </c>
      <c r="T284">
        <v>8</v>
      </c>
      <c r="U284" t="s">
        <v>1172</v>
      </c>
      <c r="V284" t="s">
        <v>513</v>
      </c>
      <c r="W284">
        <v>2016</v>
      </c>
      <c r="X284">
        <v>9</v>
      </c>
      <c r="Y284" t="s">
        <v>1173</v>
      </c>
      <c r="Z284">
        <v>2015</v>
      </c>
      <c r="AA284">
        <v>2016</v>
      </c>
      <c r="AB284" s="5">
        <v>1.51823644618</v>
      </c>
      <c r="AC284" s="5">
        <v>3.03647289236</v>
      </c>
      <c r="AD284" t="s">
        <v>408</v>
      </c>
      <c r="AE284" t="s">
        <v>152</v>
      </c>
      <c r="AF284" t="s">
        <v>408</v>
      </c>
      <c r="AG284" t="s">
        <v>408</v>
      </c>
      <c r="AH284" t="s">
        <v>408</v>
      </c>
      <c r="AI284" t="s">
        <v>408</v>
      </c>
      <c r="AJ284" t="s">
        <v>408</v>
      </c>
      <c r="AK284" t="s">
        <v>408</v>
      </c>
      <c r="AL284">
        <v>0</v>
      </c>
      <c r="AM284">
        <v>0</v>
      </c>
      <c r="AN284">
        <v>0</v>
      </c>
      <c r="AO284">
        <v>0.85</v>
      </c>
      <c r="AP284">
        <v>0</v>
      </c>
      <c r="AQ284">
        <v>0</v>
      </c>
      <c r="AR284">
        <v>0</v>
      </c>
      <c r="AS284">
        <v>0.15</v>
      </c>
      <c r="AT284" s="58">
        <f t="shared" si="4"/>
        <v>1</v>
      </c>
      <c r="AU284" s="79">
        <v>43332</v>
      </c>
      <c r="AV284" s="78" t="s">
        <v>410</v>
      </c>
      <c r="AW284" t="s">
        <v>152</v>
      </c>
      <c r="AX284">
        <v>2</v>
      </c>
      <c r="AY284" t="s">
        <v>412</v>
      </c>
      <c r="AZ284" t="s">
        <v>408</v>
      </c>
    </row>
    <row r="285" spans="1:52" x14ac:dyDescent="0.3">
      <c r="A285">
        <v>274</v>
      </c>
      <c r="B285" t="s">
        <v>867</v>
      </c>
      <c r="C285" t="s">
        <v>154</v>
      </c>
      <c r="D285" t="s">
        <v>868</v>
      </c>
      <c r="E285" t="s">
        <v>466</v>
      </c>
      <c r="F285" t="s">
        <v>408</v>
      </c>
      <c r="G285">
        <v>2359</v>
      </c>
      <c r="H285">
        <v>2358</v>
      </c>
      <c r="I285" t="s">
        <v>619</v>
      </c>
      <c r="J285">
        <v>2001</v>
      </c>
      <c r="K285">
        <v>2000</v>
      </c>
      <c r="L285" t="s">
        <v>435</v>
      </c>
      <c r="M285">
        <v>4</v>
      </c>
      <c r="N285" t="s">
        <v>165</v>
      </c>
      <c r="O285" t="s">
        <v>165</v>
      </c>
      <c r="P285" t="s">
        <v>403</v>
      </c>
      <c r="Q285" t="s">
        <v>871</v>
      </c>
      <c r="R285" t="s">
        <v>703</v>
      </c>
      <c r="S285">
        <v>2014</v>
      </c>
      <c r="T285">
        <v>7</v>
      </c>
      <c r="U285" t="s">
        <v>408</v>
      </c>
      <c r="V285" t="s">
        <v>454</v>
      </c>
      <c r="W285">
        <v>2018</v>
      </c>
      <c r="X285">
        <v>11</v>
      </c>
      <c r="Y285" t="s">
        <v>818</v>
      </c>
      <c r="Z285">
        <v>2018</v>
      </c>
      <c r="AA285">
        <v>2018</v>
      </c>
      <c r="AB285" s="5">
        <v>0.50446990634</v>
      </c>
      <c r="AC285" s="5">
        <v>1.00893981268</v>
      </c>
      <c r="AD285" t="s">
        <v>408</v>
      </c>
      <c r="AE285" t="s">
        <v>152</v>
      </c>
      <c r="AF285" t="s">
        <v>408</v>
      </c>
      <c r="AG285" t="s">
        <v>408</v>
      </c>
      <c r="AH285" t="s">
        <v>408</v>
      </c>
      <c r="AI285" t="s">
        <v>408</v>
      </c>
      <c r="AJ285" t="s">
        <v>408</v>
      </c>
      <c r="AK285" t="s">
        <v>408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 s="58">
        <f t="shared" si="4"/>
        <v>1</v>
      </c>
      <c r="AU285" s="79">
        <v>43342</v>
      </c>
      <c r="AV285" t="s">
        <v>410</v>
      </c>
      <c r="AW285" t="s">
        <v>152</v>
      </c>
      <c r="AX285">
        <v>2</v>
      </c>
      <c r="AY285" t="s">
        <v>412</v>
      </c>
      <c r="AZ285" t="s">
        <v>408</v>
      </c>
    </row>
    <row r="286" spans="1:52" x14ac:dyDescent="0.3">
      <c r="A286">
        <v>275</v>
      </c>
      <c r="B286" t="s">
        <v>867</v>
      </c>
      <c r="C286" t="s">
        <v>154</v>
      </c>
      <c r="D286" t="s">
        <v>868</v>
      </c>
      <c r="E286" t="s">
        <v>466</v>
      </c>
      <c r="F286" t="s">
        <v>408</v>
      </c>
      <c r="G286">
        <v>1959</v>
      </c>
      <c r="H286">
        <v>1958</v>
      </c>
      <c r="I286" t="s">
        <v>435</v>
      </c>
      <c r="J286">
        <v>1833</v>
      </c>
      <c r="K286">
        <v>1832</v>
      </c>
      <c r="L286" t="s">
        <v>1174</v>
      </c>
      <c r="M286">
        <v>4</v>
      </c>
      <c r="N286" t="s">
        <v>165</v>
      </c>
      <c r="O286" t="s">
        <v>165</v>
      </c>
      <c r="P286" t="s">
        <v>403</v>
      </c>
      <c r="Q286" t="s">
        <v>1175</v>
      </c>
      <c r="R286" t="s">
        <v>703</v>
      </c>
      <c r="S286">
        <v>2014</v>
      </c>
      <c r="T286">
        <v>7</v>
      </c>
      <c r="U286" t="s">
        <v>408</v>
      </c>
      <c r="V286" t="s">
        <v>454</v>
      </c>
      <c r="W286">
        <v>2018</v>
      </c>
      <c r="X286">
        <v>11</v>
      </c>
      <c r="Y286" t="s">
        <v>818</v>
      </c>
      <c r="Z286">
        <v>2018</v>
      </c>
      <c r="AA286">
        <v>2018</v>
      </c>
      <c r="AB286" s="5">
        <v>0.18908716545099999</v>
      </c>
      <c r="AC286" s="5">
        <v>0.37817433090199998</v>
      </c>
      <c r="AD286" t="s">
        <v>408</v>
      </c>
      <c r="AE286" t="s">
        <v>152</v>
      </c>
      <c r="AF286" t="s">
        <v>408</v>
      </c>
      <c r="AG286" t="s">
        <v>408</v>
      </c>
      <c r="AH286" t="s">
        <v>408</v>
      </c>
      <c r="AI286" t="s">
        <v>408</v>
      </c>
      <c r="AJ286" t="s">
        <v>408</v>
      </c>
      <c r="AK286" t="s">
        <v>408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 s="58">
        <f t="shared" si="4"/>
        <v>1</v>
      </c>
      <c r="AU286" s="79">
        <v>43342</v>
      </c>
      <c r="AV286" t="s">
        <v>410</v>
      </c>
      <c r="AW286" t="s">
        <v>152</v>
      </c>
      <c r="AX286">
        <v>2</v>
      </c>
      <c r="AY286" t="s">
        <v>412</v>
      </c>
      <c r="AZ286" t="s">
        <v>408</v>
      </c>
    </row>
    <row r="287" spans="1:52" x14ac:dyDescent="0.3">
      <c r="A287">
        <v>276</v>
      </c>
      <c r="B287" t="s">
        <v>472</v>
      </c>
      <c r="C287" t="s">
        <v>152</v>
      </c>
      <c r="D287" t="s">
        <v>473</v>
      </c>
      <c r="E287" t="s">
        <v>460</v>
      </c>
      <c r="F287" t="s">
        <v>408</v>
      </c>
      <c r="G287">
        <v>3560</v>
      </c>
      <c r="H287">
        <v>3561</v>
      </c>
      <c r="I287" t="s">
        <v>434</v>
      </c>
      <c r="J287">
        <v>4686</v>
      </c>
      <c r="K287">
        <v>4683</v>
      </c>
      <c r="L287" t="s">
        <v>1046</v>
      </c>
      <c r="M287">
        <v>3</v>
      </c>
      <c r="N287" t="s">
        <v>165</v>
      </c>
      <c r="O287" t="s">
        <v>165</v>
      </c>
      <c r="P287" t="s">
        <v>403</v>
      </c>
      <c r="Q287" t="s">
        <v>771</v>
      </c>
      <c r="R287" t="s">
        <v>1176</v>
      </c>
      <c r="S287">
        <v>2014</v>
      </c>
      <c r="T287">
        <v>12</v>
      </c>
      <c r="U287" t="s">
        <v>1177</v>
      </c>
      <c r="V287" t="s">
        <v>408</v>
      </c>
      <c r="W287">
        <v>0</v>
      </c>
      <c r="X287">
        <v>0</v>
      </c>
      <c r="Y287" t="s">
        <v>408</v>
      </c>
      <c r="Z287">
        <v>2014</v>
      </c>
      <c r="AA287">
        <v>1999</v>
      </c>
      <c r="AB287" s="5">
        <v>0.34858375625100002</v>
      </c>
      <c r="AC287" s="5">
        <v>0.69716751250200004</v>
      </c>
      <c r="AD287" t="s">
        <v>408</v>
      </c>
      <c r="AE287" t="s">
        <v>152</v>
      </c>
      <c r="AF287" t="s">
        <v>408</v>
      </c>
      <c r="AG287" t="s">
        <v>408</v>
      </c>
      <c r="AH287" t="s">
        <v>408</v>
      </c>
      <c r="AI287" t="s">
        <v>408</v>
      </c>
      <c r="AJ287" t="s">
        <v>408</v>
      </c>
      <c r="AK287" t="s">
        <v>408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 s="58">
        <f t="shared" si="4"/>
        <v>1</v>
      </c>
      <c r="AU287" s="79">
        <v>43332</v>
      </c>
      <c r="AV287" s="78" t="s">
        <v>410</v>
      </c>
      <c r="AW287" t="s">
        <v>152</v>
      </c>
      <c r="AX287">
        <v>2</v>
      </c>
      <c r="AY287" t="s">
        <v>412</v>
      </c>
      <c r="AZ287" t="s">
        <v>408</v>
      </c>
    </row>
    <row r="288" spans="1:52" x14ac:dyDescent="0.3">
      <c r="A288">
        <v>277</v>
      </c>
      <c r="B288" t="s">
        <v>992</v>
      </c>
      <c r="C288" t="s">
        <v>154</v>
      </c>
      <c r="D288" t="s">
        <v>993</v>
      </c>
      <c r="E288" t="s">
        <v>466</v>
      </c>
      <c r="F288" t="s">
        <v>400</v>
      </c>
      <c r="G288">
        <v>2383</v>
      </c>
      <c r="H288">
        <v>2382</v>
      </c>
      <c r="I288" t="s">
        <v>625</v>
      </c>
      <c r="J288">
        <v>2217</v>
      </c>
      <c r="K288">
        <v>2222</v>
      </c>
      <c r="L288" t="s">
        <v>891</v>
      </c>
      <c r="M288">
        <v>3</v>
      </c>
      <c r="N288" t="s">
        <v>163</v>
      </c>
      <c r="O288" t="s">
        <v>995</v>
      </c>
      <c r="P288" t="s">
        <v>403</v>
      </c>
      <c r="Q288" t="s">
        <v>408</v>
      </c>
      <c r="R288" t="s">
        <v>740</v>
      </c>
      <c r="S288">
        <v>2022</v>
      </c>
      <c r="T288">
        <v>9</v>
      </c>
      <c r="U288" t="s">
        <v>996</v>
      </c>
      <c r="V288" t="s">
        <v>408</v>
      </c>
      <c r="W288">
        <v>0</v>
      </c>
      <c r="X288">
        <v>0</v>
      </c>
      <c r="Y288" t="s">
        <v>408</v>
      </c>
      <c r="Z288">
        <v>2021</v>
      </c>
      <c r="AA288">
        <v>2014</v>
      </c>
      <c r="AB288" s="5">
        <v>0.14556824953299999</v>
      </c>
      <c r="AC288" s="5">
        <v>0.29113649906599998</v>
      </c>
      <c r="AD288" t="s">
        <v>400</v>
      </c>
      <c r="AE288" t="s">
        <v>152</v>
      </c>
      <c r="AF288" t="s">
        <v>400</v>
      </c>
      <c r="AG288" t="s">
        <v>152</v>
      </c>
      <c r="AH288" t="s">
        <v>408</v>
      </c>
      <c r="AI288" t="s">
        <v>744</v>
      </c>
      <c r="AJ288" t="s">
        <v>152</v>
      </c>
      <c r="AK288" t="s">
        <v>408</v>
      </c>
      <c r="AL288">
        <v>2022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 s="58">
        <f t="shared" si="4"/>
        <v>1</v>
      </c>
      <c r="AU288" s="79" t="s">
        <v>457</v>
      </c>
      <c r="AV288" s="78" t="s">
        <v>410</v>
      </c>
      <c r="AW288" t="s">
        <v>411</v>
      </c>
      <c r="AX288">
        <v>2</v>
      </c>
      <c r="AY288" t="s">
        <v>412</v>
      </c>
      <c r="AZ288" t="s">
        <v>408</v>
      </c>
    </row>
    <row r="289" spans="1:52" x14ac:dyDescent="0.3">
      <c r="A289">
        <v>278</v>
      </c>
      <c r="B289" t="s">
        <v>610</v>
      </c>
      <c r="C289" t="s">
        <v>152</v>
      </c>
      <c r="D289" t="s">
        <v>255</v>
      </c>
      <c r="E289" t="s">
        <v>611</v>
      </c>
      <c r="F289" t="s">
        <v>408</v>
      </c>
      <c r="G289">
        <v>6400</v>
      </c>
      <c r="H289">
        <v>6401</v>
      </c>
      <c r="I289" t="s">
        <v>615</v>
      </c>
      <c r="J289">
        <v>5100</v>
      </c>
      <c r="K289">
        <v>5101</v>
      </c>
      <c r="L289" t="s">
        <v>474</v>
      </c>
      <c r="M289">
        <v>3</v>
      </c>
      <c r="N289" t="s">
        <v>165</v>
      </c>
      <c r="O289" t="s">
        <v>165</v>
      </c>
      <c r="P289" t="s">
        <v>420</v>
      </c>
      <c r="Q289" t="s">
        <v>1178</v>
      </c>
      <c r="R289" t="s">
        <v>942</v>
      </c>
      <c r="S289">
        <v>2015</v>
      </c>
      <c r="T289">
        <v>8</v>
      </c>
      <c r="U289" t="s">
        <v>408</v>
      </c>
      <c r="V289" t="s">
        <v>408</v>
      </c>
      <c r="W289">
        <v>0</v>
      </c>
      <c r="X289">
        <v>0</v>
      </c>
      <c r="Y289" t="s">
        <v>408</v>
      </c>
      <c r="Z289">
        <v>2015</v>
      </c>
      <c r="AA289">
        <v>0</v>
      </c>
      <c r="AB289" s="5">
        <v>1.38259954279</v>
      </c>
      <c r="AC289" s="5">
        <v>2.7651990855799999</v>
      </c>
      <c r="AD289" t="s">
        <v>408</v>
      </c>
      <c r="AE289" t="s">
        <v>152</v>
      </c>
      <c r="AF289" t="s">
        <v>408</v>
      </c>
      <c r="AG289" t="s">
        <v>408</v>
      </c>
      <c r="AH289" t="s">
        <v>408</v>
      </c>
      <c r="AI289" t="s">
        <v>408</v>
      </c>
      <c r="AJ289" t="s">
        <v>408</v>
      </c>
      <c r="AK289" t="s">
        <v>408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 s="58">
        <f t="shared" si="4"/>
        <v>1</v>
      </c>
      <c r="AU289" s="79">
        <v>43339</v>
      </c>
      <c r="AV289" s="78" t="s">
        <v>410</v>
      </c>
      <c r="AW289" t="s">
        <v>152</v>
      </c>
      <c r="AX289">
        <v>2</v>
      </c>
      <c r="AY289" t="s">
        <v>412</v>
      </c>
      <c r="AZ289" t="s">
        <v>408</v>
      </c>
    </row>
    <row r="290" spans="1:52" x14ac:dyDescent="0.3">
      <c r="A290">
        <v>279</v>
      </c>
      <c r="B290" t="s">
        <v>1159</v>
      </c>
      <c r="C290" t="s">
        <v>155</v>
      </c>
      <c r="D290" t="s">
        <v>1160</v>
      </c>
      <c r="E290" t="s">
        <v>417</v>
      </c>
      <c r="F290" t="s">
        <v>408</v>
      </c>
      <c r="G290">
        <v>800</v>
      </c>
      <c r="H290">
        <v>801</v>
      </c>
      <c r="I290" t="s">
        <v>632</v>
      </c>
      <c r="J290">
        <v>600</v>
      </c>
      <c r="K290">
        <v>601</v>
      </c>
      <c r="L290" t="s">
        <v>535</v>
      </c>
      <c r="M290">
        <v>4</v>
      </c>
      <c r="N290" t="s">
        <v>170</v>
      </c>
      <c r="O290" t="s">
        <v>170</v>
      </c>
      <c r="P290" t="s">
        <v>420</v>
      </c>
      <c r="Q290" t="s">
        <v>1179</v>
      </c>
      <c r="R290" t="s">
        <v>601</v>
      </c>
      <c r="S290">
        <v>2017</v>
      </c>
      <c r="T290">
        <v>9</v>
      </c>
      <c r="U290" t="s">
        <v>408</v>
      </c>
      <c r="V290" t="s">
        <v>408</v>
      </c>
      <c r="W290">
        <v>0</v>
      </c>
      <c r="X290">
        <v>0</v>
      </c>
      <c r="Y290" t="s">
        <v>408</v>
      </c>
      <c r="Z290">
        <v>2017</v>
      </c>
      <c r="AA290">
        <v>0</v>
      </c>
      <c r="AB290" s="5">
        <v>0.172156637822</v>
      </c>
      <c r="AC290" s="5">
        <v>0.34431327564399999</v>
      </c>
      <c r="AD290" t="s">
        <v>408</v>
      </c>
      <c r="AE290" t="s">
        <v>152</v>
      </c>
      <c r="AF290" t="s">
        <v>408</v>
      </c>
      <c r="AG290" t="s">
        <v>408</v>
      </c>
      <c r="AH290" t="s">
        <v>408</v>
      </c>
      <c r="AI290" t="s">
        <v>408</v>
      </c>
      <c r="AJ290" t="s">
        <v>408</v>
      </c>
      <c r="AK290" t="s">
        <v>408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 s="58">
        <f t="shared" si="4"/>
        <v>1</v>
      </c>
      <c r="AU290" s="79">
        <v>43347</v>
      </c>
      <c r="AV290" s="78" t="s">
        <v>410</v>
      </c>
      <c r="AW290" t="s">
        <v>408</v>
      </c>
      <c r="AX290">
        <v>2</v>
      </c>
      <c r="AY290" t="s">
        <v>412</v>
      </c>
      <c r="AZ290" t="s">
        <v>408</v>
      </c>
    </row>
    <row r="291" spans="1:52" x14ac:dyDescent="0.3">
      <c r="A291">
        <v>280</v>
      </c>
      <c r="B291" t="s">
        <v>1180</v>
      </c>
      <c r="C291" t="s">
        <v>154</v>
      </c>
      <c r="D291" t="s">
        <v>1181</v>
      </c>
      <c r="E291" t="s">
        <v>417</v>
      </c>
      <c r="F291" t="s">
        <v>400</v>
      </c>
      <c r="G291">
        <v>2001</v>
      </c>
      <c r="H291">
        <v>2000</v>
      </c>
      <c r="I291" t="s">
        <v>418</v>
      </c>
      <c r="J291">
        <v>1600</v>
      </c>
      <c r="K291">
        <v>1601</v>
      </c>
      <c r="L291" t="s">
        <v>813</v>
      </c>
      <c r="M291">
        <v>4</v>
      </c>
      <c r="N291" t="s">
        <v>163</v>
      </c>
      <c r="O291" t="s">
        <v>163</v>
      </c>
      <c r="P291" t="s">
        <v>420</v>
      </c>
      <c r="Q291" t="s">
        <v>1182</v>
      </c>
      <c r="R291" t="s">
        <v>601</v>
      </c>
      <c r="S291">
        <v>2017</v>
      </c>
      <c r="T291">
        <v>9</v>
      </c>
      <c r="U291" t="s">
        <v>408</v>
      </c>
      <c r="V291" t="s">
        <v>408</v>
      </c>
      <c r="W291">
        <v>0</v>
      </c>
      <c r="X291">
        <v>0</v>
      </c>
      <c r="Y291" t="s">
        <v>408</v>
      </c>
      <c r="Z291">
        <v>2017</v>
      </c>
      <c r="AA291">
        <v>0</v>
      </c>
      <c r="AB291" s="5">
        <v>0.50838607178399997</v>
      </c>
      <c r="AC291" s="5">
        <v>1.0167721435699999</v>
      </c>
      <c r="AD291" t="s">
        <v>408</v>
      </c>
      <c r="AE291" t="s">
        <v>152</v>
      </c>
      <c r="AF291" t="s">
        <v>400</v>
      </c>
      <c r="AG291" t="s">
        <v>400</v>
      </c>
      <c r="AH291" t="s">
        <v>408</v>
      </c>
      <c r="AI291" t="s">
        <v>470</v>
      </c>
      <c r="AJ291" t="s">
        <v>400</v>
      </c>
      <c r="AK291" t="s">
        <v>408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 s="58">
        <f t="shared" si="4"/>
        <v>1</v>
      </c>
      <c r="AU291" s="79" t="s">
        <v>602</v>
      </c>
      <c r="AV291" t="s">
        <v>410</v>
      </c>
      <c r="AW291" t="s">
        <v>411</v>
      </c>
      <c r="AX291">
        <v>1</v>
      </c>
      <c r="AY291" t="s">
        <v>412</v>
      </c>
      <c r="AZ291" t="s">
        <v>408</v>
      </c>
    </row>
    <row r="292" spans="1:52" x14ac:dyDescent="0.3">
      <c r="A292">
        <v>281</v>
      </c>
      <c r="B292" t="s">
        <v>472</v>
      </c>
      <c r="C292" t="s">
        <v>152</v>
      </c>
      <c r="D292" t="s">
        <v>473</v>
      </c>
      <c r="E292" t="s">
        <v>460</v>
      </c>
      <c r="F292" t="s">
        <v>408</v>
      </c>
      <c r="G292">
        <v>1600</v>
      </c>
      <c r="H292">
        <v>1601</v>
      </c>
      <c r="I292" t="s">
        <v>541</v>
      </c>
      <c r="J292">
        <v>2200</v>
      </c>
      <c r="K292">
        <v>2201</v>
      </c>
      <c r="L292" t="s">
        <v>480</v>
      </c>
      <c r="M292">
        <v>3</v>
      </c>
      <c r="N292" t="s">
        <v>165</v>
      </c>
      <c r="O292" t="s">
        <v>165</v>
      </c>
      <c r="P292" t="s">
        <v>403</v>
      </c>
      <c r="Q292" t="s">
        <v>771</v>
      </c>
      <c r="R292" t="s">
        <v>662</v>
      </c>
      <c r="S292">
        <v>2015</v>
      </c>
      <c r="T292">
        <v>12</v>
      </c>
      <c r="U292" t="s">
        <v>370</v>
      </c>
      <c r="V292" t="s">
        <v>408</v>
      </c>
      <c r="W292">
        <v>0</v>
      </c>
      <c r="X292">
        <v>0</v>
      </c>
      <c r="Y292" t="s">
        <v>408</v>
      </c>
      <c r="Z292">
        <v>2015</v>
      </c>
      <c r="AA292">
        <v>2015</v>
      </c>
      <c r="AB292" s="5">
        <v>0.91966442249799996</v>
      </c>
      <c r="AC292" s="5">
        <v>1.839328845</v>
      </c>
      <c r="AD292" t="s">
        <v>408</v>
      </c>
      <c r="AE292" t="s">
        <v>152</v>
      </c>
      <c r="AF292" t="s">
        <v>408</v>
      </c>
      <c r="AG292" t="s">
        <v>408</v>
      </c>
      <c r="AH292" t="s">
        <v>408</v>
      </c>
      <c r="AI292" t="s">
        <v>408</v>
      </c>
      <c r="AJ292" t="s">
        <v>408</v>
      </c>
      <c r="AK292" t="s">
        <v>408</v>
      </c>
      <c r="AL292">
        <v>0</v>
      </c>
      <c r="AM292">
        <v>0</v>
      </c>
      <c r="AN292">
        <v>0.6</v>
      </c>
      <c r="AO292">
        <v>0</v>
      </c>
      <c r="AP292">
        <v>0</v>
      </c>
      <c r="AQ292">
        <v>0</v>
      </c>
      <c r="AR292">
        <v>0</v>
      </c>
      <c r="AS292">
        <v>0.4</v>
      </c>
      <c r="AT292" s="58">
        <f t="shared" si="4"/>
        <v>1</v>
      </c>
      <c r="AU292" s="79" t="s">
        <v>602</v>
      </c>
      <c r="AV292" s="78" t="s">
        <v>410</v>
      </c>
      <c r="AW292" t="s">
        <v>411</v>
      </c>
      <c r="AX292">
        <v>2</v>
      </c>
      <c r="AY292" t="s">
        <v>412</v>
      </c>
      <c r="AZ292" t="s">
        <v>408</v>
      </c>
    </row>
    <row r="293" spans="1:52" x14ac:dyDescent="0.3">
      <c r="A293">
        <v>282</v>
      </c>
      <c r="B293" t="s">
        <v>1183</v>
      </c>
      <c r="C293" t="s">
        <v>154</v>
      </c>
      <c r="D293" t="s">
        <v>1184</v>
      </c>
      <c r="E293" t="s">
        <v>417</v>
      </c>
      <c r="F293" t="s">
        <v>408</v>
      </c>
      <c r="G293">
        <v>1361</v>
      </c>
      <c r="H293">
        <v>1360</v>
      </c>
      <c r="I293" t="s">
        <v>419</v>
      </c>
      <c r="J293">
        <v>801</v>
      </c>
      <c r="K293">
        <v>800</v>
      </c>
      <c r="L293" t="s">
        <v>814</v>
      </c>
      <c r="M293">
        <v>3</v>
      </c>
      <c r="N293" t="s">
        <v>163</v>
      </c>
      <c r="O293" t="s">
        <v>163</v>
      </c>
      <c r="P293" t="s">
        <v>403</v>
      </c>
      <c r="Q293" t="s">
        <v>408</v>
      </c>
      <c r="R293" t="s">
        <v>1185</v>
      </c>
      <c r="S293">
        <v>2019</v>
      </c>
      <c r="T293">
        <v>8</v>
      </c>
      <c r="U293" t="s">
        <v>1186</v>
      </c>
      <c r="V293" t="s">
        <v>408</v>
      </c>
      <c r="W293">
        <v>0</v>
      </c>
      <c r="X293">
        <v>0</v>
      </c>
      <c r="Y293" t="s">
        <v>408</v>
      </c>
      <c r="Z293">
        <v>2017</v>
      </c>
      <c r="AA293">
        <v>2017</v>
      </c>
      <c r="AB293" s="5">
        <v>0.75678023577499998</v>
      </c>
      <c r="AC293" s="5">
        <v>1.51356047155</v>
      </c>
      <c r="AD293" t="s">
        <v>408</v>
      </c>
      <c r="AE293" t="s">
        <v>152</v>
      </c>
      <c r="AF293" t="s">
        <v>408</v>
      </c>
      <c r="AG293" t="s">
        <v>408</v>
      </c>
      <c r="AH293" t="s">
        <v>408</v>
      </c>
      <c r="AI293" t="s">
        <v>470</v>
      </c>
      <c r="AJ293" t="s">
        <v>408</v>
      </c>
      <c r="AK293" t="s">
        <v>408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 s="58">
        <f t="shared" si="4"/>
        <v>1</v>
      </c>
      <c r="AU293" s="79" t="s">
        <v>602</v>
      </c>
      <c r="AV293" t="s">
        <v>410</v>
      </c>
      <c r="AW293" t="s">
        <v>411</v>
      </c>
      <c r="AX293">
        <v>1</v>
      </c>
      <c r="AY293" t="s">
        <v>412</v>
      </c>
      <c r="AZ293" t="s">
        <v>408</v>
      </c>
    </row>
    <row r="294" spans="1:52" x14ac:dyDescent="0.3">
      <c r="A294">
        <v>283</v>
      </c>
      <c r="B294" t="s">
        <v>587</v>
      </c>
      <c r="C294" t="s">
        <v>155</v>
      </c>
      <c r="D294" t="s">
        <v>588</v>
      </c>
      <c r="E294" t="s">
        <v>417</v>
      </c>
      <c r="F294" t="s">
        <v>400</v>
      </c>
      <c r="G294">
        <v>2529</v>
      </c>
      <c r="H294">
        <v>2528</v>
      </c>
      <c r="I294" t="s">
        <v>1187</v>
      </c>
      <c r="J294">
        <v>2039</v>
      </c>
      <c r="K294">
        <v>2038</v>
      </c>
      <c r="L294" t="s">
        <v>589</v>
      </c>
      <c r="M294">
        <v>2</v>
      </c>
      <c r="N294" t="s">
        <v>163</v>
      </c>
      <c r="O294" t="s">
        <v>163</v>
      </c>
      <c r="P294" t="s">
        <v>420</v>
      </c>
      <c r="Q294" t="s">
        <v>591</v>
      </c>
      <c r="R294" t="s">
        <v>556</v>
      </c>
      <c r="S294">
        <v>2013</v>
      </c>
      <c r="T294">
        <v>10</v>
      </c>
      <c r="U294" t="s">
        <v>1188</v>
      </c>
      <c r="V294" t="s">
        <v>487</v>
      </c>
      <c r="W294">
        <v>2020</v>
      </c>
      <c r="X294">
        <v>0</v>
      </c>
      <c r="Y294" t="s">
        <v>408</v>
      </c>
      <c r="Z294">
        <v>2020</v>
      </c>
      <c r="AA294">
        <v>2013</v>
      </c>
      <c r="AB294" s="5">
        <v>0.76414143761800002</v>
      </c>
      <c r="AC294" s="5">
        <v>1.5282828752399999</v>
      </c>
      <c r="AD294" t="s">
        <v>400</v>
      </c>
      <c r="AE294" t="s">
        <v>152</v>
      </c>
      <c r="AF294" t="s">
        <v>400</v>
      </c>
      <c r="AG294" t="s">
        <v>400</v>
      </c>
      <c r="AH294" t="s">
        <v>152</v>
      </c>
      <c r="AI294" t="s">
        <v>470</v>
      </c>
      <c r="AJ294" t="s">
        <v>400</v>
      </c>
      <c r="AK294" t="s">
        <v>411</v>
      </c>
      <c r="AL294">
        <v>2017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 s="58">
        <f t="shared" si="4"/>
        <v>1</v>
      </c>
      <c r="AU294" s="79" t="s">
        <v>457</v>
      </c>
      <c r="AV294" s="78" t="s">
        <v>410</v>
      </c>
      <c r="AW294" t="s">
        <v>411</v>
      </c>
      <c r="AX294">
        <v>1</v>
      </c>
      <c r="AY294" t="s">
        <v>412</v>
      </c>
      <c r="AZ294" t="s">
        <v>408</v>
      </c>
    </row>
    <row r="295" spans="1:52" x14ac:dyDescent="0.3">
      <c r="A295">
        <v>284</v>
      </c>
      <c r="B295" t="s">
        <v>990</v>
      </c>
      <c r="C295" t="s">
        <v>155</v>
      </c>
      <c r="D295" t="s">
        <v>326</v>
      </c>
      <c r="E295" t="s">
        <v>426</v>
      </c>
      <c r="F295" t="s">
        <v>408</v>
      </c>
      <c r="G295">
        <v>7101</v>
      </c>
      <c r="H295">
        <v>7100</v>
      </c>
      <c r="I295" t="s">
        <v>1189</v>
      </c>
      <c r="J295">
        <v>7901</v>
      </c>
      <c r="K295">
        <v>7900</v>
      </c>
      <c r="L295" t="s">
        <v>551</v>
      </c>
      <c r="M295">
        <v>4</v>
      </c>
      <c r="N295" t="s">
        <v>165</v>
      </c>
      <c r="O295" t="s">
        <v>165</v>
      </c>
      <c r="P295" t="s">
        <v>403</v>
      </c>
      <c r="Q295" t="s">
        <v>991</v>
      </c>
      <c r="R295" t="s">
        <v>556</v>
      </c>
      <c r="S295">
        <v>2013</v>
      </c>
      <c r="T295">
        <v>9</v>
      </c>
      <c r="U295" t="s">
        <v>370</v>
      </c>
      <c r="V295" t="s">
        <v>487</v>
      </c>
      <c r="W295">
        <v>2020</v>
      </c>
      <c r="X295">
        <v>0</v>
      </c>
      <c r="Y295" t="s">
        <v>408</v>
      </c>
      <c r="Z295">
        <v>2020</v>
      </c>
      <c r="AA295">
        <v>2013</v>
      </c>
      <c r="AB295" s="5">
        <v>1.2455802117400001</v>
      </c>
      <c r="AC295" s="5">
        <v>2.4911604234800002</v>
      </c>
      <c r="AD295" t="s">
        <v>408</v>
      </c>
      <c r="AE295" t="s">
        <v>152</v>
      </c>
      <c r="AF295" t="s">
        <v>408</v>
      </c>
      <c r="AG295" t="s">
        <v>408</v>
      </c>
      <c r="AH295" t="s">
        <v>408</v>
      </c>
      <c r="AI295" t="s">
        <v>408</v>
      </c>
      <c r="AJ295" t="s">
        <v>408</v>
      </c>
      <c r="AK295" t="s">
        <v>408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 s="58">
        <f t="shared" si="4"/>
        <v>1</v>
      </c>
      <c r="AU295" s="79" t="s">
        <v>592</v>
      </c>
      <c r="AV295" s="78" t="s">
        <v>410</v>
      </c>
      <c r="AW295" t="s">
        <v>411</v>
      </c>
      <c r="AX295">
        <v>2</v>
      </c>
      <c r="AY295" t="s">
        <v>412</v>
      </c>
      <c r="AZ295" t="s">
        <v>408</v>
      </c>
    </row>
    <row r="296" spans="1:52" x14ac:dyDescent="0.3">
      <c r="A296">
        <v>285</v>
      </c>
      <c r="B296" t="s">
        <v>720</v>
      </c>
      <c r="C296" t="s">
        <v>152</v>
      </c>
      <c r="D296" t="s">
        <v>721</v>
      </c>
      <c r="E296" t="s">
        <v>460</v>
      </c>
      <c r="F296" t="s">
        <v>408</v>
      </c>
      <c r="G296">
        <v>1701</v>
      </c>
      <c r="H296">
        <v>1700</v>
      </c>
      <c r="I296" t="s">
        <v>1190</v>
      </c>
      <c r="J296">
        <v>1825</v>
      </c>
      <c r="K296">
        <v>1826</v>
      </c>
      <c r="L296" t="s">
        <v>1191</v>
      </c>
      <c r="M296">
        <v>2</v>
      </c>
      <c r="N296" t="s">
        <v>165</v>
      </c>
      <c r="O296" t="s">
        <v>165</v>
      </c>
      <c r="P296" t="s">
        <v>403</v>
      </c>
      <c r="Q296" t="s">
        <v>408</v>
      </c>
      <c r="R296" t="s">
        <v>885</v>
      </c>
      <c r="S296">
        <v>2013</v>
      </c>
      <c r="T296">
        <v>9</v>
      </c>
      <c r="U296" t="s">
        <v>408</v>
      </c>
      <c r="V296" t="s">
        <v>511</v>
      </c>
      <c r="W296">
        <v>2018</v>
      </c>
      <c r="X296">
        <v>8</v>
      </c>
      <c r="Y296" t="s">
        <v>1192</v>
      </c>
      <c r="Z296">
        <v>2018</v>
      </c>
      <c r="AA296">
        <v>2014</v>
      </c>
      <c r="AB296" s="5">
        <v>0.188749355339</v>
      </c>
      <c r="AC296" s="5">
        <v>0.377498710678</v>
      </c>
      <c r="AD296" t="s">
        <v>408</v>
      </c>
      <c r="AE296" t="s">
        <v>152</v>
      </c>
      <c r="AF296" t="s">
        <v>408</v>
      </c>
      <c r="AG296" t="s">
        <v>408</v>
      </c>
      <c r="AH296" t="s">
        <v>408</v>
      </c>
      <c r="AI296" t="s">
        <v>408</v>
      </c>
      <c r="AJ296" t="s">
        <v>408</v>
      </c>
      <c r="AK296" t="s">
        <v>411</v>
      </c>
      <c r="AL296">
        <v>2017</v>
      </c>
      <c r="AM296">
        <v>0</v>
      </c>
      <c r="AN296">
        <v>0.75</v>
      </c>
      <c r="AO296">
        <v>0.25</v>
      </c>
      <c r="AP296">
        <v>0</v>
      </c>
      <c r="AQ296">
        <v>0</v>
      </c>
      <c r="AR296">
        <v>0</v>
      </c>
      <c r="AS296">
        <v>0</v>
      </c>
      <c r="AT296" s="58">
        <f t="shared" si="4"/>
        <v>1</v>
      </c>
      <c r="AU296" s="79">
        <v>43341</v>
      </c>
      <c r="AV296" t="s">
        <v>410</v>
      </c>
      <c r="AW296" t="s">
        <v>152</v>
      </c>
      <c r="AX296">
        <v>2</v>
      </c>
      <c r="AY296" t="s">
        <v>412</v>
      </c>
      <c r="AZ296" t="s">
        <v>408</v>
      </c>
    </row>
    <row r="297" spans="1:52" x14ac:dyDescent="0.3">
      <c r="A297">
        <v>286</v>
      </c>
      <c r="B297" t="s">
        <v>506</v>
      </c>
      <c r="C297" t="s">
        <v>447</v>
      </c>
      <c r="D297" t="s">
        <v>507</v>
      </c>
      <c r="E297" t="s">
        <v>466</v>
      </c>
      <c r="F297" t="s">
        <v>408</v>
      </c>
      <c r="G297">
        <v>900</v>
      </c>
      <c r="H297">
        <v>901</v>
      </c>
      <c r="I297" t="s">
        <v>856</v>
      </c>
      <c r="J297">
        <v>1058</v>
      </c>
      <c r="K297">
        <v>1059</v>
      </c>
      <c r="L297" t="s">
        <v>1193</v>
      </c>
      <c r="M297">
        <v>2</v>
      </c>
      <c r="N297" t="s">
        <v>165</v>
      </c>
      <c r="O297" t="s">
        <v>165</v>
      </c>
      <c r="P297" t="s">
        <v>403</v>
      </c>
      <c r="Q297" t="s">
        <v>916</v>
      </c>
      <c r="R297" t="s">
        <v>1194</v>
      </c>
      <c r="S297">
        <v>2014</v>
      </c>
      <c r="T297">
        <v>6</v>
      </c>
      <c r="U297" t="s">
        <v>553</v>
      </c>
      <c r="V297" t="s">
        <v>487</v>
      </c>
      <c r="W297">
        <v>2020</v>
      </c>
      <c r="X297">
        <v>0</v>
      </c>
      <c r="Y297" t="s">
        <v>408</v>
      </c>
      <c r="Z297">
        <v>2020</v>
      </c>
      <c r="AA297">
        <v>2014</v>
      </c>
      <c r="AB297" s="5">
        <v>0.217941860751</v>
      </c>
      <c r="AC297" s="5">
        <v>0.435883721502</v>
      </c>
      <c r="AD297" t="s">
        <v>408</v>
      </c>
      <c r="AE297" t="s">
        <v>152</v>
      </c>
      <c r="AF297" t="s">
        <v>408</v>
      </c>
      <c r="AG297" t="s">
        <v>408</v>
      </c>
      <c r="AH297" t="s">
        <v>408</v>
      </c>
      <c r="AI297" t="s">
        <v>408</v>
      </c>
      <c r="AJ297" t="s">
        <v>408</v>
      </c>
      <c r="AK297" t="s">
        <v>408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 s="58">
        <f t="shared" si="4"/>
        <v>1</v>
      </c>
      <c r="AU297" s="79" t="s">
        <v>592</v>
      </c>
      <c r="AV297" t="s">
        <v>410</v>
      </c>
      <c r="AW297" t="s">
        <v>411</v>
      </c>
      <c r="AX297">
        <v>2</v>
      </c>
      <c r="AY297" t="s">
        <v>412</v>
      </c>
      <c r="AZ297" t="s">
        <v>408</v>
      </c>
    </row>
    <row r="298" spans="1:52" x14ac:dyDescent="0.3">
      <c r="A298">
        <v>287</v>
      </c>
      <c r="B298" t="s">
        <v>464</v>
      </c>
      <c r="C298" t="s">
        <v>154</v>
      </c>
      <c r="D298" t="s">
        <v>465</v>
      </c>
      <c r="E298" t="s">
        <v>466</v>
      </c>
      <c r="F298" t="s">
        <v>447</v>
      </c>
      <c r="G298">
        <v>800</v>
      </c>
      <c r="H298">
        <v>801</v>
      </c>
      <c r="I298" t="s">
        <v>814</v>
      </c>
      <c r="J298">
        <v>600</v>
      </c>
      <c r="K298">
        <v>601</v>
      </c>
      <c r="L298" t="s">
        <v>865</v>
      </c>
      <c r="M298">
        <v>4</v>
      </c>
      <c r="N298" t="s">
        <v>165</v>
      </c>
      <c r="O298" t="s">
        <v>165</v>
      </c>
      <c r="P298" t="s">
        <v>420</v>
      </c>
      <c r="Q298" t="s">
        <v>1195</v>
      </c>
      <c r="R298" t="s">
        <v>942</v>
      </c>
      <c r="S298">
        <v>2017</v>
      </c>
      <c r="T298">
        <v>5</v>
      </c>
      <c r="U298" t="s">
        <v>1196</v>
      </c>
      <c r="V298" t="s">
        <v>408</v>
      </c>
      <c r="W298">
        <v>0</v>
      </c>
      <c r="X298">
        <v>0</v>
      </c>
      <c r="Y298" t="s">
        <v>408</v>
      </c>
      <c r="Z298">
        <v>2017</v>
      </c>
      <c r="AA298">
        <v>0</v>
      </c>
      <c r="AB298" s="5">
        <v>0.242770854116</v>
      </c>
      <c r="AC298" s="5">
        <v>0.242770854116</v>
      </c>
      <c r="AD298" t="s">
        <v>408</v>
      </c>
      <c r="AE298" t="s">
        <v>411</v>
      </c>
      <c r="AF298" t="s">
        <v>447</v>
      </c>
      <c r="AG298" t="s">
        <v>152</v>
      </c>
      <c r="AH298" t="s">
        <v>408</v>
      </c>
      <c r="AI298" t="s">
        <v>408</v>
      </c>
      <c r="AJ298" t="s">
        <v>408</v>
      </c>
      <c r="AK298" t="s">
        <v>411</v>
      </c>
      <c r="AL298">
        <v>2017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 s="58">
        <f t="shared" si="4"/>
        <v>1</v>
      </c>
      <c r="AU298" s="79">
        <v>43363</v>
      </c>
      <c r="AV298" s="78" t="s">
        <v>410</v>
      </c>
      <c r="AW298" t="s">
        <v>152</v>
      </c>
      <c r="AX298">
        <v>2</v>
      </c>
      <c r="AY298" t="s">
        <v>412</v>
      </c>
      <c r="AZ298" t="s">
        <v>408</v>
      </c>
    </row>
    <row r="299" spans="1:52" x14ac:dyDescent="0.3">
      <c r="A299">
        <v>288</v>
      </c>
      <c r="B299" t="s">
        <v>886</v>
      </c>
      <c r="C299" t="s">
        <v>154</v>
      </c>
      <c r="D299" t="s">
        <v>887</v>
      </c>
      <c r="E299" t="s">
        <v>417</v>
      </c>
      <c r="F299" t="s">
        <v>408</v>
      </c>
      <c r="G299">
        <v>2401</v>
      </c>
      <c r="H299">
        <v>2400</v>
      </c>
      <c r="I299" t="s">
        <v>619</v>
      </c>
      <c r="J299">
        <v>2000</v>
      </c>
      <c r="K299">
        <v>2001</v>
      </c>
      <c r="L299" t="s">
        <v>1197</v>
      </c>
      <c r="M299">
        <v>3</v>
      </c>
      <c r="N299" t="s">
        <v>165</v>
      </c>
      <c r="O299" t="s">
        <v>165</v>
      </c>
      <c r="P299" t="s">
        <v>403</v>
      </c>
      <c r="Q299" t="s">
        <v>946</v>
      </c>
      <c r="R299" t="s">
        <v>562</v>
      </c>
      <c r="S299">
        <v>2014</v>
      </c>
      <c r="T299">
        <v>1</v>
      </c>
      <c r="U299" t="s">
        <v>370</v>
      </c>
      <c r="V299" t="s">
        <v>408</v>
      </c>
      <c r="W299">
        <v>0</v>
      </c>
      <c r="X299">
        <v>0</v>
      </c>
      <c r="Y299" t="s">
        <v>408</v>
      </c>
      <c r="Z299">
        <v>2014</v>
      </c>
      <c r="AA299">
        <v>2014</v>
      </c>
      <c r="AB299" s="5">
        <v>0.50382999982599996</v>
      </c>
      <c r="AC299" s="5">
        <v>1.00765999965</v>
      </c>
      <c r="AD299" t="s">
        <v>408</v>
      </c>
      <c r="AE299" t="s">
        <v>152</v>
      </c>
      <c r="AF299" t="s">
        <v>408</v>
      </c>
      <c r="AG299" t="s">
        <v>408</v>
      </c>
      <c r="AH299" t="s">
        <v>408</v>
      </c>
      <c r="AI299" t="s">
        <v>408</v>
      </c>
      <c r="AJ299" t="s">
        <v>408</v>
      </c>
      <c r="AK299" t="s">
        <v>408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 s="58">
        <f t="shared" si="4"/>
        <v>1</v>
      </c>
      <c r="AU299" s="79">
        <v>43343</v>
      </c>
      <c r="AV299" s="78" t="s">
        <v>410</v>
      </c>
      <c r="AW299" t="s">
        <v>152</v>
      </c>
      <c r="AX299">
        <v>2</v>
      </c>
      <c r="AY299" t="s">
        <v>412</v>
      </c>
      <c r="AZ299" t="s">
        <v>408</v>
      </c>
    </row>
    <row r="300" spans="1:52" x14ac:dyDescent="0.3">
      <c r="A300">
        <v>289</v>
      </c>
      <c r="B300" t="s">
        <v>1198</v>
      </c>
      <c r="C300" t="s">
        <v>155</v>
      </c>
      <c r="D300" t="s">
        <v>1199</v>
      </c>
      <c r="E300" t="s">
        <v>460</v>
      </c>
      <c r="F300" t="s">
        <v>408</v>
      </c>
      <c r="G300">
        <v>8682</v>
      </c>
      <c r="H300">
        <v>8681</v>
      </c>
      <c r="I300" t="s">
        <v>509</v>
      </c>
      <c r="J300">
        <v>8500</v>
      </c>
      <c r="K300">
        <v>8561</v>
      </c>
      <c r="L300" t="s">
        <v>814</v>
      </c>
      <c r="M300">
        <v>4</v>
      </c>
      <c r="N300" t="s">
        <v>165</v>
      </c>
      <c r="O300" t="s">
        <v>165</v>
      </c>
      <c r="P300" t="s">
        <v>420</v>
      </c>
      <c r="Q300" t="s">
        <v>1200</v>
      </c>
      <c r="R300" t="s">
        <v>562</v>
      </c>
      <c r="S300">
        <v>2014</v>
      </c>
      <c r="T300">
        <v>12</v>
      </c>
      <c r="U300" t="s">
        <v>553</v>
      </c>
      <c r="V300" t="s">
        <v>408</v>
      </c>
      <c r="W300">
        <v>0</v>
      </c>
      <c r="X300">
        <v>0</v>
      </c>
      <c r="Y300" t="s">
        <v>408</v>
      </c>
      <c r="Z300">
        <v>2014</v>
      </c>
      <c r="AA300">
        <v>2014</v>
      </c>
      <c r="AB300" s="5">
        <v>0.22464119541200001</v>
      </c>
      <c r="AC300" s="5">
        <v>0.44928239082400001</v>
      </c>
      <c r="AD300" t="s">
        <v>408</v>
      </c>
      <c r="AE300" t="s">
        <v>152</v>
      </c>
      <c r="AF300" t="s">
        <v>408</v>
      </c>
      <c r="AG300" t="s">
        <v>408</v>
      </c>
      <c r="AH300" t="s">
        <v>408</v>
      </c>
      <c r="AI300" t="s">
        <v>408</v>
      </c>
      <c r="AJ300" t="s">
        <v>408</v>
      </c>
      <c r="AK300" t="s">
        <v>408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 s="58">
        <f t="shared" si="4"/>
        <v>1</v>
      </c>
      <c r="AU300" s="79">
        <v>43347</v>
      </c>
      <c r="AV300" s="78" t="s">
        <v>410</v>
      </c>
      <c r="AW300" t="s">
        <v>152</v>
      </c>
      <c r="AX300">
        <v>2</v>
      </c>
      <c r="AY300" t="s">
        <v>412</v>
      </c>
      <c r="AZ300" t="s">
        <v>408</v>
      </c>
    </row>
    <row r="301" spans="1:52" x14ac:dyDescent="0.3">
      <c r="A301">
        <v>290</v>
      </c>
      <c r="B301" t="s">
        <v>472</v>
      </c>
      <c r="C301" t="s">
        <v>152</v>
      </c>
      <c r="D301" t="s">
        <v>473</v>
      </c>
      <c r="E301" t="s">
        <v>460</v>
      </c>
      <c r="F301" t="s">
        <v>408</v>
      </c>
      <c r="G301">
        <v>5000</v>
      </c>
      <c r="H301">
        <v>5001</v>
      </c>
      <c r="I301" t="s">
        <v>1068</v>
      </c>
      <c r="J301">
        <v>3600</v>
      </c>
      <c r="K301">
        <v>3601</v>
      </c>
      <c r="L301" t="s">
        <v>1052</v>
      </c>
      <c r="M301">
        <v>3</v>
      </c>
      <c r="N301" t="s">
        <v>165</v>
      </c>
      <c r="O301" t="s">
        <v>165</v>
      </c>
      <c r="P301" t="s">
        <v>403</v>
      </c>
      <c r="Q301" t="s">
        <v>771</v>
      </c>
      <c r="R301" t="s">
        <v>1176</v>
      </c>
      <c r="S301">
        <v>2014</v>
      </c>
      <c r="T301">
        <v>12</v>
      </c>
      <c r="U301" t="s">
        <v>1201</v>
      </c>
      <c r="V301" t="s">
        <v>695</v>
      </c>
      <c r="W301">
        <v>2020</v>
      </c>
      <c r="X301">
        <v>0</v>
      </c>
      <c r="Y301" t="s">
        <v>370</v>
      </c>
      <c r="Z301">
        <v>2020</v>
      </c>
      <c r="AA301">
        <v>2020</v>
      </c>
      <c r="AB301" s="5">
        <v>2.0839778718800002</v>
      </c>
      <c r="AC301" s="5">
        <v>4.1679557437600003</v>
      </c>
      <c r="AD301" t="s">
        <v>408</v>
      </c>
      <c r="AE301" t="s">
        <v>152</v>
      </c>
      <c r="AF301" t="s">
        <v>408</v>
      </c>
      <c r="AG301" t="s">
        <v>408</v>
      </c>
      <c r="AH301" t="s">
        <v>408</v>
      </c>
      <c r="AI301" t="s">
        <v>408</v>
      </c>
      <c r="AJ301" t="s">
        <v>408</v>
      </c>
      <c r="AK301" t="s">
        <v>411</v>
      </c>
      <c r="AL301">
        <v>2015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s="58">
        <f t="shared" si="4"/>
        <v>1</v>
      </c>
      <c r="AU301" s="79" t="s">
        <v>431</v>
      </c>
      <c r="AV301" t="s">
        <v>410</v>
      </c>
      <c r="AW301" t="s">
        <v>152</v>
      </c>
      <c r="AX301">
        <v>2</v>
      </c>
      <c r="AY301" t="s">
        <v>412</v>
      </c>
      <c r="AZ301" t="s">
        <v>408</v>
      </c>
    </row>
    <row r="302" spans="1:52" x14ac:dyDescent="0.3">
      <c r="A302">
        <v>291</v>
      </c>
      <c r="B302" t="s">
        <v>549</v>
      </c>
      <c r="C302" t="s">
        <v>155</v>
      </c>
      <c r="D302" t="s">
        <v>330</v>
      </c>
      <c r="E302" t="s">
        <v>460</v>
      </c>
      <c r="F302" t="s">
        <v>408</v>
      </c>
      <c r="G302">
        <v>7100</v>
      </c>
      <c r="H302">
        <v>7101</v>
      </c>
      <c r="I302" t="s">
        <v>551</v>
      </c>
      <c r="J302">
        <v>6700</v>
      </c>
      <c r="K302">
        <v>6701</v>
      </c>
      <c r="L302" t="s">
        <v>1202</v>
      </c>
      <c r="M302">
        <v>3</v>
      </c>
      <c r="N302" t="s">
        <v>165</v>
      </c>
      <c r="O302" t="s">
        <v>165</v>
      </c>
      <c r="P302" t="s">
        <v>403</v>
      </c>
      <c r="Q302" t="s">
        <v>408</v>
      </c>
      <c r="R302" t="s">
        <v>942</v>
      </c>
      <c r="S302">
        <v>2015</v>
      </c>
      <c r="T302">
        <v>9</v>
      </c>
      <c r="U302" t="s">
        <v>452</v>
      </c>
      <c r="V302" t="s">
        <v>482</v>
      </c>
      <c r="W302">
        <v>2018</v>
      </c>
      <c r="X302">
        <v>8</v>
      </c>
      <c r="Y302" t="s">
        <v>370</v>
      </c>
      <c r="Z302">
        <v>2018</v>
      </c>
      <c r="AA302">
        <v>2018</v>
      </c>
      <c r="AB302" s="5">
        <v>2.1372029918000002</v>
      </c>
      <c r="AC302" s="5">
        <v>4.2744059836000003</v>
      </c>
      <c r="AD302" t="s">
        <v>408</v>
      </c>
      <c r="AE302" t="s">
        <v>152</v>
      </c>
      <c r="AF302" t="s">
        <v>408</v>
      </c>
      <c r="AG302" t="s">
        <v>408</v>
      </c>
      <c r="AH302" t="s">
        <v>408</v>
      </c>
      <c r="AI302" t="s">
        <v>408</v>
      </c>
      <c r="AJ302" t="s">
        <v>408</v>
      </c>
      <c r="AK302" t="s">
        <v>408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 s="58">
        <f t="shared" si="4"/>
        <v>1</v>
      </c>
      <c r="AU302" s="79">
        <v>43349</v>
      </c>
      <c r="AV302" s="78" t="s">
        <v>410</v>
      </c>
      <c r="AW302" t="s">
        <v>152</v>
      </c>
      <c r="AX302">
        <v>2</v>
      </c>
      <c r="AY302" t="s">
        <v>412</v>
      </c>
      <c r="AZ302" t="s">
        <v>408</v>
      </c>
    </row>
    <row r="303" spans="1:52" x14ac:dyDescent="0.3">
      <c r="A303">
        <v>292</v>
      </c>
      <c r="B303" t="s">
        <v>557</v>
      </c>
      <c r="C303" t="s">
        <v>152</v>
      </c>
      <c r="D303" t="s">
        <v>558</v>
      </c>
      <c r="E303" t="s">
        <v>460</v>
      </c>
      <c r="F303" t="s">
        <v>408</v>
      </c>
      <c r="G303">
        <v>900</v>
      </c>
      <c r="H303">
        <v>901</v>
      </c>
      <c r="I303" t="s">
        <v>1203</v>
      </c>
      <c r="J303">
        <v>1000</v>
      </c>
      <c r="K303">
        <v>1001</v>
      </c>
      <c r="L303" t="s">
        <v>698</v>
      </c>
      <c r="M303">
        <v>3</v>
      </c>
      <c r="N303" t="s">
        <v>163</v>
      </c>
      <c r="O303" t="s">
        <v>163</v>
      </c>
      <c r="P303" t="s">
        <v>414</v>
      </c>
      <c r="Q303" t="s">
        <v>408</v>
      </c>
      <c r="R303" t="s">
        <v>942</v>
      </c>
      <c r="S303">
        <v>2015</v>
      </c>
      <c r="T303">
        <v>8</v>
      </c>
      <c r="U303" t="s">
        <v>408</v>
      </c>
      <c r="V303" t="s">
        <v>487</v>
      </c>
      <c r="W303">
        <v>2020</v>
      </c>
      <c r="X303">
        <v>0</v>
      </c>
      <c r="Y303" t="s">
        <v>408</v>
      </c>
      <c r="Z303">
        <v>2020</v>
      </c>
      <c r="AA303">
        <v>0</v>
      </c>
      <c r="AB303" s="5">
        <v>0.16431674749799999</v>
      </c>
      <c r="AC303" s="5">
        <v>0.32863349499599998</v>
      </c>
      <c r="AD303" t="s">
        <v>408</v>
      </c>
      <c r="AE303" t="s">
        <v>152</v>
      </c>
      <c r="AF303" t="s">
        <v>408</v>
      </c>
      <c r="AG303" t="s">
        <v>408</v>
      </c>
      <c r="AH303" t="s">
        <v>152</v>
      </c>
      <c r="AI303" t="s">
        <v>470</v>
      </c>
      <c r="AJ303" t="s">
        <v>411</v>
      </c>
      <c r="AK303" t="s">
        <v>411</v>
      </c>
      <c r="AL303">
        <v>2017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 s="58">
        <f t="shared" si="4"/>
        <v>1</v>
      </c>
      <c r="AU303" s="79" t="s">
        <v>488</v>
      </c>
      <c r="AV303" t="s">
        <v>410</v>
      </c>
      <c r="AW303" t="s">
        <v>411</v>
      </c>
      <c r="AX303">
        <v>1</v>
      </c>
      <c r="AY303" t="s">
        <v>412</v>
      </c>
      <c r="AZ303" t="s">
        <v>408</v>
      </c>
    </row>
    <row r="304" spans="1:52" x14ac:dyDescent="0.3">
      <c r="A304">
        <v>293</v>
      </c>
      <c r="B304" t="s">
        <v>1001</v>
      </c>
      <c r="C304" t="s">
        <v>155</v>
      </c>
      <c r="D304" t="s">
        <v>1002</v>
      </c>
      <c r="E304" t="s">
        <v>460</v>
      </c>
      <c r="F304" t="s">
        <v>408</v>
      </c>
      <c r="G304">
        <v>11258</v>
      </c>
      <c r="H304">
        <v>11259</v>
      </c>
      <c r="I304" t="s">
        <v>1204</v>
      </c>
      <c r="J304">
        <v>9500</v>
      </c>
      <c r="K304">
        <v>9501</v>
      </c>
      <c r="L304" t="s">
        <v>696</v>
      </c>
      <c r="M304">
        <v>2</v>
      </c>
      <c r="N304" t="s">
        <v>165</v>
      </c>
      <c r="O304" t="s">
        <v>165</v>
      </c>
      <c r="P304" t="s">
        <v>420</v>
      </c>
      <c r="Q304" t="s">
        <v>1205</v>
      </c>
      <c r="R304" t="s">
        <v>601</v>
      </c>
      <c r="S304">
        <v>2017</v>
      </c>
      <c r="T304">
        <v>9</v>
      </c>
      <c r="U304" t="s">
        <v>408</v>
      </c>
      <c r="V304" t="s">
        <v>408</v>
      </c>
      <c r="W304">
        <v>0</v>
      </c>
      <c r="X304">
        <v>0</v>
      </c>
      <c r="Y304" t="s">
        <v>408</v>
      </c>
      <c r="Z304">
        <v>2017</v>
      </c>
      <c r="AA304">
        <v>0</v>
      </c>
      <c r="AB304" s="5">
        <v>2.3036748145399999</v>
      </c>
      <c r="AC304" s="5">
        <v>4.6073496290799998</v>
      </c>
      <c r="AD304" t="s">
        <v>408</v>
      </c>
      <c r="AE304" t="s">
        <v>152</v>
      </c>
      <c r="AF304" t="s">
        <v>408</v>
      </c>
      <c r="AG304" t="s">
        <v>408</v>
      </c>
      <c r="AH304" t="s">
        <v>408</v>
      </c>
      <c r="AI304" t="s">
        <v>408</v>
      </c>
      <c r="AJ304" t="s">
        <v>408</v>
      </c>
      <c r="AK304" t="s">
        <v>408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 s="58">
        <f t="shared" si="4"/>
        <v>1</v>
      </c>
      <c r="AU304" s="79">
        <v>43347</v>
      </c>
      <c r="AV304" s="78" t="s">
        <v>410</v>
      </c>
      <c r="AW304" t="s">
        <v>1206</v>
      </c>
      <c r="AX304">
        <v>2</v>
      </c>
      <c r="AY304" t="s">
        <v>412</v>
      </c>
      <c r="AZ304" t="s">
        <v>408</v>
      </c>
    </row>
    <row r="305" spans="1:52" x14ac:dyDescent="0.3">
      <c r="A305">
        <v>294</v>
      </c>
      <c r="B305" t="s">
        <v>898</v>
      </c>
      <c r="C305" t="s">
        <v>154</v>
      </c>
      <c r="D305" t="s">
        <v>899</v>
      </c>
      <c r="E305" t="s">
        <v>417</v>
      </c>
      <c r="F305" t="s">
        <v>408</v>
      </c>
      <c r="G305">
        <v>2531</v>
      </c>
      <c r="H305">
        <v>2532</v>
      </c>
      <c r="I305" t="s">
        <v>960</v>
      </c>
      <c r="J305">
        <v>2401</v>
      </c>
      <c r="K305">
        <v>2400</v>
      </c>
      <c r="L305" t="s">
        <v>576</v>
      </c>
      <c r="M305">
        <v>2</v>
      </c>
      <c r="N305" t="s">
        <v>167</v>
      </c>
      <c r="O305" t="s">
        <v>167</v>
      </c>
      <c r="P305" t="s">
        <v>420</v>
      </c>
      <c r="Q305" t="s">
        <v>408</v>
      </c>
      <c r="R305" t="s">
        <v>497</v>
      </c>
      <c r="S305">
        <v>2002</v>
      </c>
      <c r="T305">
        <v>6</v>
      </c>
      <c r="U305" t="s">
        <v>408</v>
      </c>
      <c r="V305" t="s">
        <v>511</v>
      </c>
      <c r="W305">
        <v>2018</v>
      </c>
      <c r="X305">
        <v>6</v>
      </c>
      <c r="Y305" t="s">
        <v>408</v>
      </c>
      <c r="Z305">
        <v>2018</v>
      </c>
      <c r="AA305">
        <v>0</v>
      </c>
      <c r="AB305" s="5">
        <v>0.24064014770100001</v>
      </c>
      <c r="AC305" s="5">
        <v>0.48128029540200001</v>
      </c>
      <c r="AD305" t="s">
        <v>408</v>
      </c>
      <c r="AE305" t="s">
        <v>152</v>
      </c>
      <c r="AF305" t="s">
        <v>408</v>
      </c>
      <c r="AG305" t="s">
        <v>408</v>
      </c>
      <c r="AH305" t="s">
        <v>408</v>
      </c>
      <c r="AI305" t="s">
        <v>408</v>
      </c>
      <c r="AJ305" t="s">
        <v>408</v>
      </c>
      <c r="AK305" t="s">
        <v>408</v>
      </c>
      <c r="AL305">
        <v>0</v>
      </c>
      <c r="AM305">
        <v>0</v>
      </c>
      <c r="AN305">
        <v>0</v>
      </c>
      <c r="AO305">
        <v>0.4</v>
      </c>
      <c r="AP305">
        <v>0</v>
      </c>
      <c r="AQ305">
        <v>0</v>
      </c>
      <c r="AR305">
        <v>0</v>
      </c>
      <c r="AS305">
        <v>0.6</v>
      </c>
      <c r="AT305" s="58">
        <f t="shared" si="4"/>
        <v>1</v>
      </c>
      <c r="AU305" s="79">
        <v>43343</v>
      </c>
      <c r="AV305" t="s">
        <v>410</v>
      </c>
      <c r="AW305" t="s">
        <v>408</v>
      </c>
      <c r="AX305">
        <v>2</v>
      </c>
      <c r="AY305" t="s">
        <v>412</v>
      </c>
      <c r="AZ305" t="s">
        <v>408</v>
      </c>
    </row>
    <row r="306" spans="1:52" x14ac:dyDescent="0.3">
      <c r="A306">
        <v>295</v>
      </c>
      <c r="B306" t="s">
        <v>598</v>
      </c>
      <c r="C306" t="s">
        <v>155</v>
      </c>
      <c r="D306" t="s">
        <v>599</v>
      </c>
      <c r="E306" t="s">
        <v>460</v>
      </c>
      <c r="F306" t="s">
        <v>408</v>
      </c>
      <c r="G306">
        <v>8401</v>
      </c>
      <c r="H306">
        <v>8400</v>
      </c>
      <c r="I306" t="s">
        <v>814</v>
      </c>
      <c r="J306">
        <v>8463</v>
      </c>
      <c r="K306">
        <v>8462</v>
      </c>
      <c r="L306" t="s">
        <v>1207</v>
      </c>
      <c r="M306">
        <v>3</v>
      </c>
      <c r="N306" t="s">
        <v>165</v>
      </c>
      <c r="O306" t="s">
        <v>165</v>
      </c>
      <c r="P306" t="s">
        <v>420</v>
      </c>
      <c r="Q306" t="s">
        <v>987</v>
      </c>
      <c r="R306" t="s">
        <v>556</v>
      </c>
      <c r="S306">
        <v>2013</v>
      </c>
      <c r="T306">
        <v>9</v>
      </c>
      <c r="U306" t="s">
        <v>370</v>
      </c>
      <c r="V306" t="s">
        <v>511</v>
      </c>
      <c r="W306">
        <v>2018</v>
      </c>
      <c r="X306">
        <v>8</v>
      </c>
      <c r="Y306" t="s">
        <v>408</v>
      </c>
      <c r="Z306">
        <v>2018</v>
      </c>
      <c r="AA306">
        <v>2013</v>
      </c>
      <c r="AB306" s="5">
        <v>0.30268575591000002</v>
      </c>
      <c r="AC306" s="5">
        <v>0.60537151182000004</v>
      </c>
      <c r="AD306" t="s">
        <v>408</v>
      </c>
      <c r="AE306" t="s">
        <v>152</v>
      </c>
      <c r="AF306" t="s">
        <v>408</v>
      </c>
      <c r="AG306" t="s">
        <v>408</v>
      </c>
      <c r="AH306" t="s">
        <v>408</v>
      </c>
      <c r="AI306" t="s">
        <v>408</v>
      </c>
      <c r="AJ306" t="s">
        <v>408</v>
      </c>
      <c r="AK306" t="s">
        <v>408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 s="58">
        <f t="shared" si="4"/>
        <v>1</v>
      </c>
      <c r="AU306" s="79">
        <v>43339</v>
      </c>
      <c r="AV306" s="78" t="s">
        <v>410</v>
      </c>
      <c r="AW306" t="s">
        <v>152</v>
      </c>
      <c r="AX306">
        <v>2</v>
      </c>
      <c r="AY306" t="s">
        <v>412</v>
      </c>
      <c r="AZ306" t="s">
        <v>408</v>
      </c>
    </row>
    <row r="307" spans="1:52" x14ac:dyDescent="0.3">
      <c r="A307">
        <v>296</v>
      </c>
      <c r="B307" t="s">
        <v>981</v>
      </c>
      <c r="C307" t="s">
        <v>155</v>
      </c>
      <c r="D307" t="s">
        <v>982</v>
      </c>
      <c r="E307" t="s">
        <v>460</v>
      </c>
      <c r="F307" t="s">
        <v>408</v>
      </c>
      <c r="G307">
        <v>1668</v>
      </c>
      <c r="H307">
        <v>1673</v>
      </c>
      <c r="I307" t="s">
        <v>590</v>
      </c>
      <c r="J307">
        <v>1417</v>
      </c>
      <c r="K307">
        <v>1400</v>
      </c>
      <c r="L307" t="s">
        <v>983</v>
      </c>
      <c r="M307">
        <v>4</v>
      </c>
      <c r="N307" t="s">
        <v>165</v>
      </c>
      <c r="O307" t="s">
        <v>165</v>
      </c>
      <c r="P307" t="s">
        <v>403</v>
      </c>
      <c r="Q307" t="s">
        <v>984</v>
      </c>
      <c r="R307" t="s">
        <v>662</v>
      </c>
      <c r="S307">
        <v>2015</v>
      </c>
      <c r="T307">
        <v>12</v>
      </c>
      <c r="U307" t="s">
        <v>370</v>
      </c>
      <c r="V307" t="s">
        <v>408</v>
      </c>
      <c r="W307">
        <v>0</v>
      </c>
      <c r="X307">
        <v>0</v>
      </c>
      <c r="Y307" t="s">
        <v>408</v>
      </c>
      <c r="Z307">
        <v>2015</v>
      </c>
      <c r="AA307">
        <v>2015</v>
      </c>
      <c r="AB307" s="5">
        <v>0.438890603469</v>
      </c>
      <c r="AC307" s="5">
        <v>0.87778120693799999</v>
      </c>
      <c r="AD307" t="s">
        <v>408</v>
      </c>
      <c r="AE307" t="s">
        <v>152</v>
      </c>
      <c r="AF307" t="s">
        <v>408</v>
      </c>
      <c r="AG307" t="s">
        <v>408</v>
      </c>
      <c r="AH307" t="s">
        <v>408</v>
      </c>
      <c r="AI307" t="s">
        <v>408</v>
      </c>
      <c r="AJ307" t="s">
        <v>408</v>
      </c>
      <c r="AK307" t="s">
        <v>408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 s="58">
        <f t="shared" si="4"/>
        <v>1</v>
      </c>
      <c r="AU307" s="79">
        <v>43347</v>
      </c>
      <c r="AV307" s="78" t="s">
        <v>410</v>
      </c>
      <c r="AW307" t="s">
        <v>152</v>
      </c>
      <c r="AX307">
        <v>2</v>
      </c>
      <c r="AY307" t="s">
        <v>412</v>
      </c>
      <c r="AZ307" t="s">
        <v>408</v>
      </c>
    </row>
    <row r="308" spans="1:52" x14ac:dyDescent="0.3">
      <c r="A308">
        <v>297</v>
      </c>
      <c r="B308" t="s">
        <v>1208</v>
      </c>
      <c r="C308" t="s">
        <v>155</v>
      </c>
      <c r="D308" t="s">
        <v>325</v>
      </c>
      <c r="E308" t="s">
        <v>460</v>
      </c>
      <c r="F308" t="s">
        <v>400</v>
      </c>
      <c r="G308">
        <v>10700</v>
      </c>
      <c r="H308">
        <v>10701</v>
      </c>
      <c r="I308" t="s">
        <v>1209</v>
      </c>
      <c r="J308">
        <v>10300</v>
      </c>
      <c r="K308">
        <v>10301</v>
      </c>
      <c r="L308" t="s">
        <v>1210</v>
      </c>
      <c r="M308">
        <v>4</v>
      </c>
      <c r="N308" t="s">
        <v>163</v>
      </c>
      <c r="O308" t="s">
        <v>163</v>
      </c>
      <c r="P308" t="s">
        <v>403</v>
      </c>
      <c r="Q308" t="s">
        <v>408</v>
      </c>
      <c r="R308" t="s">
        <v>782</v>
      </c>
      <c r="S308">
        <v>2021</v>
      </c>
      <c r="T308">
        <v>8</v>
      </c>
      <c r="U308" t="s">
        <v>408</v>
      </c>
      <c r="V308" t="s">
        <v>408</v>
      </c>
      <c r="W308">
        <v>0</v>
      </c>
      <c r="X308">
        <v>0</v>
      </c>
      <c r="Y308" t="s">
        <v>408</v>
      </c>
      <c r="Z308">
        <v>2021</v>
      </c>
      <c r="AA308">
        <v>2013</v>
      </c>
      <c r="AB308" s="5">
        <v>0.46882879644800002</v>
      </c>
      <c r="AC308" s="5">
        <v>0.93765759289600004</v>
      </c>
      <c r="AD308" t="s">
        <v>408</v>
      </c>
      <c r="AE308" t="s">
        <v>400</v>
      </c>
      <c r="AF308" t="s">
        <v>400</v>
      </c>
      <c r="AG308" t="s">
        <v>400</v>
      </c>
      <c r="AH308" t="s">
        <v>400</v>
      </c>
      <c r="AI308" t="s">
        <v>470</v>
      </c>
      <c r="AJ308" t="s">
        <v>400</v>
      </c>
      <c r="AK308" t="s">
        <v>408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 s="58">
        <f t="shared" si="4"/>
        <v>1</v>
      </c>
      <c r="AU308" s="79" t="s">
        <v>714</v>
      </c>
      <c r="AV308" s="78" t="s">
        <v>410</v>
      </c>
      <c r="AW308" t="s">
        <v>411</v>
      </c>
      <c r="AX308">
        <v>2</v>
      </c>
      <c r="AY308" t="s">
        <v>412</v>
      </c>
      <c r="AZ308" t="s">
        <v>408</v>
      </c>
    </row>
    <row r="309" spans="1:52" x14ac:dyDescent="0.3">
      <c r="A309">
        <v>298</v>
      </c>
      <c r="B309" t="s">
        <v>1211</v>
      </c>
      <c r="C309" t="s">
        <v>447</v>
      </c>
      <c r="D309" t="s">
        <v>899</v>
      </c>
      <c r="E309" t="s">
        <v>426</v>
      </c>
      <c r="F309" t="s">
        <v>408</v>
      </c>
      <c r="G309">
        <v>600</v>
      </c>
      <c r="H309">
        <v>601</v>
      </c>
      <c r="I309" t="s">
        <v>900</v>
      </c>
      <c r="J309">
        <v>798</v>
      </c>
      <c r="K309">
        <v>799</v>
      </c>
      <c r="L309" t="s">
        <v>1212</v>
      </c>
      <c r="M309">
        <v>2</v>
      </c>
      <c r="N309" t="s">
        <v>163</v>
      </c>
      <c r="O309" t="s">
        <v>163</v>
      </c>
      <c r="P309" t="s">
        <v>420</v>
      </c>
      <c r="Q309" t="s">
        <v>408</v>
      </c>
      <c r="R309" t="s">
        <v>445</v>
      </c>
      <c r="S309">
        <v>2012</v>
      </c>
      <c r="T309">
        <v>10</v>
      </c>
      <c r="U309" t="s">
        <v>1213</v>
      </c>
      <c r="V309" t="s">
        <v>645</v>
      </c>
      <c r="W309">
        <v>2017</v>
      </c>
      <c r="X309">
        <v>9</v>
      </c>
      <c r="Y309" t="s">
        <v>408</v>
      </c>
      <c r="Z309">
        <v>2017</v>
      </c>
      <c r="AA309">
        <v>0</v>
      </c>
      <c r="AB309" s="5">
        <v>0.11227912769499999</v>
      </c>
      <c r="AC309" s="5">
        <v>0.22455825538999999</v>
      </c>
      <c r="AD309" t="s">
        <v>400</v>
      </c>
      <c r="AE309" t="s">
        <v>152</v>
      </c>
      <c r="AF309" t="s">
        <v>400</v>
      </c>
      <c r="AG309" t="s">
        <v>400</v>
      </c>
      <c r="AH309" t="s">
        <v>400</v>
      </c>
      <c r="AI309" t="s">
        <v>456</v>
      </c>
      <c r="AJ309" t="s">
        <v>400</v>
      </c>
      <c r="AK309" t="s">
        <v>411</v>
      </c>
      <c r="AL309">
        <v>2017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 s="58">
        <f t="shared" si="4"/>
        <v>1</v>
      </c>
      <c r="AU309" s="79" t="s">
        <v>602</v>
      </c>
      <c r="AV309" s="78" t="s">
        <v>410</v>
      </c>
      <c r="AW309" t="s">
        <v>411</v>
      </c>
      <c r="AX309">
        <v>1</v>
      </c>
      <c r="AY309" t="s">
        <v>412</v>
      </c>
      <c r="AZ309" t="s">
        <v>408</v>
      </c>
    </row>
    <row r="310" spans="1:52" x14ac:dyDescent="0.3">
      <c r="A310">
        <v>299</v>
      </c>
      <c r="B310" t="s">
        <v>1214</v>
      </c>
      <c r="C310" t="s">
        <v>447</v>
      </c>
      <c r="D310" t="s">
        <v>904</v>
      </c>
      <c r="E310" t="s">
        <v>466</v>
      </c>
      <c r="F310" t="s">
        <v>408</v>
      </c>
      <c r="G310">
        <v>100</v>
      </c>
      <c r="H310">
        <v>101</v>
      </c>
      <c r="I310" t="s">
        <v>905</v>
      </c>
      <c r="J310">
        <v>346</v>
      </c>
      <c r="K310">
        <v>347</v>
      </c>
      <c r="L310" t="s">
        <v>1215</v>
      </c>
      <c r="M310">
        <v>4</v>
      </c>
      <c r="N310" t="s">
        <v>170</v>
      </c>
      <c r="O310" t="s">
        <v>170</v>
      </c>
      <c r="P310" t="s">
        <v>420</v>
      </c>
      <c r="Q310" t="s">
        <v>408</v>
      </c>
      <c r="R310" t="s">
        <v>493</v>
      </c>
      <c r="S310">
        <v>2007</v>
      </c>
      <c r="T310">
        <v>7</v>
      </c>
      <c r="U310" t="s">
        <v>408</v>
      </c>
      <c r="V310" t="s">
        <v>778</v>
      </c>
      <c r="W310">
        <v>2014</v>
      </c>
      <c r="X310">
        <v>6</v>
      </c>
      <c r="Y310" t="s">
        <v>370</v>
      </c>
      <c r="Z310">
        <v>2014</v>
      </c>
      <c r="AA310">
        <v>2014</v>
      </c>
      <c r="AB310" s="5">
        <v>0.30666602472999999</v>
      </c>
      <c r="AC310" s="5">
        <v>0.61333204945999997</v>
      </c>
      <c r="AD310" t="s">
        <v>408</v>
      </c>
      <c r="AE310" t="s">
        <v>152</v>
      </c>
      <c r="AF310" t="s">
        <v>408</v>
      </c>
      <c r="AG310" t="s">
        <v>408</v>
      </c>
      <c r="AH310" t="s">
        <v>408</v>
      </c>
      <c r="AI310" t="s">
        <v>408</v>
      </c>
      <c r="AJ310" t="s">
        <v>408</v>
      </c>
      <c r="AK310" t="s">
        <v>408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 s="58">
        <f t="shared" si="4"/>
        <v>1</v>
      </c>
      <c r="AU310" s="79">
        <v>43343</v>
      </c>
      <c r="AV310" t="s">
        <v>410</v>
      </c>
      <c r="AW310" t="s">
        <v>408</v>
      </c>
      <c r="AX310">
        <v>3</v>
      </c>
      <c r="AY310" t="s">
        <v>412</v>
      </c>
      <c r="AZ310" t="s">
        <v>408</v>
      </c>
    </row>
    <row r="311" spans="1:52" x14ac:dyDescent="0.3">
      <c r="A311">
        <v>300</v>
      </c>
      <c r="B311" t="s">
        <v>850</v>
      </c>
      <c r="C311" t="s">
        <v>152</v>
      </c>
      <c r="D311" t="s">
        <v>851</v>
      </c>
      <c r="E311" t="s">
        <v>466</v>
      </c>
      <c r="F311" t="s">
        <v>408</v>
      </c>
      <c r="G311">
        <v>6800</v>
      </c>
      <c r="H311">
        <v>6801</v>
      </c>
      <c r="I311" t="s">
        <v>1216</v>
      </c>
      <c r="J311">
        <v>7429</v>
      </c>
      <c r="K311">
        <v>7430</v>
      </c>
      <c r="L311" t="s">
        <v>852</v>
      </c>
      <c r="M311">
        <v>4</v>
      </c>
      <c r="N311" t="s">
        <v>170</v>
      </c>
      <c r="O311" t="s">
        <v>170</v>
      </c>
      <c r="P311" t="s">
        <v>420</v>
      </c>
      <c r="Q311" t="s">
        <v>408</v>
      </c>
      <c r="R311" t="s">
        <v>547</v>
      </c>
      <c r="S311">
        <v>2011</v>
      </c>
      <c r="T311">
        <v>9</v>
      </c>
      <c r="U311" t="s">
        <v>408</v>
      </c>
      <c r="V311" t="s">
        <v>513</v>
      </c>
      <c r="W311">
        <v>2014</v>
      </c>
      <c r="X311">
        <v>5</v>
      </c>
      <c r="Y311" t="s">
        <v>370</v>
      </c>
      <c r="Z311">
        <v>2014</v>
      </c>
      <c r="AA311">
        <v>2014</v>
      </c>
      <c r="AB311" s="5">
        <v>0.80572599229599995</v>
      </c>
      <c r="AC311" s="5">
        <v>1.6114519845899999</v>
      </c>
      <c r="AD311" t="s">
        <v>408</v>
      </c>
      <c r="AE311" t="s">
        <v>152</v>
      </c>
      <c r="AF311" t="s">
        <v>408</v>
      </c>
      <c r="AG311" t="s">
        <v>408</v>
      </c>
      <c r="AH311" t="s">
        <v>408</v>
      </c>
      <c r="AI311" t="s">
        <v>408</v>
      </c>
      <c r="AJ311" t="s">
        <v>408</v>
      </c>
      <c r="AK311" t="s">
        <v>408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s="58">
        <f t="shared" si="4"/>
        <v>1</v>
      </c>
      <c r="AU311" s="79">
        <v>43726</v>
      </c>
      <c r="AV311" t="s">
        <v>410</v>
      </c>
      <c r="AW311" t="s">
        <v>408</v>
      </c>
      <c r="AX311">
        <v>2</v>
      </c>
      <c r="AY311" t="s">
        <v>412</v>
      </c>
      <c r="AZ311" t="s">
        <v>408</v>
      </c>
    </row>
    <row r="312" spans="1:52" x14ac:dyDescent="0.3">
      <c r="A312">
        <v>301</v>
      </c>
      <c r="B312" t="s">
        <v>1026</v>
      </c>
      <c r="C312" t="s">
        <v>155</v>
      </c>
      <c r="D312" t="s">
        <v>881</v>
      </c>
      <c r="E312" t="s">
        <v>460</v>
      </c>
      <c r="F312" t="s">
        <v>408</v>
      </c>
      <c r="G312">
        <v>429</v>
      </c>
      <c r="H312">
        <v>434</v>
      </c>
      <c r="I312" t="s">
        <v>747</v>
      </c>
      <c r="J312">
        <v>355</v>
      </c>
      <c r="K312">
        <v>400</v>
      </c>
      <c r="L312" t="s">
        <v>1217</v>
      </c>
      <c r="M312">
        <v>3</v>
      </c>
      <c r="N312" t="s">
        <v>167</v>
      </c>
      <c r="O312" t="s">
        <v>167</v>
      </c>
      <c r="P312" t="s">
        <v>420</v>
      </c>
      <c r="Q312" t="s">
        <v>408</v>
      </c>
      <c r="R312" t="s">
        <v>976</v>
      </c>
      <c r="S312">
        <v>2000</v>
      </c>
      <c r="T312">
        <v>7</v>
      </c>
      <c r="U312" t="s">
        <v>408</v>
      </c>
      <c r="V312" t="s">
        <v>482</v>
      </c>
      <c r="W312">
        <v>2018</v>
      </c>
      <c r="X312">
        <v>9</v>
      </c>
      <c r="Y312" t="s">
        <v>370</v>
      </c>
      <c r="Z312">
        <v>2018</v>
      </c>
      <c r="AA312">
        <v>2018</v>
      </c>
      <c r="AB312" s="5">
        <v>8.2210171313500002E-2</v>
      </c>
      <c r="AC312" s="5">
        <v>0.164420342627</v>
      </c>
      <c r="AD312" t="s">
        <v>408</v>
      </c>
      <c r="AE312" t="s">
        <v>152</v>
      </c>
      <c r="AF312" t="s">
        <v>408</v>
      </c>
      <c r="AG312" t="s">
        <v>408</v>
      </c>
      <c r="AH312" t="s">
        <v>408</v>
      </c>
      <c r="AI312" t="s">
        <v>408</v>
      </c>
      <c r="AJ312" t="s">
        <v>408</v>
      </c>
      <c r="AK312" t="s">
        <v>408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s="58">
        <f t="shared" si="4"/>
        <v>1</v>
      </c>
      <c r="AU312" s="79">
        <v>43343</v>
      </c>
      <c r="AV312" s="78" t="s">
        <v>410</v>
      </c>
      <c r="AW312" t="s">
        <v>408</v>
      </c>
      <c r="AX312">
        <v>2</v>
      </c>
      <c r="AY312" t="s">
        <v>412</v>
      </c>
      <c r="AZ312" t="s">
        <v>408</v>
      </c>
    </row>
    <row r="313" spans="1:52" x14ac:dyDescent="0.3">
      <c r="A313">
        <v>302</v>
      </c>
      <c r="B313" t="s">
        <v>1218</v>
      </c>
      <c r="C313" t="s">
        <v>155</v>
      </c>
      <c r="D313" t="s">
        <v>655</v>
      </c>
      <c r="E313" t="s">
        <v>1219</v>
      </c>
      <c r="F313" t="s">
        <v>408</v>
      </c>
      <c r="G313">
        <v>1349</v>
      </c>
      <c r="H313">
        <v>1358</v>
      </c>
      <c r="I313" t="s">
        <v>656</v>
      </c>
      <c r="J313">
        <v>1346</v>
      </c>
      <c r="K313">
        <v>1347</v>
      </c>
      <c r="L313" t="s">
        <v>1220</v>
      </c>
      <c r="M313">
        <v>3</v>
      </c>
      <c r="N313" t="s">
        <v>163</v>
      </c>
      <c r="O313" t="s">
        <v>163</v>
      </c>
      <c r="P313" t="s">
        <v>403</v>
      </c>
      <c r="Q313" t="s">
        <v>408</v>
      </c>
      <c r="R313" t="s">
        <v>657</v>
      </c>
      <c r="S313">
        <v>2021</v>
      </c>
      <c r="T313">
        <v>11</v>
      </c>
      <c r="U313" t="s">
        <v>408</v>
      </c>
      <c r="V313" t="s">
        <v>1221</v>
      </c>
      <c r="W313">
        <v>2015</v>
      </c>
      <c r="X313">
        <v>11</v>
      </c>
      <c r="Y313" t="s">
        <v>408</v>
      </c>
      <c r="Z313">
        <v>2021</v>
      </c>
      <c r="AA313">
        <v>2015</v>
      </c>
      <c r="AB313" s="5">
        <v>7.7743956283599994E-2</v>
      </c>
      <c r="AC313" s="5">
        <v>0.15548791256700001</v>
      </c>
      <c r="AD313" t="s">
        <v>408</v>
      </c>
      <c r="AE313" t="s">
        <v>152</v>
      </c>
      <c r="AF313" t="s">
        <v>400</v>
      </c>
      <c r="AG313" t="s">
        <v>400</v>
      </c>
      <c r="AH313" t="s">
        <v>400</v>
      </c>
      <c r="AI313" t="s">
        <v>470</v>
      </c>
      <c r="AJ313" t="s">
        <v>400</v>
      </c>
      <c r="AK313" t="s">
        <v>400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 s="58">
        <f t="shared" si="4"/>
        <v>1</v>
      </c>
      <c r="AU313" s="79" t="s">
        <v>658</v>
      </c>
      <c r="AV313" t="s">
        <v>410</v>
      </c>
      <c r="AW313" t="s">
        <v>411</v>
      </c>
      <c r="AX313">
        <v>2</v>
      </c>
      <c r="AY313" t="s">
        <v>412</v>
      </c>
      <c r="AZ313" t="s">
        <v>408</v>
      </c>
    </row>
    <row r="314" spans="1:52" x14ac:dyDescent="0.3">
      <c r="A314">
        <v>303</v>
      </c>
      <c r="B314" t="s">
        <v>641</v>
      </c>
      <c r="C314" t="s">
        <v>152</v>
      </c>
      <c r="D314" t="s">
        <v>642</v>
      </c>
      <c r="E314" t="s">
        <v>460</v>
      </c>
      <c r="F314" t="s">
        <v>400</v>
      </c>
      <c r="G314">
        <v>1200</v>
      </c>
      <c r="H314">
        <v>1201</v>
      </c>
      <c r="I314" t="s">
        <v>699</v>
      </c>
      <c r="J314">
        <v>1598</v>
      </c>
      <c r="K314">
        <v>1599</v>
      </c>
      <c r="L314" t="s">
        <v>502</v>
      </c>
      <c r="M314">
        <v>3</v>
      </c>
      <c r="N314" t="s">
        <v>163</v>
      </c>
      <c r="O314" t="s">
        <v>163</v>
      </c>
      <c r="P314" t="s">
        <v>420</v>
      </c>
      <c r="Q314" t="s">
        <v>1222</v>
      </c>
      <c r="R314" t="s">
        <v>1143</v>
      </c>
      <c r="S314">
        <v>2015</v>
      </c>
      <c r="T314">
        <v>8</v>
      </c>
      <c r="U314" t="s">
        <v>1223</v>
      </c>
      <c r="V314" t="s">
        <v>866</v>
      </c>
      <c r="W314">
        <v>2021</v>
      </c>
      <c r="X314">
        <v>6</v>
      </c>
      <c r="Y314" t="s">
        <v>408</v>
      </c>
      <c r="Z314">
        <v>2021</v>
      </c>
      <c r="AA314">
        <v>2021</v>
      </c>
      <c r="AB314" s="5">
        <v>0.61839771211500005</v>
      </c>
      <c r="AC314" s="5">
        <v>1.2367954242300001</v>
      </c>
      <c r="AD314" t="s">
        <v>400</v>
      </c>
      <c r="AE314" t="s">
        <v>152</v>
      </c>
      <c r="AF314" t="s">
        <v>400</v>
      </c>
      <c r="AG314" t="s">
        <v>400</v>
      </c>
      <c r="AH314" t="s">
        <v>152</v>
      </c>
      <c r="AI314" t="s">
        <v>438</v>
      </c>
      <c r="AJ314" t="s">
        <v>400</v>
      </c>
      <c r="AK314" t="s">
        <v>408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 s="58">
        <f t="shared" si="4"/>
        <v>1</v>
      </c>
      <c r="AU314" s="79" t="s">
        <v>457</v>
      </c>
      <c r="AV314" s="78" t="s">
        <v>410</v>
      </c>
      <c r="AW314" t="s">
        <v>411</v>
      </c>
      <c r="AX314">
        <v>1</v>
      </c>
      <c r="AY314" t="s">
        <v>412</v>
      </c>
      <c r="AZ314">
        <v>30</v>
      </c>
    </row>
    <row r="315" spans="1:52" x14ac:dyDescent="0.3">
      <c r="A315">
        <v>304</v>
      </c>
      <c r="B315" t="s">
        <v>974</v>
      </c>
      <c r="C315" t="s">
        <v>154</v>
      </c>
      <c r="D315" t="s">
        <v>975</v>
      </c>
      <c r="E315" t="s">
        <v>460</v>
      </c>
      <c r="F315" t="s">
        <v>408</v>
      </c>
      <c r="G315">
        <v>2001</v>
      </c>
      <c r="H315">
        <v>2000</v>
      </c>
      <c r="I315" t="s">
        <v>435</v>
      </c>
      <c r="J315">
        <v>2401</v>
      </c>
      <c r="K315">
        <v>2400</v>
      </c>
      <c r="L315" t="s">
        <v>619</v>
      </c>
      <c r="M315">
        <v>3</v>
      </c>
      <c r="N315" t="s">
        <v>165</v>
      </c>
      <c r="O315" t="s">
        <v>165</v>
      </c>
      <c r="P315" t="s">
        <v>403</v>
      </c>
      <c r="Q315" t="s">
        <v>1224</v>
      </c>
      <c r="R315" t="s">
        <v>562</v>
      </c>
      <c r="S315">
        <v>2014</v>
      </c>
      <c r="T315">
        <v>10</v>
      </c>
      <c r="U315" t="s">
        <v>370</v>
      </c>
      <c r="V315" t="s">
        <v>487</v>
      </c>
      <c r="W315">
        <v>2020</v>
      </c>
      <c r="X315">
        <v>0</v>
      </c>
      <c r="Y315" t="s">
        <v>408</v>
      </c>
      <c r="Z315">
        <v>2020</v>
      </c>
      <c r="AA315">
        <v>2014</v>
      </c>
      <c r="AB315" s="5">
        <v>0.50475034218500003</v>
      </c>
      <c r="AC315" s="5">
        <v>1.0095006843700001</v>
      </c>
      <c r="AD315" t="s">
        <v>408</v>
      </c>
      <c r="AE315" t="s">
        <v>152</v>
      </c>
      <c r="AF315" t="s">
        <v>408</v>
      </c>
      <c r="AG315" t="s">
        <v>408</v>
      </c>
      <c r="AH315" t="s">
        <v>408</v>
      </c>
      <c r="AI315" t="s">
        <v>408</v>
      </c>
      <c r="AJ315" t="s">
        <v>408</v>
      </c>
      <c r="AK315" t="s">
        <v>408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 s="58">
        <f t="shared" si="4"/>
        <v>1</v>
      </c>
      <c r="AU315" s="79" t="s">
        <v>592</v>
      </c>
      <c r="AV315" s="78" t="s">
        <v>410</v>
      </c>
      <c r="AW315" t="s">
        <v>152</v>
      </c>
      <c r="AX315">
        <v>2</v>
      </c>
      <c r="AY315" t="s">
        <v>412</v>
      </c>
      <c r="AZ315" t="s">
        <v>408</v>
      </c>
    </row>
    <row r="316" spans="1:52" x14ac:dyDescent="0.3">
      <c r="A316">
        <v>305</v>
      </c>
      <c r="B316" t="s">
        <v>598</v>
      </c>
      <c r="C316" t="s">
        <v>155</v>
      </c>
      <c r="D316" t="s">
        <v>599</v>
      </c>
      <c r="E316" t="s">
        <v>460</v>
      </c>
      <c r="F316" t="s">
        <v>408</v>
      </c>
      <c r="G316">
        <v>10301</v>
      </c>
      <c r="H316">
        <v>10300</v>
      </c>
      <c r="I316" t="s">
        <v>985</v>
      </c>
      <c r="J316">
        <v>10501</v>
      </c>
      <c r="K316">
        <v>10500</v>
      </c>
      <c r="L316" t="s">
        <v>1225</v>
      </c>
      <c r="M316">
        <v>3</v>
      </c>
      <c r="N316" t="s">
        <v>165</v>
      </c>
      <c r="O316" t="s">
        <v>165</v>
      </c>
      <c r="P316" t="s">
        <v>403</v>
      </c>
      <c r="Q316" t="s">
        <v>1226</v>
      </c>
      <c r="R316" t="s">
        <v>1227</v>
      </c>
      <c r="S316">
        <v>2015</v>
      </c>
      <c r="T316">
        <v>5</v>
      </c>
      <c r="U316" t="s">
        <v>408</v>
      </c>
      <c r="V316" t="s">
        <v>487</v>
      </c>
      <c r="W316">
        <v>2020</v>
      </c>
      <c r="X316">
        <v>0</v>
      </c>
      <c r="Y316" t="s">
        <v>408</v>
      </c>
      <c r="Z316">
        <v>2020</v>
      </c>
      <c r="AA316">
        <v>2003</v>
      </c>
      <c r="AB316" s="5">
        <v>0.26219472779899999</v>
      </c>
      <c r="AC316" s="5">
        <v>0.52438945559799999</v>
      </c>
      <c r="AD316" t="s">
        <v>408</v>
      </c>
      <c r="AE316" t="s">
        <v>152</v>
      </c>
      <c r="AF316" t="s">
        <v>408</v>
      </c>
      <c r="AG316" t="s">
        <v>408</v>
      </c>
      <c r="AH316" t="s">
        <v>408</v>
      </c>
      <c r="AI316" t="s">
        <v>408</v>
      </c>
      <c r="AJ316" t="s">
        <v>408</v>
      </c>
      <c r="AK316" t="s">
        <v>408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s="58">
        <f t="shared" si="4"/>
        <v>1</v>
      </c>
      <c r="AU316" s="79" t="s">
        <v>592</v>
      </c>
      <c r="AV316" s="78" t="s">
        <v>410</v>
      </c>
      <c r="AW316" t="s">
        <v>411</v>
      </c>
      <c r="AX316">
        <v>2</v>
      </c>
      <c r="AY316" t="s">
        <v>412</v>
      </c>
      <c r="AZ316" t="s">
        <v>408</v>
      </c>
    </row>
    <row r="317" spans="1:52" x14ac:dyDescent="0.3">
      <c r="A317">
        <v>306</v>
      </c>
      <c r="B317" t="s">
        <v>1228</v>
      </c>
      <c r="C317" t="s">
        <v>152</v>
      </c>
      <c r="D317" t="s">
        <v>1229</v>
      </c>
      <c r="E317" t="s">
        <v>417</v>
      </c>
      <c r="F317" t="s">
        <v>408</v>
      </c>
      <c r="G317">
        <v>1000</v>
      </c>
      <c r="H317">
        <v>1001</v>
      </c>
      <c r="I317" t="s">
        <v>1125</v>
      </c>
      <c r="J317">
        <v>1398</v>
      </c>
      <c r="K317">
        <v>1399</v>
      </c>
      <c r="L317" t="s">
        <v>474</v>
      </c>
      <c r="M317">
        <v>4</v>
      </c>
      <c r="N317" t="s">
        <v>168</v>
      </c>
      <c r="O317" t="s">
        <v>170</v>
      </c>
      <c r="P317" t="s">
        <v>420</v>
      </c>
      <c r="Q317" t="s">
        <v>1230</v>
      </c>
      <c r="R317" t="s">
        <v>547</v>
      </c>
      <c r="S317">
        <v>2014</v>
      </c>
      <c r="T317">
        <v>6</v>
      </c>
      <c r="U317" t="s">
        <v>1231</v>
      </c>
      <c r="V317" t="s">
        <v>407</v>
      </c>
      <c r="W317">
        <v>2020</v>
      </c>
      <c r="X317">
        <v>0</v>
      </c>
      <c r="Y317" t="s">
        <v>408</v>
      </c>
      <c r="Z317">
        <v>2020</v>
      </c>
      <c r="AA317">
        <v>0</v>
      </c>
      <c r="AB317" s="5">
        <v>0.58105661982500001</v>
      </c>
      <c r="AC317" s="5">
        <v>1.16211323965</v>
      </c>
      <c r="AD317" t="s">
        <v>1232</v>
      </c>
      <c r="AE317" t="s">
        <v>152</v>
      </c>
      <c r="AF317" t="s">
        <v>408</v>
      </c>
      <c r="AG317" t="s">
        <v>408</v>
      </c>
      <c r="AH317" t="s">
        <v>408</v>
      </c>
      <c r="AI317" t="s">
        <v>408</v>
      </c>
      <c r="AJ317" t="s">
        <v>408</v>
      </c>
      <c r="AK317" t="s">
        <v>408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 s="58">
        <f t="shared" si="4"/>
        <v>1</v>
      </c>
      <c r="AU317" s="79" t="s">
        <v>431</v>
      </c>
      <c r="AV317" t="s">
        <v>410</v>
      </c>
      <c r="AW317" t="s">
        <v>408</v>
      </c>
      <c r="AX317">
        <v>3</v>
      </c>
      <c r="AY317" t="s">
        <v>17</v>
      </c>
      <c r="AZ317" t="s">
        <v>408</v>
      </c>
    </row>
    <row r="318" spans="1:52" x14ac:dyDescent="0.3">
      <c r="A318">
        <v>307</v>
      </c>
      <c r="B318" t="s">
        <v>477</v>
      </c>
      <c r="C318" t="s">
        <v>155</v>
      </c>
      <c r="D318" t="s">
        <v>478</v>
      </c>
      <c r="E318" t="s">
        <v>417</v>
      </c>
      <c r="F318" t="s">
        <v>408</v>
      </c>
      <c r="G318">
        <v>3059</v>
      </c>
      <c r="H318">
        <v>3058</v>
      </c>
      <c r="I318" t="s">
        <v>968</v>
      </c>
      <c r="J318">
        <v>2601</v>
      </c>
      <c r="K318">
        <v>2600</v>
      </c>
      <c r="L318" t="s">
        <v>961</v>
      </c>
      <c r="M318">
        <v>2</v>
      </c>
      <c r="N318" t="s">
        <v>165</v>
      </c>
      <c r="O318" t="s">
        <v>165</v>
      </c>
      <c r="P318" t="s">
        <v>403</v>
      </c>
      <c r="Q318" t="s">
        <v>408</v>
      </c>
      <c r="R318" t="s">
        <v>703</v>
      </c>
      <c r="S318">
        <v>2014</v>
      </c>
      <c r="T318">
        <v>5</v>
      </c>
      <c r="U318" t="s">
        <v>408</v>
      </c>
      <c r="V318" t="s">
        <v>662</v>
      </c>
      <c r="W318">
        <v>2016</v>
      </c>
      <c r="X318">
        <v>6</v>
      </c>
      <c r="Y318" t="s">
        <v>370</v>
      </c>
      <c r="Z318">
        <v>2016</v>
      </c>
      <c r="AA318">
        <v>2016</v>
      </c>
      <c r="AB318" s="5">
        <v>0.50265244784300001</v>
      </c>
      <c r="AC318" s="5">
        <v>1.0053048956899999</v>
      </c>
      <c r="AD318" t="s">
        <v>408</v>
      </c>
      <c r="AE318" t="s">
        <v>152</v>
      </c>
      <c r="AF318" t="s">
        <v>408</v>
      </c>
      <c r="AG318" t="s">
        <v>408</v>
      </c>
      <c r="AH318" t="s">
        <v>408</v>
      </c>
      <c r="AI318" t="s">
        <v>408</v>
      </c>
      <c r="AJ318" t="s">
        <v>408</v>
      </c>
      <c r="AK318" t="s">
        <v>408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 s="58">
        <f t="shared" si="4"/>
        <v>1</v>
      </c>
      <c r="AU318" s="79">
        <v>43333</v>
      </c>
      <c r="AV318" s="78" t="s">
        <v>410</v>
      </c>
      <c r="AW318" t="s">
        <v>152</v>
      </c>
      <c r="AX318">
        <v>2</v>
      </c>
      <c r="AY318" t="s">
        <v>412</v>
      </c>
      <c r="AZ318" t="s">
        <v>408</v>
      </c>
    </row>
    <row r="319" spans="1:52" x14ac:dyDescent="0.3">
      <c r="A319">
        <v>308</v>
      </c>
      <c r="B319" t="s">
        <v>477</v>
      </c>
      <c r="C319" t="s">
        <v>155</v>
      </c>
      <c r="D319" t="s">
        <v>478</v>
      </c>
      <c r="E319" t="s">
        <v>417</v>
      </c>
      <c r="F319" t="s">
        <v>408</v>
      </c>
      <c r="G319">
        <v>5858</v>
      </c>
      <c r="H319">
        <v>5859</v>
      </c>
      <c r="I319" t="s">
        <v>1099</v>
      </c>
      <c r="J319">
        <v>5464</v>
      </c>
      <c r="K319">
        <v>5465</v>
      </c>
      <c r="L319" t="s">
        <v>1036</v>
      </c>
      <c r="M319">
        <v>2</v>
      </c>
      <c r="N319" t="s">
        <v>165</v>
      </c>
      <c r="O319" t="s">
        <v>165</v>
      </c>
      <c r="P319" t="s">
        <v>403</v>
      </c>
      <c r="Q319" t="s">
        <v>1233</v>
      </c>
      <c r="R319" t="s">
        <v>703</v>
      </c>
      <c r="S319">
        <v>2014</v>
      </c>
      <c r="T319">
        <v>5</v>
      </c>
      <c r="U319" t="s">
        <v>408</v>
      </c>
      <c r="V319" t="s">
        <v>408</v>
      </c>
      <c r="W319">
        <v>0</v>
      </c>
      <c r="X319">
        <v>0</v>
      </c>
      <c r="Y319" t="s">
        <v>408</v>
      </c>
      <c r="Z319">
        <v>2014</v>
      </c>
      <c r="AA319">
        <v>2011</v>
      </c>
      <c r="AB319" s="5">
        <v>0.50230836374700005</v>
      </c>
      <c r="AC319" s="5">
        <v>1.00461672749</v>
      </c>
      <c r="AD319" t="s">
        <v>408</v>
      </c>
      <c r="AE319" t="s">
        <v>152</v>
      </c>
      <c r="AF319" t="s">
        <v>408</v>
      </c>
      <c r="AG319" t="s">
        <v>408</v>
      </c>
      <c r="AH319" t="s">
        <v>408</v>
      </c>
      <c r="AI319" t="s">
        <v>408</v>
      </c>
      <c r="AJ319" t="s">
        <v>408</v>
      </c>
      <c r="AK319" t="s">
        <v>408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 s="58">
        <f t="shared" si="4"/>
        <v>1</v>
      </c>
      <c r="AU319" s="79">
        <v>43333</v>
      </c>
      <c r="AV319" s="78" t="s">
        <v>410</v>
      </c>
      <c r="AW319" t="s">
        <v>152</v>
      </c>
      <c r="AX319">
        <v>2</v>
      </c>
      <c r="AY319" t="s">
        <v>412</v>
      </c>
      <c r="AZ319" t="s">
        <v>408</v>
      </c>
    </row>
    <row r="320" spans="1:52" x14ac:dyDescent="0.3">
      <c r="A320">
        <v>309</v>
      </c>
      <c r="B320" t="s">
        <v>1187</v>
      </c>
      <c r="C320" t="s">
        <v>154</v>
      </c>
      <c r="D320" t="s">
        <v>1234</v>
      </c>
      <c r="E320" t="s">
        <v>417</v>
      </c>
      <c r="F320" t="s">
        <v>408</v>
      </c>
      <c r="G320">
        <v>4381</v>
      </c>
      <c r="H320">
        <v>4378</v>
      </c>
      <c r="I320" t="s">
        <v>1235</v>
      </c>
      <c r="J320">
        <v>4001</v>
      </c>
      <c r="K320">
        <v>4000</v>
      </c>
      <c r="L320" t="s">
        <v>1236</v>
      </c>
      <c r="M320">
        <v>3</v>
      </c>
      <c r="N320" t="s">
        <v>165</v>
      </c>
      <c r="O320" t="s">
        <v>165</v>
      </c>
      <c r="P320" t="s">
        <v>403</v>
      </c>
      <c r="Q320" t="s">
        <v>1237</v>
      </c>
      <c r="R320" t="s">
        <v>703</v>
      </c>
      <c r="S320">
        <v>2014</v>
      </c>
      <c r="T320">
        <v>5</v>
      </c>
      <c r="U320" t="s">
        <v>408</v>
      </c>
      <c r="V320" t="s">
        <v>407</v>
      </c>
      <c r="W320">
        <v>2020</v>
      </c>
      <c r="X320">
        <v>0</v>
      </c>
      <c r="Y320" t="s">
        <v>408</v>
      </c>
      <c r="Z320">
        <v>2020</v>
      </c>
      <c r="AA320">
        <v>2010</v>
      </c>
      <c r="AB320" s="5">
        <v>0.50212131637099999</v>
      </c>
      <c r="AC320" s="5">
        <v>1.00424263274</v>
      </c>
      <c r="AD320" t="s">
        <v>408</v>
      </c>
      <c r="AE320" t="s">
        <v>152</v>
      </c>
      <c r="AF320" t="s">
        <v>408</v>
      </c>
      <c r="AG320" t="s">
        <v>408</v>
      </c>
      <c r="AH320" t="s">
        <v>408</v>
      </c>
      <c r="AI320" t="s">
        <v>408</v>
      </c>
      <c r="AJ320" t="s">
        <v>408</v>
      </c>
      <c r="AK320" t="s">
        <v>408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s="58">
        <f t="shared" si="4"/>
        <v>1</v>
      </c>
      <c r="AU320" s="79" t="s">
        <v>431</v>
      </c>
      <c r="AV320" s="78" t="s">
        <v>410</v>
      </c>
      <c r="AW320" t="s">
        <v>152</v>
      </c>
      <c r="AX320">
        <v>2</v>
      </c>
      <c r="AY320" t="s">
        <v>412</v>
      </c>
      <c r="AZ320" t="s">
        <v>408</v>
      </c>
    </row>
    <row r="321" spans="1:52" x14ac:dyDescent="0.3">
      <c r="A321">
        <v>310</v>
      </c>
      <c r="B321" t="s">
        <v>867</v>
      </c>
      <c r="C321" t="s">
        <v>154</v>
      </c>
      <c r="D321" t="s">
        <v>868</v>
      </c>
      <c r="E321" t="s">
        <v>466</v>
      </c>
      <c r="F321" t="s">
        <v>408</v>
      </c>
      <c r="G321">
        <v>1827</v>
      </c>
      <c r="H321">
        <v>1826</v>
      </c>
      <c r="I321" t="s">
        <v>1174</v>
      </c>
      <c r="J321">
        <v>1601</v>
      </c>
      <c r="K321">
        <v>1600</v>
      </c>
      <c r="L321" t="s">
        <v>545</v>
      </c>
      <c r="M321">
        <v>4</v>
      </c>
      <c r="N321" t="s">
        <v>165</v>
      </c>
      <c r="O321" t="s">
        <v>165</v>
      </c>
      <c r="P321" t="s">
        <v>403</v>
      </c>
      <c r="Q321" t="s">
        <v>1238</v>
      </c>
      <c r="R321" t="s">
        <v>703</v>
      </c>
      <c r="S321">
        <v>2014</v>
      </c>
      <c r="T321">
        <v>7</v>
      </c>
      <c r="U321" t="s">
        <v>408</v>
      </c>
      <c r="V321" t="s">
        <v>454</v>
      </c>
      <c r="W321">
        <v>2018</v>
      </c>
      <c r="X321">
        <v>11</v>
      </c>
      <c r="Y321" t="s">
        <v>818</v>
      </c>
      <c r="Z321">
        <v>2018</v>
      </c>
      <c r="AA321">
        <v>2018</v>
      </c>
      <c r="AB321" s="5">
        <v>0.31443954555699999</v>
      </c>
      <c r="AC321" s="5">
        <v>0.62887909111399998</v>
      </c>
      <c r="AD321" t="s">
        <v>408</v>
      </c>
      <c r="AE321" t="s">
        <v>152</v>
      </c>
      <c r="AF321" t="s">
        <v>408</v>
      </c>
      <c r="AG321" t="s">
        <v>408</v>
      </c>
      <c r="AH321" t="s">
        <v>408</v>
      </c>
      <c r="AI321" t="s">
        <v>408</v>
      </c>
      <c r="AJ321" t="s">
        <v>408</v>
      </c>
      <c r="AK321" t="s">
        <v>408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 s="58">
        <f t="shared" si="4"/>
        <v>1</v>
      </c>
      <c r="AU321" s="79">
        <v>43342</v>
      </c>
      <c r="AV321" s="78" t="s">
        <v>410</v>
      </c>
      <c r="AW321" t="s">
        <v>152</v>
      </c>
      <c r="AX321">
        <v>2</v>
      </c>
      <c r="AY321" t="s">
        <v>412</v>
      </c>
      <c r="AZ321" t="s">
        <v>408</v>
      </c>
    </row>
    <row r="322" spans="1:52" x14ac:dyDescent="0.3">
      <c r="A322">
        <v>311</v>
      </c>
      <c r="B322" t="s">
        <v>837</v>
      </c>
      <c r="C322" t="s">
        <v>154</v>
      </c>
      <c r="D322" t="s">
        <v>838</v>
      </c>
      <c r="E322" t="s">
        <v>460</v>
      </c>
      <c r="F322" t="s">
        <v>408</v>
      </c>
      <c r="G322">
        <v>999</v>
      </c>
      <c r="H322">
        <v>998</v>
      </c>
      <c r="I322" t="s">
        <v>517</v>
      </c>
      <c r="J322">
        <v>901</v>
      </c>
      <c r="K322">
        <v>900</v>
      </c>
      <c r="L322" t="s">
        <v>1239</v>
      </c>
      <c r="M322">
        <v>2</v>
      </c>
      <c r="N322" t="s">
        <v>165</v>
      </c>
      <c r="O322" t="s">
        <v>165</v>
      </c>
      <c r="P322" t="s">
        <v>420</v>
      </c>
      <c r="Q322" t="s">
        <v>1240</v>
      </c>
      <c r="R322" t="s">
        <v>547</v>
      </c>
      <c r="S322">
        <v>2014</v>
      </c>
      <c r="T322">
        <v>6</v>
      </c>
      <c r="U322" t="s">
        <v>408</v>
      </c>
      <c r="V322" t="s">
        <v>408</v>
      </c>
      <c r="W322">
        <v>0</v>
      </c>
      <c r="X322">
        <v>0</v>
      </c>
      <c r="Y322" t="s">
        <v>408</v>
      </c>
      <c r="Z322">
        <v>2014</v>
      </c>
      <c r="AA322">
        <v>0</v>
      </c>
      <c r="AB322" s="5">
        <v>0.15502161610699999</v>
      </c>
      <c r="AC322" s="5">
        <v>0.31004323221399999</v>
      </c>
      <c r="AD322" t="s">
        <v>408</v>
      </c>
      <c r="AE322" t="s">
        <v>152</v>
      </c>
      <c r="AF322" t="s">
        <v>408</v>
      </c>
      <c r="AG322" t="s">
        <v>408</v>
      </c>
      <c r="AH322" t="s">
        <v>408</v>
      </c>
      <c r="AI322" t="s">
        <v>408</v>
      </c>
      <c r="AJ322" t="s">
        <v>408</v>
      </c>
      <c r="AK322" t="s">
        <v>408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s="58">
        <f t="shared" si="4"/>
        <v>1</v>
      </c>
      <c r="AU322" s="79">
        <v>43342</v>
      </c>
      <c r="AV322" t="s">
        <v>410</v>
      </c>
      <c r="AW322" t="s">
        <v>1241</v>
      </c>
      <c r="AX322">
        <v>2</v>
      </c>
      <c r="AY322" t="s">
        <v>412</v>
      </c>
      <c r="AZ322" t="s">
        <v>408</v>
      </c>
    </row>
    <row r="323" spans="1:52" x14ac:dyDescent="0.3">
      <c r="A323">
        <v>312</v>
      </c>
      <c r="B323" t="s">
        <v>1146</v>
      </c>
      <c r="C323" t="s">
        <v>155</v>
      </c>
      <c r="D323" t="s">
        <v>1147</v>
      </c>
      <c r="E323" t="s">
        <v>417</v>
      </c>
      <c r="F323" t="s">
        <v>408</v>
      </c>
      <c r="G323">
        <v>539</v>
      </c>
      <c r="H323">
        <v>538</v>
      </c>
      <c r="I323" t="s">
        <v>535</v>
      </c>
      <c r="J323">
        <v>401</v>
      </c>
      <c r="K323">
        <v>400</v>
      </c>
      <c r="L323" t="s">
        <v>442</v>
      </c>
      <c r="M323">
        <v>4</v>
      </c>
      <c r="N323" t="s">
        <v>167</v>
      </c>
      <c r="O323" t="s">
        <v>167</v>
      </c>
      <c r="P323" t="s">
        <v>414</v>
      </c>
      <c r="Q323" t="s">
        <v>408</v>
      </c>
      <c r="R323" t="s">
        <v>1242</v>
      </c>
      <c r="S323">
        <v>1999</v>
      </c>
      <c r="T323">
        <v>5</v>
      </c>
      <c r="U323" t="s">
        <v>1243</v>
      </c>
      <c r="V323" t="s">
        <v>469</v>
      </c>
      <c r="W323">
        <v>2018</v>
      </c>
      <c r="X323">
        <v>5</v>
      </c>
      <c r="Y323" t="s">
        <v>408</v>
      </c>
      <c r="Z323">
        <v>2018</v>
      </c>
      <c r="AA323">
        <v>0</v>
      </c>
      <c r="AB323" s="5">
        <v>0.16440382193600001</v>
      </c>
      <c r="AC323" s="5">
        <v>0.16440382193600001</v>
      </c>
      <c r="AD323" t="s">
        <v>408</v>
      </c>
      <c r="AE323" t="s">
        <v>411</v>
      </c>
      <c r="AF323" t="s">
        <v>152</v>
      </c>
      <c r="AG323" t="s">
        <v>152</v>
      </c>
      <c r="AH323" t="s">
        <v>408</v>
      </c>
      <c r="AI323" t="s">
        <v>408</v>
      </c>
      <c r="AJ323" t="s">
        <v>408</v>
      </c>
      <c r="AK323" t="s">
        <v>411</v>
      </c>
      <c r="AL323">
        <v>2018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 s="58">
        <f t="shared" si="4"/>
        <v>1</v>
      </c>
      <c r="AU323" s="79">
        <v>43347</v>
      </c>
      <c r="AV323" s="78" t="s">
        <v>410</v>
      </c>
      <c r="AW323" t="s">
        <v>408</v>
      </c>
      <c r="AX323">
        <v>2</v>
      </c>
      <c r="AY323" t="s">
        <v>412</v>
      </c>
      <c r="AZ323" t="s">
        <v>408</v>
      </c>
    </row>
    <row r="324" spans="1:52" x14ac:dyDescent="0.3">
      <c r="A324">
        <v>313</v>
      </c>
      <c r="B324" t="s">
        <v>489</v>
      </c>
      <c r="C324" t="s">
        <v>155</v>
      </c>
      <c r="D324" t="s">
        <v>490</v>
      </c>
      <c r="E324" t="s">
        <v>460</v>
      </c>
      <c r="F324" t="s">
        <v>408</v>
      </c>
      <c r="G324">
        <v>1801</v>
      </c>
      <c r="H324">
        <v>1800</v>
      </c>
      <c r="I324" t="s">
        <v>651</v>
      </c>
      <c r="J324">
        <v>1859</v>
      </c>
      <c r="K324">
        <v>1860</v>
      </c>
      <c r="L324" t="s">
        <v>953</v>
      </c>
      <c r="M324">
        <v>3</v>
      </c>
      <c r="N324" t="s">
        <v>167</v>
      </c>
      <c r="O324" t="s">
        <v>167</v>
      </c>
      <c r="P324" t="s">
        <v>420</v>
      </c>
      <c r="Q324" t="s">
        <v>408</v>
      </c>
      <c r="R324" t="s">
        <v>493</v>
      </c>
      <c r="S324">
        <v>2007</v>
      </c>
      <c r="T324">
        <v>10</v>
      </c>
      <c r="U324" t="s">
        <v>408</v>
      </c>
      <c r="V324" t="s">
        <v>692</v>
      </c>
      <c r="W324">
        <v>2014</v>
      </c>
      <c r="X324">
        <v>6</v>
      </c>
      <c r="Y324" t="s">
        <v>370</v>
      </c>
      <c r="Z324">
        <v>2014</v>
      </c>
      <c r="AA324">
        <v>2014</v>
      </c>
      <c r="AB324" s="5">
        <v>0.126798684627</v>
      </c>
      <c r="AC324" s="5">
        <v>0.253597369254</v>
      </c>
      <c r="AD324" t="s">
        <v>408</v>
      </c>
      <c r="AE324" t="s">
        <v>152</v>
      </c>
      <c r="AF324" t="s">
        <v>408</v>
      </c>
      <c r="AG324" t="s">
        <v>408</v>
      </c>
      <c r="AH324" t="s">
        <v>408</v>
      </c>
      <c r="AI324" t="s">
        <v>408</v>
      </c>
      <c r="AJ324" t="s">
        <v>408</v>
      </c>
      <c r="AK324" t="s">
        <v>408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 s="58">
        <f t="shared" si="4"/>
        <v>1</v>
      </c>
      <c r="AU324" s="79">
        <v>43335</v>
      </c>
      <c r="AV324" s="78" t="s">
        <v>410</v>
      </c>
      <c r="AW324" t="s">
        <v>408</v>
      </c>
      <c r="AX324">
        <v>2</v>
      </c>
      <c r="AY324" t="s">
        <v>412</v>
      </c>
      <c r="AZ324" t="s">
        <v>408</v>
      </c>
    </row>
    <row r="325" spans="1:52" x14ac:dyDescent="0.3">
      <c r="A325">
        <v>314</v>
      </c>
      <c r="B325" t="s">
        <v>522</v>
      </c>
      <c r="C325" t="s">
        <v>152</v>
      </c>
      <c r="D325" t="s">
        <v>523</v>
      </c>
      <c r="E325" t="s">
        <v>460</v>
      </c>
      <c r="F325" t="s">
        <v>152</v>
      </c>
      <c r="G325">
        <v>6200</v>
      </c>
      <c r="H325">
        <v>6201</v>
      </c>
      <c r="I325" t="s">
        <v>965</v>
      </c>
      <c r="J325">
        <v>6258</v>
      </c>
      <c r="K325">
        <v>6259</v>
      </c>
      <c r="L325" t="s">
        <v>1244</v>
      </c>
      <c r="M325">
        <v>4</v>
      </c>
      <c r="N325" t="s">
        <v>167</v>
      </c>
      <c r="O325" t="s">
        <v>167</v>
      </c>
      <c r="P325" t="s">
        <v>414</v>
      </c>
      <c r="Q325" t="s">
        <v>408</v>
      </c>
      <c r="R325" t="s">
        <v>526</v>
      </c>
      <c r="S325">
        <v>2014</v>
      </c>
      <c r="T325">
        <v>6</v>
      </c>
      <c r="U325" t="s">
        <v>408</v>
      </c>
      <c r="V325" t="s">
        <v>408</v>
      </c>
      <c r="W325">
        <v>0</v>
      </c>
      <c r="X325">
        <v>0</v>
      </c>
      <c r="Y325" t="s">
        <v>408</v>
      </c>
      <c r="Z325">
        <v>2014</v>
      </c>
      <c r="AA325">
        <v>2006</v>
      </c>
      <c r="AB325" s="5">
        <v>0.12536811216300001</v>
      </c>
      <c r="AC325" s="5">
        <v>0.12536811216300001</v>
      </c>
      <c r="AD325" t="s">
        <v>408</v>
      </c>
      <c r="AE325" t="s">
        <v>411</v>
      </c>
      <c r="AF325" t="s">
        <v>152</v>
      </c>
      <c r="AG325" t="s">
        <v>152</v>
      </c>
      <c r="AH325" t="s">
        <v>408</v>
      </c>
      <c r="AI325" t="s">
        <v>408</v>
      </c>
      <c r="AJ325" t="s">
        <v>408</v>
      </c>
      <c r="AK325" t="s">
        <v>408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s="58">
        <f t="shared" si="4"/>
        <v>1</v>
      </c>
      <c r="AU325" s="79">
        <v>43335</v>
      </c>
      <c r="AV325" s="78" t="s">
        <v>410</v>
      </c>
      <c r="AW325" t="s">
        <v>408</v>
      </c>
      <c r="AX325">
        <v>3</v>
      </c>
      <c r="AY325" t="s">
        <v>17</v>
      </c>
      <c r="AZ325">
        <v>20</v>
      </c>
    </row>
    <row r="326" spans="1:52" x14ac:dyDescent="0.3">
      <c r="A326">
        <v>315</v>
      </c>
      <c r="B326" t="s">
        <v>688</v>
      </c>
      <c r="C326" t="s">
        <v>155</v>
      </c>
      <c r="D326" t="s">
        <v>689</v>
      </c>
      <c r="E326" t="s">
        <v>426</v>
      </c>
      <c r="F326" t="s">
        <v>155</v>
      </c>
      <c r="G326">
        <v>3601</v>
      </c>
      <c r="H326">
        <v>3600</v>
      </c>
      <c r="I326" t="s">
        <v>1245</v>
      </c>
      <c r="J326">
        <v>2601</v>
      </c>
      <c r="K326">
        <v>2600</v>
      </c>
      <c r="L326" t="s">
        <v>1246</v>
      </c>
      <c r="M326">
        <v>3</v>
      </c>
      <c r="N326" t="s">
        <v>165</v>
      </c>
      <c r="O326" t="s">
        <v>165</v>
      </c>
      <c r="P326" t="s">
        <v>403</v>
      </c>
      <c r="Q326" t="s">
        <v>408</v>
      </c>
      <c r="R326" t="s">
        <v>691</v>
      </c>
      <c r="S326">
        <v>2012</v>
      </c>
      <c r="T326">
        <v>11</v>
      </c>
      <c r="U326" t="s">
        <v>408</v>
      </c>
      <c r="V326" t="s">
        <v>662</v>
      </c>
      <c r="W326">
        <v>2016</v>
      </c>
      <c r="X326">
        <v>7</v>
      </c>
      <c r="Y326" t="s">
        <v>370</v>
      </c>
      <c r="Z326">
        <v>2016</v>
      </c>
      <c r="AA326">
        <v>2016</v>
      </c>
      <c r="AB326" s="5">
        <v>1.2611340398399999</v>
      </c>
      <c r="AC326" s="5">
        <v>1.2611340398399999</v>
      </c>
      <c r="AD326" t="s">
        <v>408</v>
      </c>
      <c r="AE326" t="s">
        <v>411</v>
      </c>
      <c r="AF326" t="s">
        <v>155</v>
      </c>
      <c r="AG326" t="s">
        <v>152</v>
      </c>
      <c r="AH326" t="s">
        <v>408</v>
      </c>
      <c r="AI326" t="s">
        <v>408</v>
      </c>
      <c r="AJ326" t="s">
        <v>408</v>
      </c>
      <c r="AK326" t="s">
        <v>408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 s="58">
        <f t="shared" si="4"/>
        <v>1</v>
      </c>
      <c r="AU326" s="79">
        <v>43339</v>
      </c>
      <c r="AV326" s="78" t="s">
        <v>410</v>
      </c>
      <c r="AW326" t="s">
        <v>152</v>
      </c>
      <c r="AX326">
        <v>2</v>
      </c>
      <c r="AY326" t="s">
        <v>412</v>
      </c>
      <c r="AZ326" t="s">
        <v>408</v>
      </c>
    </row>
    <row r="327" spans="1:52" x14ac:dyDescent="0.3">
      <c r="A327">
        <v>316</v>
      </c>
      <c r="B327" t="s">
        <v>688</v>
      </c>
      <c r="C327" t="s">
        <v>155</v>
      </c>
      <c r="D327" t="s">
        <v>689</v>
      </c>
      <c r="E327" t="s">
        <v>426</v>
      </c>
      <c r="F327" t="s">
        <v>408</v>
      </c>
      <c r="G327">
        <v>2601</v>
      </c>
      <c r="H327">
        <v>2600</v>
      </c>
      <c r="I327" t="s">
        <v>690</v>
      </c>
      <c r="J327">
        <v>5059</v>
      </c>
      <c r="K327">
        <v>5058</v>
      </c>
      <c r="L327" t="s">
        <v>1245</v>
      </c>
      <c r="M327">
        <v>3</v>
      </c>
      <c r="N327" t="s">
        <v>165</v>
      </c>
      <c r="O327" t="s">
        <v>165</v>
      </c>
      <c r="P327" t="s">
        <v>403</v>
      </c>
      <c r="Q327" t="s">
        <v>408</v>
      </c>
      <c r="R327" t="s">
        <v>691</v>
      </c>
      <c r="S327">
        <v>2012</v>
      </c>
      <c r="T327">
        <v>11</v>
      </c>
      <c r="U327" t="s">
        <v>408</v>
      </c>
      <c r="V327" t="s">
        <v>1194</v>
      </c>
      <c r="W327">
        <v>2014</v>
      </c>
      <c r="X327">
        <v>7</v>
      </c>
      <c r="Y327" t="s">
        <v>370</v>
      </c>
      <c r="Z327">
        <v>2014</v>
      </c>
      <c r="AA327">
        <v>2014</v>
      </c>
      <c r="AB327" s="5">
        <v>0.12597364496999999</v>
      </c>
      <c r="AC327" s="5">
        <v>0.25194728993999999</v>
      </c>
      <c r="AD327" t="s">
        <v>408</v>
      </c>
      <c r="AE327" t="s">
        <v>152</v>
      </c>
      <c r="AF327" t="s">
        <v>408</v>
      </c>
      <c r="AG327" t="s">
        <v>408</v>
      </c>
      <c r="AH327" t="s">
        <v>408</v>
      </c>
      <c r="AI327" t="s">
        <v>408</v>
      </c>
      <c r="AJ327" t="s">
        <v>408</v>
      </c>
      <c r="AK327" t="s">
        <v>408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 s="58">
        <f t="shared" si="4"/>
        <v>1</v>
      </c>
      <c r="AU327" s="79">
        <v>43339</v>
      </c>
      <c r="AV327" t="s">
        <v>410</v>
      </c>
      <c r="AW327" t="s">
        <v>411</v>
      </c>
      <c r="AX327">
        <v>2</v>
      </c>
      <c r="AY327" t="s">
        <v>412</v>
      </c>
      <c r="AZ327" t="s">
        <v>408</v>
      </c>
    </row>
    <row r="328" spans="1:52" x14ac:dyDescent="0.3">
      <c r="A328">
        <v>317</v>
      </c>
      <c r="B328" t="s">
        <v>1247</v>
      </c>
      <c r="C328" t="s">
        <v>155</v>
      </c>
      <c r="D328" t="s">
        <v>1248</v>
      </c>
      <c r="E328" t="s">
        <v>460</v>
      </c>
      <c r="F328" t="s">
        <v>408</v>
      </c>
      <c r="G328">
        <v>8701</v>
      </c>
      <c r="H328">
        <v>8700</v>
      </c>
      <c r="I328" t="s">
        <v>1114</v>
      </c>
      <c r="J328">
        <v>9203</v>
      </c>
      <c r="K328">
        <v>9202</v>
      </c>
      <c r="L328" t="s">
        <v>1249</v>
      </c>
      <c r="M328">
        <v>4</v>
      </c>
      <c r="N328" t="s">
        <v>170</v>
      </c>
      <c r="O328" t="s">
        <v>170</v>
      </c>
      <c r="P328" t="s">
        <v>420</v>
      </c>
      <c r="Q328" t="s">
        <v>1250</v>
      </c>
      <c r="R328" t="s">
        <v>430</v>
      </c>
      <c r="S328">
        <v>2013</v>
      </c>
      <c r="T328">
        <v>10</v>
      </c>
      <c r="U328" t="s">
        <v>370</v>
      </c>
      <c r="V328" t="s">
        <v>408</v>
      </c>
      <c r="W328">
        <v>0</v>
      </c>
      <c r="X328">
        <v>0</v>
      </c>
      <c r="Y328" t="s">
        <v>408</v>
      </c>
      <c r="Z328">
        <v>2013</v>
      </c>
      <c r="AA328">
        <v>2013</v>
      </c>
      <c r="AB328" s="5">
        <v>0.112784112523</v>
      </c>
      <c r="AC328" s="5">
        <v>0.22556822504599999</v>
      </c>
      <c r="AD328" t="s">
        <v>408</v>
      </c>
      <c r="AE328" t="s">
        <v>152</v>
      </c>
      <c r="AF328" t="s">
        <v>408</v>
      </c>
      <c r="AG328" t="s">
        <v>408</v>
      </c>
      <c r="AH328" t="s">
        <v>408</v>
      </c>
      <c r="AI328" t="s">
        <v>408</v>
      </c>
      <c r="AJ328" t="s">
        <v>408</v>
      </c>
      <c r="AK328" t="s">
        <v>408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 s="58">
        <f t="shared" si="4"/>
        <v>1</v>
      </c>
      <c r="AU328" s="79">
        <v>43347</v>
      </c>
      <c r="AV328" s="78" t="s">
        <v>410</v>
      </c>
      <c r="AW328" t="s">
        <v>408</v>
      </c>
      <c r="AX328">
        <v>3</v>
      </c>
      <c r="AY328" t="s">
        <v>412</v>
      </c>
      <c r="AZ328" t="s">
        <v>408</v>
      </c>
    </row>
    <row r="329" spans="1:52" x14ac:dyDescent="0.3">
      <c r="A329">
        <v>318</v>
      </c>
      <c r="B329" t="s">
        <v>500</v>
      </c>
      <c r="C329" t="s">
        <v>154</v>
      </c>
      <c r="D329" t="s">
        <v>501</v>
      </c>
      <c r="E329" t="s">
        <v>466</v>
      </c>
      <c r="F329" t="s">
        <v>447</v>
      </c>
      <c r="G329">
        <v>1439</v>
      </c>
      <c r="H329">
        <v>1434</v>
      </c>
      <c r="I329" t="s">
        <v>1251</v>
      </c>
      <c r="J329">
        <v>901</v>
      </c>
      <c r="K329">
        <v>900</v>
      </c>
      <c r="L329" t="s">
        <v>1252</v>
      </c>
      <c r="M329">
        <v>4</v>
      </c>
      <c r="N329" t="s">
        <v>165</v>
      </c>
      <c r="O329" t="s">
        <v>165</v>
      </c>
      <c r="P329" t="s">
        <v>403</v>
      </c>
      <c r="Q329" t="s">
        <v>1253</v>
      </c>
      <c r="R329" t="s">
        <v>562</v>
      </c>
      <c r="S329">
        <v>2014</v>
      </c>
      <c r="T329">
        <v>10</v>
      </c>
      <c r="U329" t="s">
        <v>842</v>
      </c>
      <c r="V329" t="s">
        <v>408</v>
      </c>
      <c r="W329">
        <v>0</v>
      </c>
      <c r="X329">
        <v>0</v>
      </c>
      <c r="Y329" t="s">
        <v>408</v>
      </c>
      <c r="Z329">
        <v>2014</v>
      </c>
      <c r="AA329">
        <v>2012</v>
      </c>
      <c r="AB329" s="5">
        <v>0.77073263690500005</v>
      </c>
      <c r="AC329" s="5">
        <v>0.77073263690500005</v>
      </c>
      <c r="AD329" t="s">
        <v>408</v>
      </c>
      <c r="AE329" t="s">
        <v>411</v>
      </c>
      <c r="AF329" t="s">
        <v>447</v>
      </c>
      <c r="AG329" t="s">
        <v>152</v>
      </c>
      <c r="AH329" t="s">
        <v>408</v>
      </c>
      <c r="AI329" t="s">
        <v>408</v>
      </c>
      <c r="AJ329" t="s">
        <v>408</v>
      </c>
      <c r="AK329" t="s">
        <v>408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s="58">
        <f t="shared" si="4"/>
        <v>1</v>
      </c>
      <c r="AU329" s="79">
        <v>43335</v>
      </c>
      <c r="AV329" t="s">
        <v>410</v>
      </c>
      <c r="AW329" t="s">
        <v>152</v>
      </c>
      <c r="AX329">
        <v>2</v>
      </c>
      <c r="AY329" t="s">
        <v>412</v>
      </c>
      <c r="AZ329" t="s">
        <v>408</v>
      </c>
    </row>
    <row r="330" spans="1:52" x14ac:dyDescent="0.3">
      <c r="A330">
        <v>319</v>
      </c>
      <c r="B330" t="s">
        <v>926</v>
      </c>
      <c r="C330" t="s">
        <v>154</v>
      </c>
      <c r="D330" t="s">
        <v>927</v>
      </c>
      <c r="E330" t="s">
        <v>460</v>
      </c>
      <c r="F330" t="s">
        <v>408</v>
      </c>
      <c r="G330">
        <v>1159</v>
      </c>
      <c r="H330">
        <v>1158</v>
      </c>
      <c r="I330" t="s">
        <v>929</v>
      </c>
      <c r="J330">
        <v>801</v>
      </c>
      <c r="K330">
        <v>800</v>
      </c>
      <c r="L330" t="s">
        <v>1254</v>
      </c>
      <c r="M330">
        <v>2</v>
      </c>
      <c r="N330" t="s">
        <v>165</v>
      </c>
      <c r="O330" t="s">
        <v>165</v>
      </c>
      <c r="P330" t="s">
        <v>403</v>
      </c>
      <c r="Q330" t="s">
        <v>408</v>
      </c>
      <c r="R330" t="s">
        <v>1227</v>
      </c>
      <c r="S330">
        <v>2014</v>
      </c>
      <c r="T330">
        <v>11</v>
      </c>
      <c r="U330" t="s">
        <v>1255</v>
      </c>
      <c r="V330" t="s">
        <v>453</v>
      </c>
      <c r="W330">
        <v>2017</v>
      </c>
      <c r="X330">
        <v>6</v>
      </c>
      <c r="Y330" t="s">
        <v>408</v>
      </c>
      <c r="Z330">
        <v>2017</v>
      </c>
      <c r="AA330">
        <v>0</v>
      </c>
      <c r="AB330" s="5">
        <v>0.49967389460799999</v>
      </c>
      <c r="AC330" s="5">
        <v>0.99934778921599998</v>
      </c>
      <c r="AD330" t="s">
        <v>408</v>
      </c>
      <c r="AE330" t="s">
        <v>152</v>
      </c>
      <c r="AF330" t="s">
        <v>408</v>
      </c>
      <c r="AG330" t="s">
        <v>408</v>
      </c>
      <c r="AH330" t="s">
        <v>408</v>
      </c>
      <c r="AI330" t="s">
        <v>408</v>
      </c>
      <c r="AJ330" t="s">
        <v>408</v>
      </c>
      <c r="AK330" t="s">
        <v>411</v>
      </c>
      <c r="AL330">
        <v>2017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58">
        <f t="shared" si="4"/>
        <v>1</v>
      </c>
      <c r="AU330" s="79">
        <v>43343</v>
      </c>
      <c r="AV330" t="s">
        <v>410</v>
      </c>
      <c r="AW330" t="s">
        <v>152</v>
      </c>
      <c r="AX330">
        <v>2</v>
      </c>
      <c r="AY330" t="s">
        <v>412</v>
      </c>
      <c r="AZ330" t="s">
        <v>408</v>
      </c>
    </row>
    <row r="331" spans="1:52" x14ac:dyDescent="0.3">
      <c r="A331">
        <v>320</v>
      </c>
      <c r="B331" t="s">
        <v>1256</v>
      </c>
      <c r="C331" t="s">
        <v>152</v>
      </c>
      <c r="D331" t="s">
        <v>1257</v>
      </c>
      <c r="E331" t="s">
        <v>417</v>
      </c>
      <c r="F331" t="s">
        <v>408</v>
      </c>
      <c r="G331">
        <v>632</v>
      </c>
      <c r="H331">
        <v>633</v>
      </c>
      <c r="I331" t="s">
        <v>646</v>
      </c>
      <c r="J331">
        <v>958</v>
      </c>
      <c r="K331">
        <v>959</v>
      </c>
      <c r="L331" t="s">
        <v>1125</v>
      </c>
      <c r="M331">
        <v>4</v>
      </c>
      <c r="N331" t="s">
        <v>165</v>
      </c>
      <c r="O331" t="s">
        <v>165</v>
      </c>
      <c r="P331" t="s">
        <v>420</v>
      </c>
      <c r="Q331" t="s">
        <v>1258</v>
      </c>
      <c r="R331" t="s">
        <v>526</v>
      </c>
      <c r="S331">
        <v>2014</v>
      </c>
      <c r="T331">
        <v>7</v>
      </c>
      <c r="U331" t="s">
        <v>408</v>
      </c>
      <c r="V331" t="s">
        <v>408</v>
      </c>
      <c r="W331">
        <v>0</v>
      </c>
      <c r="X331">
        <v>0</v>
      </c>
      <c r="Y331" t="s">
        <v>408</v>
      </c>
      <c r="Z331">
        <v>2014</v>
      </c>
      <c r="AA331">
        <v>0</v>
      </c>
      <c r="AB331" s="5">
        <v>0.43971801226899998</v>
      </c>
      <c r="AC331" s="5">
        <v>0.87943602453799996</v>
      </c>
      <c r="AD331" t="s">
        <v>408</v>
      </c>
      <c r="AE331" t="s">
        <v>152</v>
      </c>
      <c r="AF331" t="s">
        <v>408</v>
      </c>
      <c r="AG331" t="s">
        <v>408</v>
      </c>
      <c r="AH331" t="s">
        <v>408</v>
      </c>
      <c r="AI331" t="s">
        <v>408</v>
      </c>
      <c r="AJ331" t="s">
        <v>408</v>
      </c>
      <c r="AK331" t="s">
        <v>408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 s="58">
        <f t="shared" ref="AT331:AT394" si="5">SUM(AM331:AS331)</f>
        <v>1</v>
      </c>
      <c r="AU331" s="79">
        <v>43347</v>
      </c>
      <c r="AV331" s="78" t="s">
        <v>410</v>
      </c>
      <c r="AW331" t="s">
        <v>152</v>
      </c>
      <c r="AX331">
        <v>2</v>
      </c>
      <c r="AY331" t="s">
        <v>412</v>
      </c>
      <c r="AZ331" t="s">
        <v>408</v>
      </c>
    </row>
    <row r="332" spans="1:52" x14ac:dyDescent="0.3">
      <c r="A332">
        <v>321</v>
      </c>
      <c r="B332" t="s">
        <v>397</v>
      </c>
      <c r="C332" t="s">
        <v>154</v>
      </c>
      <c r="D332" t="s">
        <v>398</v>
      </c>
      <c r="E332" t="s">
        <v>399</v>
      </c>
      <c r="F332" t="s">
        <v>408</v>
      </c>
      <c r="G332">
        <v>2757</v>
      </c>
      <c r="H332">
        <v>2756</v>
      </c>
      <c r="I332" t="s">
        <v>683</v>
      </c>
      <c r="J332">
        <v>2401</v>
      </c>
      <c r="K332">
        <v>2400</v>
      </c>
      <c r="L332" t="s">
        <v>576</v>
      </c>
      <c r="M332">
        <v>3</v>
      </c>
      <c r="N332" t="s">
        <v>165</v>
      </c>
      <c r="O332" t="s">
        <v>165</v>
      </c>
      <c r="P332" t="s">
        <v>403</v>
      </c>
      <c r="Q332" t="s">
        <v>1259</v>
      </c>
      <c r="R332" t="s">
        <v>1194</v>
      </c>
      <c r="S332">
        <v>2014</v>
      </c>
      <c r="T332">
        <v>8</v>
      </c>
      <c r="U332" t="s">
        <v>370</v>
      </c>
      <c r="V332" t="s">
        <v>407</v>
      </c>
      <c r="W332">
        <v>2020</v>
      </c>
      <c r="X332">
        <v>0</v>
      </c>
      <c r="Y332" t="s">
        <v>408</v>
      </c>
      <c r="Z332">
        <v>2020</v>
      </c>
      <c r="AA332">
        <v>2014</v>
      </c>
      <c r="AB332" s="5">
        <v>0.50445987410399995</v>
      </c>
      <c r="AC332" s="5">
        <v>1.0089197482100001</v>
      </c>
      <c r="AD332" t="s">
        <v>408</v>
      </c>
      <c r="AE332" t="s">
        <v>152</v>
      </c>
      <c r="AF332" t="s">
        <v>408</v>
      </c>
      <c r="AG332" t="s">
        <v>408</v>
      </c>
      <c r="AH332" t="s">
        <v>408</v>
      </c>
      <c r="AI332" t="s">
        <v>408</v>
      </c>
      <c r="AJ332" t="s">
        <v>408</v>
      </c>
      <c r="AK332" t="s">
        <v>408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 s="58">
        <f t="shared" si="5"/>
        <v>1</v>
      </c>
      <c r="AU332" s="79" t="s">
        <v>431</v>
      </c>
      <c r="AV332" t="s">
        <v>410</v>
      </c>
      <c r="AW332" t="s">
        <v>411</v>
      </c>
      <c r="AX332">
        <v>2</v>
      </c>
      <c r="AY332" t="s">
        <v>412</v>
      </c>
      <c r="AZ332" t="s">
        <v>408</v>
      </c>
    </row>
    <row r="333" spans="1:52" x14ac:dyDescent="0.3">
      <c r="A333">
        <v>322</v>
      </c>
      <c r="B333" t="s">
        <v>563</v>
      </c>
      <c r="C333" t="s">
        <v>154</v>
      </c>
      <c r="D333" t="s">
        <v>564</v>
      </c>
      <c r="E333" t="s">
        <v>460</v>
      </c>
      <c r="F333" t="s">
        <v>154</v>
      </c>
      <c r="G333">
        <v>171</v>
      </c>
      <c r="H333">
        <v>170</v>
      </c>
      <c r="I333" t="s">
        <v>739</v>
      </c>
      <c r="J333">
        <v>1</v>
      </c>
      <c r="K333">
        <v>2</v>
      </c>
      <c r="L333" t="s">
        <v>565</v>
      </c>
      <c r="M333">
        <v>3</v>
      </c>
      <c r="N333" t="s">
        <v>165</v>
      </c>
      <c r="O333" t="s">
        <v>165</v>
      </c>
      <c r="P333" t="s">
        <v>414</v>
      </c>
      <c r="Q333" t="s">
        <v>1260</v>
      </c>
      <c r="R333" t="s">
        <v>526</v>
      </c>
      <c r="S333">
        <v>2014</v>
      </c>
      <c r="T333">
        <v>9</v>
      </c>
      <c r="U333" t="s">
        <v>1261</v>
      </c>
      <c r="V333" t="s">
        <v>487</v>
      </c>
      <c r="W333">
        <v>2020</v>
      </c>
      <c r="X333">
        <v>0</v>
      </c>
      <c r="Y333" t="s">
        <v>408</v>
      </c>
      <c r="Z333">
        <v>2020</v>
      </c>
      <c r="AA333">
        <v>2013</v>
      </c>
      <c r="AB333" s="5">
        <v>0.22778781942000001</v>
      </c>
      <c r="AC333" s="5">
        <v>0.22778781942000001</v>
      </c>
      <c r="AD333" t="s">
        <v>408</v>
      </c>
      <c r="AE333" t="s">
        <v>411</v>
      </c>
      <c r="AF333" t="s">
        <v>154</v>
      </c>
      <c r="AG333" t="s">
        <v>152</v>
      </c>
      <c r="AH333" t="s">
        <v>408</v>
      </c>
      <c r="AI333" t="s">
        <v>408</v>
      </c>
      <c r="AJ333" t="s">
        <v>408</v>
      </c>
      <c r="AK333" t="s">
        <v>408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 s="58">
        <f t="shared" si="5"/>
        <v>1</v>
      </c>
      <c r="AU333" s="79" t="s">
        <v>488</v>
      </c>
      <c r="AV333" s="78" t="s">
        <v>410</v>
      </c>
      <c r="AW333" t="s">
        <v>152</v>
      </c>
      <c r="AX333">
        <v>2</v>
      </c>
      <c r="AY333" t="s">
        <v>412</v>
      </c>
      <c r="AZ333" t="s">
        <v>408</v>
      </c>
    </row>
    <row r="334" spans="1:52" x14ac:dyDescent="0.3">
      <c r="A334">
        <v>323</v>
      </c>
      <c r="B334" t="s">
        <v>1183</v>
      </c>
      <c r="C334" t="s">
        <v>447</v>
      </c>
      <c r="D334" t="s">
        <v>1184</v>
      </c>
      <c r="E334" t="s">
        <v>417</v>
      </c>
      <c r="F334" t="s">
        <v>408</v>
      </c>
      <c r="G334">
        <v>2</v>
      </c>
      <c r="H334">
        <v>1</v>
      </c>
      <c r="I334" t="s">
        <v>877</v>
      </c>
      <c r="J334">
        <v>48</v>
      </c>
      <c r="K334">
        <v>49</v>
      </c>
      <c r="L334" t="s">
        <v>878</v>
      </c>
      <c r="M334">
        <v>4</v>
      </c>
      <c r="N334" t="s">
        <v>163</v>
      </c>
      <c r="O334" t="s">
        <v>163</v>
      </c>
      <c r="P334" t="s">
        <v>403</v>
      </c>
      <c r="Q334" t="s">
        <v>408</v>
      </c>
      <c r="R334" t="s">
        <v>648</v>
      </c>
      <c r="S334">
        <v>2019</v>
      </c>
      <c r="T334">
        <v>6</v>
      </c>
      <c r="U334" t="s">
        <v>1163</v>
      </c>
      <c r="V334" t="s">
        <v>562</v>
      </c>
      <c r="W334">
        <v>2015</v>
      </c>
      <c r="X334">
        <v>10</v>
      </c>
      <c r="Y334" t="s">
        <v>370</v>
      </c>
      <c r="Z334">
        <v>2019</v>
      </c>
      <c r="AA334">
        <v>2019</v>
      </c>
      <c r="AB334" s="5">
        <v>9.5649116340499996E-2</v>
      </c>
      <c r="AC334" s="5">
        <v>0.19129823268099999</v>
      </c>
      <c r="AD334" t="s">
        <v>408</v>
      </c>
      <c r="AE334" t="s">
        <v>152</v>
      </c>
      <c r="AF334" t="s">
        <v>408</v>
      </c>
      <c r="AG334" t="s">
        <v>408</v>
      </c>
      <c r="AH334" t="s">
        <v>408</v>
      </c>
      <c r="AI334" t="s">
        <v>438</v>
      </c>
      <c r="AJ334" t="s">
        <v>400</v>
      </c>
      <c r="AK334" t="s">
        <v>408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 s="58">
        <f t="shared" si="5"/>
        <v>1</v>
      </c>
      <c r="AU334" s="79" t="s">
        <v>471</v>
      </c>
      <c r="AV334" s="78" t="s">
        <v>410</v>
      </c>
      <c r="AW334" t="s">
        <v>411</v>
      </c>
      <c r="AX334">
        <v>1</v>
      </c>
      <c r="AY334" t="s">
        <v>412</v>
      </c>
      <c r="AZ334" t="s">
        <v>408</v>
      </c>
    </row>
    <row r="335" spans="1:52" x14ac:dyDescent="0.3">
      <c r="A335">
        <v>324</v>
      </c>
      <c r="B335" t="s">
        <v>1183</v>
      </c>
      <c r="C335" t="s">
        <v>154</v>
      </c>
      <c r="D335" t="s">
        <v>1184</v>
      </c>
      <c r="E335" t="s">
        <v>417</v>
      </c>
      <c r="F335" t="s">
        <v>408</v>
      </c>
      <c r="G335">
        <v>630</v>
      </c>
      <c r="H335">
        <v>631</v>
      </c>
      <c r="I335" t="s">
        <v>1262</v>
      </c>
      <c r="J335">
        <v>176</v>
      </c>
      <c r="K335">
        <v>177</v>
      </c>
      <c r="L335" t="s">
        <v>1263</v>
      </c>
      <c r="M335">
        <v>3</v>
      </c>
      <c r="N335" t="s">
        <v>163</v>
      </c>
      <c r="O335" t="s">
        <v>163</v>
      </c>
      <c r="P335" t="s">
        <v>403</v>
      </c>
      <c r="Q335" t="s">
        <v>408</v>
      </c>
      <c r="R335" t="s">
        <v>648</v>
      </c>
      <c r="S335">
        <v>2019</v>
      </c>
      <c r="T335">
        <v>6</v>
      </c>
      <c r="U335" t="s">
        <v>1163</v>
      </c>
      <c r="V335" t="s">
        <v>408</v>
      </c>
      <c r="W335">
        <v>0</v>
      </c>
      <c r="X335">
        <v>0</v>
      </c>
      <c r="Y335" t="s">
        <v>408</v>
      </c>
      <c r="Z335">
        <v>2019</v>
      </c>
      <c r="AA335">
        <v>0</v>
      </c>
      <c r="AB335" s="5">
        <v>0.45410451067300001</v>
      </c>
      <c r="AC335" s="5">
        <v>0.90820902134600001</v>
      </c>
      <c r="AD335" t="s">
        <v>408</v>
      </c>
      <c r="AE335" t="s">
        <v>152</v>
      </c>
      <c r="AF335" t="s">
        <v>408</v>
      </c>
      <c r="AG335" t="s">
        <v>408</v>
      </c>
      <c r="AH335" t="s">
        <v>408</v>
      </c>
      <c r="AI335" t="s">
        <v>438</v>
      </c>
      <c r="AJ335" t="s">
        <v>400</v>
      </c>
      <c r="AK335" t="s">
        <v>408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 s="58">
        <f t="shared" si="5"/>
        <v>1</v>
      </c>
      <c r="AU335" s="79" t="s">
        <v>471</v>
      </c>
      <c r="AV335" s="78" t="s">
        <v>410</v>
      </c>
      <c r="AW335" t="s">
        <v>411</v>
      </c>
      <c r="AX335">
        <v>1</v>
      </c>
      <c r="AY335" t="s">
        <v>412</v>
      </c>
      <c r="AZ335" t="s">
        <v>408</v>
      </c>
    </row>
    <row r="336" spans="1:52" x14ac:dyDescent="0.3">
      <c r="A336">
        <v>325</v>
      </c>
      <c r="B336" t="s">
        <v>489</v>
      </c>
      <c r="C336" t="s">
        <v>155</v>
      </c>
      <c r="D336" t="s">
        <v>490</v>
      </c>
      <c r="E336" t="s">
        <v>460</v>
      </c>
      <c r="F336" t="s">
        <v>408</v>
      </c>
      <c r="G336">
        <v>1157</v>
      </c>
      <c r="H336">
        <v>1156</v>
      </c>
      <c r="I336" t="s">
        <v>631</v>
      </c>
      <c r="J336">
        <v>501</v>
      </c>
      <c r="K336">
        <v>500</v>
      </c>
      <c r="L336" t="s">
        <v>747</v>
      </c>
      <c r="M336">
        <v>3</v>
      </c>
      <c r="N336" t="s">
        <v>170</v>
      </c>
      <c r="O336" t="s">
        <v>170</v>
      </c>
      <c r="P336" t="s">
        <v>420</v>
      </c>
      <c r="Q336" t="s">
        <v>1264</v>
      </c>
      <c r="R336" t="s">
        <v>692</v>
      </c>
      <c r="S336">
        <v>2014</v>
      </c>
      <c r="T336">
        <v>6</v>
      </c>
      <c r="U336" t="s">
        <v>408</v>
      </c>
      <c r="V336" t="s">
        <v>408</v>
      </c>
      <c r="W336">
        <v>0</v>
      </c>
      <c r="X336">
        <v>0</v>
      </c>
      <c r="Y336" t="s">
        <v>408</v>
      </c>
      <c r="Z336">
        <v>2014</v>
      </c>
      <c r="AA336">
        <v>2014</v>
      </c>
      <c r="AB336" s="5">
        <v>0.57892216758699999</v>
      </c>
      <c r="AC336" s="5">
        <v>1.1578443351700001</v>
      </c>
      <c r="AD336" t="s">
        <v>408</v>
      </c>
      <c r="AE336" t="s">
        <v>152</v>
      </c>
      <c r="AF336" t="s">
        <v>408</v>
      </c>
      <c r="AG336" t="s">
        <v>408</v>
      </c>
      <c r="AH336" t="s">
        <v>408</v>
      </c>
      <c r="AI336" t="s">
        <v>408</v>
      </c>
      <c r="AJ336" t="s">
        <v>408</v>
      </c>
      <c r="AK336" t="s">
        <v>408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s="58">
        <f t="shared" si="5"/>
        <v>1</v>
      </c>
      <c r="AU336" s="79">
        <v>43335</v>
      </c>
      <c r="AV336" s="78" t="s">
        <v>410</v>
      </c>
      <c r="AW336" t="s">
        <v>408</v>
      </c>
      <c r="AX336">
        <v>2</v>
      </c>
      <c r="AY336" t="s">
        <v>412</v>
      </c>
      <c r="AZ336" t="s">
        <v>408</v>
      </c>
    </row>
    <row r="337" spans="1:52" x14ac:dyDescent="0.3">
      <c r="A337">
        <v>326</v>
      </c>
      <c r="B337" t="s">
        <v>489</v>
      </c>
      <c r="C337" t="s">
        <v>155</v>
      </c>
      <c r="D337" t="s">
        <v>490</v>
      </c>
      <c r="E337" t="s">
        <v>460</v>
      </c>
      <c r="F337" t="s">
        <v>408</v>
      </c>
      <c r="G337">
        <v>345</v>
      </c>
      <c r="H337">
        <v>344</v>
      </c>
      <c r="I337" t="s">
        <v>442</v>
      </c>
      <c r="J337">
        <v>35</v>
      </c>
      <c r="K337">
        <v>34</v>
      </c>
      <c r="L337" t="s">
        <v>536</v>
      </c>
      <c r="M337">
        <v>3</v>
      </c>
      <c r="N337" t="s">
        <v>170</v>
      </c>
      <c r="O337" t="s">
        <v>170</v>
      </c>
      <c r="P337" t="s">
        <v>420</v>
      </c>
      <c r="Q337" t="s">
        <v>1264</v>
      </c>
      <c r="R337" t="s">
        <v>692</v>
      </c>
      <c r="S337">
        <v>2014</v>
      </c>
      <c r="T337">
        <v>6</v>
      </c>
      <c r="U337" t="s">
        <v>370</v>
      </c>
      <c r="V337" t="s">
        <v>408</v>
      </c>
      <c r="W337">
        <v>0</v>
      </c>
      <c r="X337">
        <v>0</v>
      </c>
      <c r="Y337" t="s">
        <v>408</v>
      </c>
      <c r="Z337">
        <v>2014</v>
      </c>
      <c r="AA337">
        <v>2014</v>
      </c>
      <c r="AB337" s="5">
        <v>0.351764561172</v>
      </c>
      <c r="AC337" s="5">
        <v>0.703529122344</v>
      </c>
      <c r="AD337" t="s">
        <v>408</v>
      </c>
      <c r="AE337" t="s">
        <v>152</v>
      </c>
      <c r="AF337" t="s">
        <v>408</v>
      </c>
      <c r="AG337" t="s">
        <v>408</v>
      </c>
      <c r="AH337" t="s">
        <v>408</v>
      </c>
      <c r="AI337" t="s">
        <v>408</v>
      </c>
      <c r="AJ337" t="s">
        <v>408</v>
      </c>
      <c r="AK337" t="s">
        <v>408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s="58">
        <f t="shared" si="5"/>
        <v>1</v>
      </c>
      <c r="AU337" s="79">
        <v>43335</v>
      </c>
      <c r="AV337" s="78" t="s">
        <v>410</v>
      </c>
      <c r="AW337" t="s">
        <v>408</v>
      </c>
      <c r="AX337">
        <v>2</v>
      </c>
      <c r="AY337" t="s">
        <v>412</v>
      </c>
      <c r="AZ337" t="s">
        <v>408</v>
      </c>
    </row>
    <row r="338" spans="1:52" x14ac:dyDescent="0.3">
      <c r="A338">
        <v>327</v>
      </c>
      <c r="B338" t="s">
        <v>1265</v>
      </c>
      <c r="C338" t="s">
        <v>447</v>
      </c>
      <c r="D338" t="s">
        <v>1266</v>
      </c>
      <c r="E338" t="s">
        <v>417</v>
      </c>
      <c r="F338" t="s">
        <v>408</v>
      </c>
      <c r="G338">
        <v>801</v>
      </c>
      <c r="H338">
        <v>800</v>
      </c>
      <c r="I338" t="s">
        <v>496</v>
      </c>
      <c r="J338">
        <v>1601</v>
      </c>
      <c r="K338">
        <v>1600</v>
      </c>
      <c r="L338" t="s">
        <v>1053</v>
      </c>
      <c r="M338">
        <v>3</v>
      </c>
      <c r="N338" t="s">
        <v>165</v>
      </c>
      <c r="O338" t="s">
        <v>165</v>
      </c>
      <c r="P338" t="s">
        <v>403</v>
      </c>
      <c r="Q338" t="s">
        <v>1267</v>
      </c>
      <c r="R338" t="s">
        <v>1194</v>
      </c>
      <c r="S338">
        <v>2014</v>
      </c>
      <c r="T338">
        <v>8</v>
      </c>
      <c r="U338" t="s">
        <v>370</v>
      </c>
      <c r="V338" t="s">
        <v>408</v>
      </c>
      <c r="W338">
        <v>0</v>
      </c>
      <c r="X338">
        <v>0</v>
      </c>
      <c r="Y338" t="s">
        <v>408</v>
      </c>
      <c r="Z338">
        <v>2014</v>
      </c>
      <c r="AA338">
        <v>2014</v>
      </c>
      <c r="AB338" s="5">
        <v>0.99533850050700001</v>
      </c>
      <c r="AC338" s="5">
        <v>1.9906770010099999</v>
      </c>
      <c r="AD338" t="s">
        <v>408</v>
      </c>
      <c r="AE338" t="s">
        <v>152</v>
      </c>
      <c r="AF338" t="s">
        <v>408</v>
      </c>
      <c r="AG338" t="s">
        <v>408</v>
      </c>
      <c r="AH338" t="s">
        <v>408</v>
      </c>
      <c r="AI338" t="s">
        <v>408</v>
      </c>
      <c r="AJ338" t="s">
        <v>408</v>
      </c>
      <c r="AK338" t="s">
        <v>408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 s="58">
        <f t="shared" si="5"/>
        <v>1</v>
      </c>
      <c r="AU338" s="79">
        <v>43347</v>
      </c>
      <c r="AV338" s="78" t="s">
        <v>410</v>
      </c>
      <c r="AW338" t="s">
        <v>152</v>
      </c>
      <c r="AX338">
        <v>2</v>
      </c>
      <c r="AY338" t="s">
        <v>412</v>
      </c>
      <c r="AZ338" t="s">
        <v>408</v>
      </c>
    </row>
    <row r="339" spans="1:52" x14ac:dyDescent="0.3">
      <c r="A339">
        <v>328</v>
      </c>
      <c r="B339" t="s">
        <v>397</v>
      </c>
      <c r="C339" t="s">
        <v>447</v>
      </c>
      <c r="D339" t="s">
        <v>398</v>
      </c>
      <c r="E339" t="s">
        <v>399</v>
      </c>
      <c r="F339" t="s">
        <v>408</v>
      </c>
      <c r="G339">
        <v>800</v>
      </c>
      <c r="H339">
        <v>801</v>
      </c>
      <c r="I339" t="s">
        <v>496</v>
      </c>
      <c r="J339">
        <v>1562</v>
      </c>
      <c r="K339">
        <v>1563</v>
      </c>
      <c r="L339" t="s">
        <v>1053</v>
      </c>
      <c r="M339">
        <v>3</v>
      </c>
      <c r="N339" t="s">
        <v>165</v>
      </c>
      <c r="O339" t="s">
        <v>165</v>
      </c>
      <c r="P339" t="s">
        <v>403</v>
      </c>
      <c r="Q339" t="s">
        <v>1268</v>
      </c>
      <c r="R339" t="s">
        <v>526</v>
      </c>
      <c r="S339">
        <v>2014</v>
      </c>
      <c r="T339">
        <v>8</v>
      </c>
      <c r="U339" t="s">
        <v>408</v>
      </c>
      <c r="V339" t="s">
        <v>408</v>
      </c>
      <c r="W339">
        <v>0</v>
      </c>
      <c r="X339">
        <v>0</v>
      </c>
      <c r="Y339" t="s">
        <v>408</v>
      </c>
      <c r="Z339">
        <v>2014</v>
      </c>
      <c r="AA339">
        <v>0</v>
      </c>
      <c r="AB339" s="5">
        <v>1.0085710725399999</v>
      </c>
      <c r="AC339" s="5">
        <v>2.0171421450799998</v>
      </c>
      <c r="AD339" t="s">
        <v>408</v>
      </c>
      <c r="AE339" t="s">
        <v>152</v>
      </c>
      <c r="AF339" t="s">
        <v>408</v>
      </c>
      <c r="AG339" t="s">
        <v>408</v>
      </c>
      <c r="AH339" t="s">
        <v>408</v>
      </c>
      <c r="AI339" t="s">
        <v>408</v>
      </c>
      <c r="AJ339" t="s">
        <v>408</v>
      </c>
      <c r="AK339" t="s">
        <v>408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 s="58">
        <f t="shared" si="5"/>
        <v>1</v>
      </c>
      <c r="AU339" s="79">
        <v>43320</v>
      </c>
      <c r="AV339" s="78" t="s">
        <v>410</v>
      </c>
      <c r="AW339" t="s">
        <v>411</v>
      </c>
      <c r="AX339">
        <v>2</v>
      </c>
      <c r="AY339" t="s">
        <v>412</v>
      </c>
      <c r="AZ339" t="s">
        <v>408</v>
      </c>
    </row>
    <row r="340" spans="1:52" x14ac:dyDescent="0.3">
      <c r="A340">
        <v>329</v>
      </c>
      <c r="B340" t="s">
        <v>489</v>
      </c>
      <c r="C340" t="s">
        <v>155</v>
      </c>
      <c r="D340" t="s">
        <v>490</v>
      </c>
      <c r="E340" t="s">
        <v>460</v>
      </c>
      <c r="F340" t="s">
        <v>408</v>
      </c>
      <c r="G340">
        <v>443</v>
      </c>
      <c r="H340">
        <v>442</v>
      </c>
      <c r="I340" t="s">
        <v>747</v>
      </c>
      <c r="J340">
        <v>401</v>
      </c>
      <c r="K340">
        <v>400</v>
      </c>
      <c r="L340" t="s">
        <v>442</v>
      </c>
      <c r="M340">
        <v>3</v>
      </c>
      <c r="N340" t="s">
        <v>165</v>
      </c>
      <c r="O340" t="s">
        <v>165</v>
      </c>
      <c r="P340" t="s">
        <v>420</v>
      </c>
      <c r="Q340" t="s">
        <v>408</v>
      </c>
      <c r="R340" t="s">
        <v>692</v>
      </c>
      <c r="S340">
        <v>2014</v>
      </c>
      <c r="T340">
        <v>6</v>
      </c>
      <c r="U340" t="s">
        <v>370</v>
      </c>
      <c r="V340" t="s">
        <v>469</v>
      </c>
      <c r="W340">
        <v>2018</v>
      </c>
      <c r="X340">
        <v>5</v>
      </c>
      <c r="Y340" t="s">
        <v>408</v>
      </c>
      <c r="Z340">
        <v>2018</v>
      </c>
      <c r="AA340">
        <v>2014</v>
      </c>
      <c r="AB340" s="5">
        <v>7.4820676382699999E-2</v>
      </c>
      <c r="AC340" s="5">
        <v>0.14964135276500001</v>
      </c>
      <c r="AD340" t="s">
        <v>408</v>
      </c>
      <c r="AE340" t="s">
        <v>152</v>
      </c>
      <c r="AF340" t="s">
        <v>408</v>
      </c>
      <c r="AG340" t="s">
        <v>408</v>
      </c>
      <c r="AH340" t="s">
        <v>408</v>
      </c>
      <c r="AI340" t="s">
        <v>408</v>
      </c>
      <c r="AJ340" t="s">
        <v>408</v>
      </c>
      <c r="AK340" t="s">
        <v>411</v>
      </c>
      <c r="AL340">
        <v>2017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s="58">
        <f t="shared" si="5"/>
        <v>1</v>
      </c>
      <c r="AU340" s="79">
        <v>43335</v>
      </c>
      <c r="AV340" t="s">
        <v>410</v>
      </c>
      <c r="AW340" t="s">
        <v>411</v>
      </c>
      <c r="AX340">
        <v>2</v>
      </c>
      <c r="AY340" t="s">
        <v>412</v>
      </c>
      <c r="AZ340" t="s">
        <v>408</v>
      </c>
    </row>
    <row r="341" spans="1:52" x14ac:dyDescent="0.3">
      <c r="A341">
        <v>330</v>
      </c>
      <c r="B341" t="s">
        <v>527</v>
      </c>
      <c r="C341" t="s">
        <v>447</v>
      </c>
      <c r="D341" t="s">
        <v>528</v>
      </c>
      <c r="E341" t="s">
        <v>417</v>
      </c>
      <c r="F341" t="s">
        <v>408</v>
      </c>
      <c r="G341">
        <v>2132</v>
      </c>
      <c r="H341">
        <v>2133</v>
      </c>
      <c r="I341" t="s">
        <v>1269</v>
      </c>
      <c r="J341">
        <v>2332</v>
      </c>
      <c r="K341">
        <v>2333</v>
      </c>
      <c r="L341" t="s">
        <v>1270</v>
      </c>
      <c r="M341">
        <v>3</v>
      </c>
      <c r="N341" t="s">
        <v>167</v>
      </c>
      <c r="O341" t="s">
        <v>167</v>
      </c>
      <c r="P341" t="s">
        <v>420</v>
      </c>
      <c r="Q341" t="s">
        <v>408</v>
      </c>
      <c r="R341" t="s">
        <v>497</v>
      </c>
      <c r="S341">
        <v>2003</v>
      </c>
      <c r="T341">
        <v>6</v>
      </c>
      <c r="U341" t="s">
        <v>408</v>
      </c>
      <c r="V341" t="s">
        <v>482</v>
      </c>
      <c r="W341">
        <v>2018</v>
      </c>
      <c r="X341">
        <v>7</v>
      </c>
      <c r="Y341" t="s">
        <v>370</v>
      </c>
      <c r="Z341">
        <v>2018</v>
      </c>
      <c r="AA341">
        <v>2018</v>
      </c>
      <c r="AB341" s="5">
        <v>0.31418396353599998</v>
      </c>
      <c r="AC341" s="5">
        <v>0.62836792707199995</v>
      </c>
      <c r="AD341" t="s">
        <v>408</v>
      </c>
      <c r="AE341" t="s">
        <v>152</v>
      </c>
      <c r="AF341" t="s">
        <v>408</v>
      </c>
      <c r="AG341" t="s">
        <v>408</v>
      </c>
      <c r="AH341" t="s">
        <v>408</v>
      </c>
      <c r="AI341" t="s">
        <v>408</v>
      </c>
      <c r="AJ341" t="s">
        <v>408</v>
      </c>
      <c r="AK341" t="s">
        <v>408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 s="58">
        <f t="shared" si="5"/>
        <v>1</v>
      </c>
      <c r="AU341" s="79">
        <v>43336</v>
      </c>
      <c r="AV341" s="78" t="s">
        <v>410</v>
      </c>
      <c r="AW341" t="s">
        <v>408</v>
      </c>
      <c r="AX341">
        <v>2</v>
      </c>
      <c r="AY341" t="s">
        <v>412</v>
      </c>
      <c r="AZ341" t="s">
        <v>408</v>
      </c>
    </row>
    <row r="342" spans="1:52" x14ac:dyDescent="0.3">
      <c r="A342">
        <v>331</v>
      </c>
      <c r="B342" t="s">
        <v>1146</v>
      </c>
      <c r="C342" t="s">
        <v>152</v>
      </c>
      <c r="D342" t="s">
        <v>1147</v>
      </c>
      <c r="E342" t="s">
        <v>417</v>
      </c>
      <c r="F342" t="s">
        <v>152</v>
      </c>
      <c r="G342">
        <v>147</v>
      </c>
      <c r="H342">
        <v>146</v>
      </c>
      <c r="I342" t="s">
        <v>963</v>
      </c>
      <c r="J342">
        <v>183</v>
      </c>
      <c r="K342">
        <v>182</v>
      </c>
      <c r="L342" t="s">
        <v>628</v>
      </c>
      <c r="M342">
        <v>4</v>
      </c>
      <c r="N342" t="s">
        <v>167</v>
      </c>
      <c r="O342" t="s">
        <v>167</v>
      </c>
      <c r="P342" t="s">
        <v>414</v>
      </c>
      <c r="Q342" t="s">
        <v>408</v>
      </c>
      <c r="R342" t="s">
        <v>1242</v>
      </c>
      <c r="S342">
        <v>1999</v>
      </c>
      <c r="T342">
        <v>5</v>
      </c>
      <c r="U342" t="s">
        <v>408</v>
      </c>
      <c r="V342" t="s">
        <v>513</v>
      </c>
      <c r="W342">
        <v>2017</v>
      </c>
      <c r="X342">
        <v>9</v>
      </c>
      <c r="Y342" t="s">
        <v>370</v>
      </c>
      <c r="Z342">
        <v>2017</v>
      </c>
      <c r="AA342">
        <v>2017</v>
      </c>
      <c r="AB342" s="5">
        <v>8.8325829461700006E-2</v>
      </c>
      <c r="AC342" s="5">
        <v>8.8325829461700006E-2</v>
      </c>
      <c r="AD342" t="s">
        <v>408</v>
      </c>
      <c r="AE342" t="s">
        <v>411</v>
      </c>
      <c r="AF342" t="s">
        <v>152</v>
      </c>
      <c r="AG342" t="s">
        <v>152</v>
      </c>
      <c r="AH342" t="s">
        <v>408</v>
      </c>
      <c r="AI342" t="s">
        <v>408</v>
      </c>
      <c r="AJ342" t="s">
        <v>408</v>
      </c>
      <c r="AK342" t="s">
        <v>408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 s="58">
        <f t="shared" si="5"/>
        <v>1</v>
      </c>
      <c r="AU342" s="79">
        <v>43347</v>
      </c>
      <c r="AV342" t="s">
        <v>410</v>
      </c>
      <c r="AW342" t="s">
        <v>408</v>
      </c>
      <c r="AX342">
        <v>2</v>
      </c>
      <c r="AY342" t="s">
        <v>412</v>
      </c>
      <c r="AZ342" t="s">
        <v>408</v>
      </c>
    </row>
    <row r="343" spans="1:52" x14ac:dyDescent="0.3">
      <c r="A343">
        <v>332</v>
      </c>
      <c r="B343" t="s">
        <v>538</v>
      </c>
      <c r="C343" t="s">
        <v>152</v>
      </c>
      <c r="D343" t="s">
        <v>539</v>
      </c>
      <c r="E343" t="s">
        <v>417</v>
      </c>
      <c r="F343" t="s">
        <v>408</v>
      </c>
      <c r="G343">
        <v>4400</v>
      </c>
      <c r="H343">
        <v>4401</v>
      </c>
      <c r="I343" t="s">
        <v>685</v>
      </c>
      <c r="J343">
        <v>4898</v>
      </c>
      <c r="K343">
        <v>4899</v>
      </c>
      <c r="L343" t="s">
        <v>686</v>
      </c>
      <c r="M343">
        <v>3</v>
      </c>
      <c r="N343" t="s">
        <v>170</v>
      </c>
      <c r="O343" t="s">
        <v>170</v>
      </c>
      <c r="P343" t="s">
        <v>420</v>
      </c>
      <c r="Q343" t="s">
        <v>408</v>
      </c>
      <c r="R343" t="s">
        <v>493</v>
      </c>
      <c r="S343">
        <v>2007</v>
      </c>
      <c r="T343">
        <v>6</v>
      </c>
      <c r="U343" t="s">
        <v>408</v>
      </c>
      <c r="V343" t="s">
        <v>513</v>
      </c>
      <c r="W343">
        <v>2017</v>
      </c>
      <c r="X343">
        <v>10</v>
      </c>
      <c r="Y343" t="s">
        <v>370</v>
      </c>
      <c r="Z343">
        <v>2017</v>
      </c>
      <c r="AA343">
        <v>2017</v>
      </c>
      <c r="AB343" s="5">
        <v>0.25419420696299999</v>
      </c>
      <c r="AC343" s="5">
        <v>0.50838841392599998</v>
      </c>
      <c r="AD343" t="s">
        <v>408</v>
      </c>
      <c r="AE343" t="s">
        <v>152</v>
      </c>
      <c r="AF343" t="s">
        <v>408</v>
      </c>
      <c r="AG343" t="s">
        <v>408</v>
      </c>
      <c r="AH343" t="s">
        <v>408</v>
      </c>
      <c r="AI343" t="s">
        <v>408</v>
      </c>
      <c r="AJ343" t="s">
        <v>408</v>
      </c>
      <c r="AK343" t="s">
        <v>408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s="58">
        <f t="shared" si="5"/>
        <v>1</v>
      </c>
      <c r="AU343" s="79">
        <v>43336</v>
      </c>
      <c r="AV343" s="78" t="s">
        <v>410</v>
      </c>
      <c r="AW343" t="s">
        <v>408</v>
      </c>
      <c r="AX343">
        <v>2</v>
      </c>
      <c r="AY343" t="s">
        <v>412</v>
      </c>
      <c r="AZ343" t="s">
        <v>408</v>
      </c>
    </row>
    <row r="344" spans="1:52" x14ac:dyDescent="0.3">
      <c r="A344">
        <v>333</v>
      </c>
      <c r="B344" t="s">
        <v>1001</v>
      </c>
      <c r="C344" t="s">
        <v>155</v>
      </c>
      <c r="D344" t="s">
        <v>1002</v>
      </c>
      <c r="E344" t="s">
        <v>460</v>
      </c>
      <c r="F344" t="s">
        <v>408</v>
      </c>
      <c r="G344">
        <v>3875</v>
      </c>
      <c r="H344">
        <v>3874</v>
      </c>
      <c r="I344" t="s">
        <v>915</v>
      </c>
      <c r="J344">
        <v>3731</v>
      </c>
      <c r="K344">
        <v>3730</v>
      </c>
      <c r="L344" t="s">
        <v>1003</v>
      </c>
      <c r="M344">
        <v>2</v>
      </c>
      <c r="N344" t="s">
        <v>167</v>
      </c>
      <c r="O344" t="s">
        <v>167</v>
      </c>
      <c r="P344" t="s">
        <v>420</v>
      </c>
      <c r="Q344" t="s">
        <v>408</v>
      </c>
      <c r="R344" t="s">
        <v>976</v>
      </c>
      <c r="S344">
        <v>2000</v>
      </c>
      <c r="T344">
        <v>9</v>
      </c>
      <c r="U344" t="s">
        <v>408</v>
      </c>
      <c r="V344" t="s">
        <v>511</v>
      </c>
      <c r="W344">
        <v>2018</v>
      </c>
      <c r="X344">
        <v>7</v>
      </c>
      <c r="Y344" t="s">
        <v>408</v>
      </c>
      <c r="Z344">
        <v>2018</v>
      </c>
      <c r="AA344">
        <v>2006</v>
      </c>
      <c r="AB344" s="5">
        <v>0.211722962786</v>
      </c>
      <c r="AC344" s="5">
        <v>0.423445925572</v>
      </c>
      <c r="AD344" t="s">
        <v>408</v>
      </c>
      <c r="AE344" t="s">
        <v>152</v>
      </c>
      <c r="AF344" t="s">
        <v>408</v>
      </c>
      <c r="AG344" t="s">
        <v>408</v>
      </c>
      <c r="AH344" t="s">
        <v>408</v>
      </c>
      <c r="AI344" t="s">
        <v>408</v>
      </c>
      <c r="AJ344" t="s">
        <v>408</v>
      </c>
      <c r="AK344" t="s">
        <v>408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 s="58">
        <f t="shared" si="5"/>
        <v>1</v>
      </c>
      <c r="AU344" s="79">
        <v>43347</v>
      </c>
      <c r="AV344" t="s">
        <v>410</v>
      </c>
      <c r="AW344" t="s">
        <v>408</v>
      </c>
      <c r="AX344">
        <v>2</v>
      </c>
      <c r="AY344" t="s">
        <v>412</v>
      </c>
      <c r="AZ344" t="s">
        <v>408</v>
      </c>
    </row>
    <row r="345" spans="1:52" x14ac:dyDescent="0.3">
      <c r="A345">
        <v>334</v>
      </c>
      <c r="B345" t="s">
        <v>811</v>
      </c>
      <c r="C345" t="s">
        <v>154</v>
      </c>
      <c r="D345" t="s">
        <v>812</v>
      </c>
      <c r="E345" t="s">
        <v>399</v>
      </c>
      <c r="F345" t="s">
        <v>408</v>
      </c>
      <c r="G345">
        <v>443</v>
      </c>
      <c r="H345">
        <v>442</v>
      </c>
      <c r="I345" t="s">
        <v>808</v>
      </c>
      <c r="J345">
        <v>300</v>
      </c>
      <c r="K345">
        <v>301</v>
      </c>
      <c r="L345" t="s">
        <v>1083</v>
      </c>
      <c r="M345">
        <v>2</v>
      </c>
      <c r="N345" t="s">
        <v>167</v>
      </c>
      <c r="O345" t="s">
        <v>167</v>
      </c>
      <c r="P345" t="s">
        <v>420</v>
      </c>
      <c r="Q345" t="s">
        <v>408</v>
      </c>
      <c r="R345" t="s">
        <v>697</v>
      </c>
      <c r="S345">
        <v>1996</v>
      </c>
      <c r="T345">
        <v>8</v>
      </c>
      <c r="U345" t="s">
        <v>408</v>
      </c>
      <c r="V345" t="s">
        <v>407</v>
      </c>
      <c r="W345">
        <v>2020</v>
      </c>
      <c r="X345">
        <v>0</v>
      </c>
      <c r="Y345" t="s">
        <v>408</v>
      </c>
      <c r="Z345">
        <v>2020</v>
      </c>
      <c r="AA345">
        <v>0</v>
      </c>
      <c r="AB345" s="5">
        <v>0.23136689497599999</v>
      </c>
      <c r="AC345" s="5">
        <v>0.46273378995199999</v>
      </c>
      <c r="AD345" t="s">
        <v>408</v>
      </c>
      <c r="AE345" t="s">
        <v>152</v>
      </c>
      <c r="AF345" t="s">
        <v>408</v>
      </c>
      <c r="AG345" t="s">
        <v>408</v>
      </c>
      <c r="AH345" t="s">
        <v>408</v>
      </c>
      <c r="AI345" t="s">
        <v>408</v>
      </c>
      <c r="AJ345" t="s">
        <v>408</v>
      </c>
      <c r="AK345" t="s">
        <v>411</v>
      </c>
      <c r="AL345">
        <v>2015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 s="58">
        <f t="shared" si="5"/>
        <v>1</v>
      </c>
      <c r="AU345" s="79" t="s">
        <v>431</v>
      </c>
      <c r="AV345" s="78" t="s">
        <v>410</v>
      </c>
      <c r="AW345" t="s">
        <v>408</v>
      </c>
      <c r="AX345">
        <v>2</v>
      </c>
      <c r="AY345" t="s">
        <v>412</v>
      </c>
      <c r="AZ345" t="s">
        <v>408</v>
      </c>
    </row>
    <row r="346" spans="1:52" x14ac:dyDescent="0.3">
      <c r="A346">
        <v>335</v>
      </c>
      <c r="B346" t="s">
        <v>1271</v>
      </c>
      <c r="C346" t="s">
        <v>154</v>
      </c>
      <c r="D346" t="s">
        <v>1272</v>
      </c>
      <c r="E346" t="s">
        <v>417</v>
      </c>
      <c r="F346" t="s">
        <v>400</v>
      </c>
      <c r="G346">
        <v>2449</v>
      </c>
      <c r="H346">
        <v>2448</v>
      </c>
      <c r="I346" t="s">
        <v>1273</v>
      </c>
      <c r="J346">
        <v>2401</v>
      </c>
      <c r="K346">
        <v>2400</v>
      </c>
      <c r="L346" t="s">
        <v>619</v>
      </c>
      <c r="M346">
        <v>4</v>
      </c>
      <c r="N346" t="s">
        <v>163</v>
      </c>
      <c r="O346" t="s">
        <v>163</v>
      </c>
      <c r="P346" t="s">
        <v>403</v>
      </c>
      <c r="Q346" t="s">
        <v>408</v>
      </c>
      <c r="R346" t="s">
        <v>805</v>
      </c>
      <c r="S346">
        <v>2021</v>
      </c>
      <c r="T346">
        <v>7</v>
      </c>
      <c r="U346" t="s">
        <v>408</v>
      </c>
      <c r="V346" t="s">
        <v>408</v>
      </c>
      <c r="W346">
        <v>0</v>
      </c>
      <c r="X346">
        <v>0</v>
      </c>
      <c r="Y346" t="s">
        <v>408</v>
      </c>
      <c r="Z346">
        <v>2021</v>
      </c>
      <c r="AA346">
        <v>2021</v>
      </c>
      <c r="AB346" s="5">
        <v>0.103847205219</v>
      </c>
      <c r="AC346" s="5">
        <v>0.20769441043799999</v>
      </c>
      <c r="AD346" t="s">
        <v>408</v>
      </c>
      <c r="AE346" t="s">
        <v>152</v>
      </c>
      <c r="AF346" t="s">
        <v>408</v>
      </c>
      <c r="AG346" t="s">
        <v>152</v>
      </c>
      <c r="AH346" t="s">
        <v>408</v>
      </c>
      <c r="AI346" t="s">
        <v>470</v>
      </c>
      <c r="AJ346" t="s">
        <v>152</v>
      </c>
      <c r="AK346" t="s">
        <v>408</v>
      </c>
      <c r="AL346">
        <v>2021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58">
        <f t="shared" si="5"/>
        <v>1</v>
      </c>
      <c r="AU346" s="79" t="s">
        <v>602</v>
      </c>
      <c r="AV346" s="78" t="s">
        <v>410</v>
      </c>
      <c r="AW346" t="s">
        <v>411</v>
      </c>
      <c r="AX346">
        <v>3</v>
      </c>
      <c r="AY346" t="s">
        <v>412</v>
      </c>
      <c r="AZ346">
        <v>20</v>
      </c>
    </row>
    <row r="347" spans="1:52" x14ac:dyDescent="0.3">
      <c r="A347">
        <v>336</v>
      </c>
      <c r="B347" t="s">
        <v>1271</v>
      </c>
      <c r="C347" t="s">
        <v>154</v>
      </c>
      <c r="D347" t="s">
        <v>1272</v>
      </c>
      <c r="E347" t="s">
        <v>417</v>
      </c>
      <c r="F347" t="s">
        <v>408</v>
      </c>
      <c r="G347">
        <v>2033</v>
      </c>
      <c r="H347">
        <v>2032</v>
      </c>
      <c r="I347" t="s">
        <v>1274</v>
      </c>
      <c r="J347">
        <v>2001</v>
      </c>
      <c r="K347">
        <v>2000</v>
      </c>
      <c r="L347" t="s">
        <v>435</v>
      </c>
      <c r="M347">
        <v>4</v>
      </c>
      <c r="N347" t="s">
        <v>165</v>
      </c>
      <c r="O347" t="s">
        <v>165</v>
      </c>
      <c r="P347" t="s">
        <v>420</v>
      </c>
      <c r="Q347" t="s">
        <v>1275</v>
      </c>
      <c r="R347" t="s">
        <v>445</v>
      </c>
      <c r="S347">
        <v>2012</v>
      </c>
      <c r="T347">
        <v>5</v>
      </c>
      <c r="U347" t="s">
        <v>408</v>
      </c>
      <c r="V347" t="s">
        <v>407</v>
      </c>
      <c r="W347">
        <v>2020</v>
      </c>
      <c r="X347">
        <v>0</v>
      </c>
      <c r="Y347" t="s">
        <v>408</v>
      </c>
      <c r="Z347">
        <v>2020</v>
      </c>
      <c r="AA347">
        <v>0</v>
      </c>
      <c r="AB347" s="5">
        <v>0.124928603097</v>
      </c>
      <c r="AC347" s="5">
        <v>0.24985720619400001</v>
      </c>
      <c r="AD347" t="s">
        <v>408</v>
      </c>
      <c r="AE347" t="s">
        <v>152</v>
      </c>
      <c r="AF347" t="s">
        <v>408</v>
      </c>
      <c r="AG347" t="s">
        <v>408</v>
      </c>
      <c r="AH347" t="s">
        <v>408</v>
      </c>
      <c r="AI347" t="s">
        <v>408</v>
      </c>
      <c r="AJ347" t="s">
        <v>408</v>
      </c>
      <c r="AK347" t="s">
        <v>408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s="58">
        <f t="shared" si="5"/>
        <v>1</v>
      </c>
      <c r="AU347" s="79" t="s">
        <v>431</v>
      </c>
      <c r="AV347" s="78" t="s">
        <v>410</v>
      </c>
      <c r="AW347" t="s">
        <v>152</v>
      </c>
      <c r="AX347">
        <v>3</v>
      </c>
      <c r="AY347" t="s">
        <v>412</v>
      </c>
      <c r="AZ347" t="s">
        <v>408</v>
      </c>
    </row>
    <row r="348" spans="1:52" x14ac:dyDescent="0.3">
      <c r="A348">
        <v>337</v>
      </c>
      <c r="B348" t="s">
        <v>1271</v>
      </c>
      <c r="C348" t="s">
        <v>154</v>
      </c>
      <c r="D348" t="s">
        <v>1272</v>
      </c>
      <c r="E348" t="s">
        <v>417</v>
      </c>
      <c r="F348" t="s">
        <v>408</v>
      </c>
      <c r="G348">
        <v>2101</v>
      </c>
      <c r="H348">
        <v>2100</v>
      </c>
      <c r="I348" t="s">
        <v>1276</v>
      </c>
      <c r="J348">
        <v>2127</v>
      </c>
      <c r="K348">
        <v>2126</v>
      </c>
      <c r="L348" t="s">
        <v>1274</v>
      </c>
      <c r="M348">
        <v>4</v>
      </c>
      <c r="N348" t="s">
        <v>165</v>
      </c>
      <c r="O348" t="s">
        <v>165</v>
      </c>
      <c r="P348" t="s">
        <v>420</v>
      </c>
      <c r="Q348" t="s">
        <v>408</v>
      </c>
      <c r="R348" t="s">
        <v>445</v>
      </c>
      <c r="S348">
        <v>2012</v>
      </c>
      <c r="T348">
        <v>5</v>
      </c>
      <c r="U348" t="s">
        <v>408</v>
      </c>
      <c r="V348" t="s">
        <v>407</v>
      </c>
      <c r="W348">
        <v>2020</v>
      </c>
      <c r="X348">
        <v>0</v>
      </c>
      <c r="Y348" t="s">
        <v>408</v>
      </c>
      <c r="Z348">
        <v>2020</v>
      </c>
      <c r="AA348">
        <v>2013</v>
      </c>
      <c r="AB348" s="5">
        <v>6.25026037551E-2</v>
      </c>
      <c r="AC348" s="5">
        <v>0.12500520750999999</v>
      </c>
      <c r="AD348" t="s">
        <v>408</v>
      </c>
      <c r="AE348" t="s">
        <v>152</v>
      </c>
      <c r="AF348" t="s">
        <v>408</v>
      </c>
      <c r="AG348" t="s">
        <v>408</v>
      </c>
      <c r="AH348" t="s">
        <v>408</v>
      </c>
      <c r="AI348" t="s">
        <v>408</v>
      </c>
      <c r="AJ348" t="s">
        <v>408</v>
      </c>
      <c r="AK348" t="s">
        <v>408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58">
        <f t="shared" si="5"/>
        <v>1</v>
      </c>
      <c r="AU348" s="79" t="s">
        <v>431</v>
      </c>
      <c r="AV348" t="s">
        <v>410</v>
      </c>
      <c r="AW348" t="s">
        <v>152</v>
      </c>
      <c r="AX348">
        <v>3</v>
      </c>
      <c r="AY348" t="s">
        <v>412</v>
      </c>
      <c r="AZ348" t="s">
        <v>408</v>
      </c>
    </row>
    <row r="349" spans="1:52" x14ac:dyDescent="0.3">
      <c r="A349">
        <v>338</v>
      </c>
      <c r="B349" t="s">
        <v>867</v>
      </c>
      <c r="C349" t="s">
        <v>154</v>
      </c>
      <c r="D349" t="s">
        <v>868</v>
      </c>
      <c r="E349" t="s">
        <v>466</v>
      </c>
      <c r="F349" t="s">
        <v>408</v>
      </c>
      <c r="G349">
        <v>1559</v>
      </c>
      <c r="H349">
        <v>1558</v>
      </c>
      <c r="I349" t="s">
        <v>545</v>
      </c>
      <c r="J349">
        <v>1401</v>
      </c>
      <c r="K349">
        <v>1400</v>
      </c>
      <c r="L349" t="s">
        <v>940</v>
      </c>
      <c r="M349">
        <v>4</v>
      </c>
      <c r="N349" t="s">
        <v>165</v>
      </c>
      <c r="O349" t="s">
        <v>165</v>
      </c>
      <c r="P349" t="s">
        <v>403</v>
      </c>
      <c r="Q349" t="s">
        <v>1238</v>
      </c>
      <c r="R349" t="s">
        <v>703</v>
      </c>
      <c r="S349">
        <v>2014</v>
      </c>
      <c r="T349">
        <v>7</v>
      </c>
      <c r="U349" t="s">
        <v>408</v>
      </c>
      <c r="V349" t="s">
        <v>454</v>
      </c>
      <c r="W349">
        <v>2018</v>
      </c>
      <c r="X349">
        <v>11</v>
      </c>
      <c r="Y349" t="s">
        <v>818</v>
      </c>
      <c r="Z349">
        <v>2018</v>
      </c>
      <c r="AA349">
        <v>2018</v>
      </c>
      <c r="AB349" s="5">
        <v>0.25213959532199998</v>
      </c>
      <c r="AC349" s="5">
        <v>0.50427919064399995</v>
      </c>
      <c r="AD349" t="s">
        <v>408</v>
      </c>
      <c r="AE349" t="s">
        <v>152</v>
      </c>
      <c r="AF349" t="s">
        <v>408</v>
      </c>
      <c r="AG349" t="s">
        <v>408</v>
      </c>
      <c r="AH349" t="s">
        <v>408</v>
      </c>
      <c r="AI349" t="s">
        <v>408</v>
      </c>
      <c r="AJ349" t="s">
        <v>408</v>
      </c>
      <c r="AK349" t="s">
        <v>408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 s="58">
        <f t="shared" si="5"/>
        <v>1</v>
      </c>
      <c r="AU349" s="79">
        <v>43342</v>
      </c>
      <c r="AV349" s="78" t="s">
        <v>410</v>
      </c>
      <c r="AW349" t="s">
        <v>152</v>
      </c>
      <c r="AX349">
        <v>2</v>
      </c>
      <c r="AY349" t="s">
        <v>412</v>
      </c>
      <c r="AZ349" t="s">
        <v>408</v>
      </c>
    </row>
    <row r="350" spans="1:52" x14ac:dyDescent="0.3">
      <c r="A350">
        <v>339</v>
      </c>
      <c r="B350" t="s">
        <v>1146</v>
      </c>
      <c r="C350" t="s">
        <v>155</v>
      </c>
      <c r="D350" t="s">
        <v>1147</v>
      </c>
      <c r="E350" t="s">
        <v>417</v>
      </c>
      <c r="F350" t="s">
        <v>408</v>
      </c>
      <c r="G350">
        <v>1637</v>
      </c>
      <c r="H350">
        <v>1640</v>
      </c>
      <c r="I350" t="s">
        <v>1277</v>
      </c>
      <c r="J350">
        <v>1401</v>
      </c>
      <c r="K350">
        <v>1400</v>
      </c>
      <c r="L350" t="s">
        <v>1278</v>
      </c>
      <c r="M350">
        <v>3</v>
      </c>
      <c r="N350" t="s">
        <v>167</v>
      </c>
      <c r="O350" t="s">
        <v>167</v>
      </c>
      <c r="P350" t="s">
        <v>420</v>
      </c>
      <c r="Q350" t="s">
        <v>408</v>
      </c>
      <c r="R350" t="s">
        <v>1279</v>
      </c>
      <c r="S350">
        <v>2007</v>
      </c>
      <c r="T350">
        <v>4</v>
      </c>
      <c r="U350" t="s">
        <v>1280</v>
      </c>
      <c r="V350" t="s">
        <v>910</v>
      </c>
      <c r="W350">
        <v>2013</v>
      </c>
      <c r="X350">
        <v>10</v>
      </c>
      <c r="Y350" t="s">
        <v>370</v>
      </c>
      <c r="Z350">
        <v>2013</v>
      </c>
      <c r="AA350">
        <v>2013</v>
      </c>
      <c r="AB350" s="5">
        <v>0.33259536641199999</v>
      </c>
      <c r="AC350" s="5">
        <v>0.66519073282399999</v>
      </c>
      <c r="AD350" t="s">
        <v>408</v>
      </c>
      <c r="AE350" t="s">
        <v>152</v>
      </c>
      <c r="AF350" t="s">
        <v>408</v>
      </c>
      <c r="AG350" t="s">
        <v>408</v>
      </c>
      <c r="AH350" t="s">
        <v>408</v>
      </c>
      <c r="AI350" t="s">
        <v>408</v>
      </c>
      <c r="AJ350" t="s">
        <v>408</v>
      </c>
      <c r="AK350" t="s">
        <v>411</v>
      </c>
      <c r="AL350">
        <v>2018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 s="58">
        <f t="shared" si="5"/>
        <v>1</v>
      </c>
      <c r="AU350" s="79">
        <v>43347</v>
      </c>
      <c r="AV350" t="s">
        <v>410</v>
      </c>
      <c r="AW350" t="s">
        <v>408</v>
      </c>
      <c r="AX350">
        <v>2</v>
      </c>
      <c r="AY350" t="s">
        <v>412</v>
      </c>
      <c r="AZ350" t="s">
        <v>408</v>
      </c>
    </row>
    <row r="351" spans="1:52" x14ac:dyDescent="0.3">
      <c r="A351">
        <v>340</v>
      </c>
      <c r="B351" t="s">
        <v>1091</v>
      </c>
      <c r="C351" t="s">
        <v>154</v>
      </c>
      <c r="D351" t="s">
        <v>1092</v>
      </c>
      <c r="E351" t="s">
        <v>417</v>
      </c>
      <c r="F351" t="s">
        <v>408</v>
      </c>
      <c r="G351">
        <v>3573</v>
      </c>
      <c r="H351">
        <v>3572</v>
      </c>
      <c r="I351" t="s">
        <v>401</v>
      </c>
      <c r="J351">
        <v>2401</v>
      </c>
      <c r="K351">
        <v>2400</v>
      </c>
      <c r="L351" t="s">
        <v>576</v>
      </c>
      <c r="M351">
        <v>2</v>
      </c>
      <c r="N351" t="s">
        <v>165</v>
      </c>
      <c r="O351" t="s">
        <v>165</v>
      </c>
      <c r="P351" t="s">
        <v>420</v>
      </c>
      <c r="Q351" t="s">
        <v>1281</v>
      </c>
      <c r="R351" t="s">
        <v>1194</v>
      </c>
      <c r="S351">
        <v>2014</v>
      </c>
      <c r="T351">
        <v>9</v>
      </c>
      <c r="U351" t="s">
        <v>452</v>
      </c>
      <c r="V351" t="s">
        <v>408</v>
      </c>
      <c r="W351">
        <v>0</v>
      </c>
      <c r="X351">
        <v>0</v>
      </c>
      <c r="Y351" t="s">
        <v>408</v>
      </c>
      <c r="Z351">
        <v>2014</v>
      </c>
      <c r="AA351">
        <v>2014</v>
      </c>
      <c r="AB351" s="5">
        <v>1.5264088974400001</v>
      </c>
      <c r="AC351" s="5">
        <v>3.0528177948800002</v>
      </c>
      <c r="AD351" t="s">
        <v>408</v>
      </c>
      <c r="AE351" t="s">
        <v>152</v>
      </c>
      <c r="AF351" t="s">
        <v>408</v>
      </c>
      <c r="AG351" t="s">
        <v>408</v>
      </c>
      <c r="AH351" t="s">
        <v>408</v>
      </c>
      <c r="AI351" t="s">
        <v>408</v>
      </c>
      <c r="AJ351" t="s">
        <v>408</v>
      </c>
      <c r="AK351" t="s">
        <v>408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 s="58">
        <f t="shared" si="5"/>
        <v>1</v>
      </c>
      <c r="AU351" s="79">
        <v>43347</v>
      </c>
      <c r="AV351" s="78" t="s">
        <v>410</v>
      </c>
      <c r="AW351" t="s">
        <v>152</v>
      </c>
      <c r="AX351">
        <v>2</v>
      </c>
      <c r="AY351" t="s">
        <v>412</v>
      </c>
      <c r="AZ351" t="s">
        <v>408</v>
      </c>
    </row>
    <row r="352" spans="1:52" x14ac:dyDescent="0.3">
      <c r="A352">
        <v>341</v>
      </c>
      <c r="B352" t="s">
        <v>720</v>
      </c>
      <c r="C352" t="s">
        <v>152</v>
      </c>
      <c r="D352" t="s">
        <v>721</v>
      </c>
      <c r="E352" t="s">
        <v>460</v>
      </c>
      <c r="F352" t="s">
        <v>400</v>
      </c>
      <c r="G352">
        <v>2600</v>
      </c>
      <c r="H352">
        <v>2601</v>
      </c>
      <c r="I352" t="s">
        <v>474</v>
      </c>
      <c r="J352">
        <v>3050</v>
      </c>
      <c r="K352">
        <v>3051</v>
      </c>
      <c r="L352" t="s">
        <v>775</v>
      </c>
      <c r="M352">
        <v>2</v>
      </c>
      <c r="N352" t="s">
        <v>165</v>
      </c>
      <c r="O352" t="s">
        <v>165</v>
      </c>
      <c r="P352" t="s">
        <v>403</v>
      </c>
      <c r="Q352" t="s">
        <v>776</v>
      </c>
      <c r="R352" t="s">
        <v>408</v>
      </c>
      <c r="S352">
        <v>0</v>
      </c>
      <c r="T352">
        <v>0</v>
      </c>
      <c r="U352" t="s">
        <v>777</v>
      </c>
      <c r="V352" t="s">
        <v>778</v>
      </c>
      <c r="W352">
        <v>2017</v>
      </c>
      <c r="X352">
        <v>7</v>
      </c>
      <c r="Y352" t="s">
        <v>370</v>
      </c>
      <c r="Z352">
        <v>2022</v>
      </c>
      <c r="AA352">
        <v>2017</v>
      </c>
      <c r="AB352" s="5">
        <v>0.37860685860400001</v>
      </c>
      <c r="AC352" s="5">
        <v>0.75721400000000005</v>
      </c>
      <c r="AD352" t="s">
        <v>400</v>
      </c>
      <c r="AE352" t="s">
        <v>152</v>
      </c>
      <c r="AF352" t="s">
        <v>400</v>
      </c>
      <c r="AG352" t="s">
        <v>400</v>
      </c>
      <c r="AH352" t="s">
        <v>400</v>
      </c>
      <c r="AI352" t="s">
        <v>744</v>
      </c>
      <c r="AJ352" t="s">
        <v>400</v>
      </c>
      <c r="AK352" t="s">
        <v>408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 s="58">
        <f t="shared" si="5"/>
        <v>1</v>
      </c>
      <c r="AU352" s="79" t="s">
        <v>666</v>
      </c>
      <c r="AV352" s="78" t="s">
        <v>410</v>
      </c>
      <c r="AW352" t="s">
        <v>400</v>
      </c>
      <c r="AX352">
        <v>2</v>
      </c>
      <c r="AY352" t="s">
        <v>412</v>
      </c>
      <c r="AZ352">
        <v>30</v>
      </c>
    </row>
    <row r="353" spans="1:52" x14ac:dyDescent="0.3">
      <c r="A353">
        <v>342</v>
      </c>
      <c r="B353" t="s">
        <v>1282</v>
      </c>
      <c r="C353" t="s">
        <v>154</v>
      </c>
      <c r="D353" t="s">
        <v>908</v>
      </c>
      <c r="E353" t="s">
        <v>466</v>
      </c>
      <c r="F353" t="s">
        <v>447</v>
      </c>
      <c r="G353">
        <v>1800</v>
      </c>
      <c r="H353">
        <v>1801</v>
      </c>
      <c r="I353" t="s">
        <v>1283</v>
      </c>
      <c r="J353">
        <v>1529</v>
      </c>
      <c r="K353">
        <v>1528</v>
      </c>
      <c r="L353" t="s">
        <v>647</v>
      </c>
      <c r="M353">
        <v>4</v>
      </c>
      <c r="N353" t="s">
        <v>165</v>
      </c>
      <c r="O353" t="s">
        <v>165</v>
      </c>
      <c r="P353" t="s">
        <v>403</v>
      </c>
      <c r="Q353" t="s">
        <v>1284</v>
      </c>
      <c r="R353" t="s">
        <v>562</v>
      </c>
      <c r="S353">
        <v>2014</v>
      </c>
      <c r="T353">
        <v>10</v>
      </c>
      <c r="U353" t="s">
        <v>408</v>
      </c>
      <c r="V353" t="s">
        <v>408</v>
      </c>
      <c r="W353">
        <v>0</v>
      </c>
      <c r="X353">
        <v>0</v>
      </c>
      <c r="Y353" t="s">
        <v>408</v>
      </c>
      <c r="Z353">
        <v>2014</v>
      </c>
      <c r="AA353">
        <v>2011</v>
      </c>
      <c r="AB353" s="5">
        <v>0.37184080452200002</v>
      </c>
      <c r="AC353" s="5">
        <v>0.37184080452200002</v>
      </c>
      <c r="AD353" t="s">
        <v>400</v>
      </c>
      <c r="AE353" t="s">
        <v>411</v>
      </c>
      <c r="AF353" t="s">
        <v>447</v>
      </c>
      <c r="AG353" t="s">
        <v>152</v>
      </c>
      <c r="AH353" t="s">
        <v>408</v>
      </c>
      <c r="AI353" t="s">
        <v>408</v>
      </c>
      <c r="AJ353" t="s">
        <v>408</v>
      </c>
      <c r="AK353" t="s">
        <v>408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 s="58">
        <f t="shared" si="5"/>
        <v>1</v>
      </c>
      <c r="AU353" s="79" t="s">
        <v>602</v>
      </c>
      <c r="AV353" s="78" t="s">
        <v>410</v>
      </c>
      <c r="AW353" t="s">
        <v>152</v>
      </c>
      <c r="AX353">
        <v>2</v>
      </c>
      <c r="AY353" t="s">
        <v>412</v>
      </c>
      <c r="AZ353" t="s">
        <v>408</v>
      </c>
    </row>
    <row r="354" spans="1:52" x14ac:dyDescent="0.3">
      <c r="A354">
        <v>343</v>
      </c>
      <c r="B354" t="s">
        <v>1285</v>
      </c>
      <c r="C354" t="s">
        <v>155</v>
      </c>
      <c r="D354" t="s">
        <v>832</v>
      </c>
      <c r="E354" t="s">
        <v>417</v>
      </c>
      <c r="F354" t="s">
        <v>408</v>
      </c>
      <c r="G354">
        <v>539</v>
      </c>
      <c r="H354">
        <v>532</v>
      </c>
      <c r="I354" t="s">
        <v>535</v>
      </c>
      <c r="J354">
        <v>417</v>
      </c>
      <c r="K354">
        <v>416</v>
      </c>
      <c r="L354" t="s">
        <v>442</v>
      </c>
      <c r="M354">
        <v>4</v>
      </c>
      <c r="N354" t="s">
        <v>165</v>
      </c>
      <c r="O354" t="s">
        <v>165</v>
      </c>
      <c r="P354" t="s">
        <v>420</v>
      </c>
      <c r="Q354" t="s">
        <v>1286</v>
      </c>
      <c r="R354" t="s">
        <v>1287</v>
      </c>
      <c r="S354">
        <v>2014</v>
      </c>
      <c r="T354">
        <v>10</v>
      </c>
      <c r="U354" t="s">
        <v>1288</v>
      </c>
      <c r="V354" t="s">
        <v>408</v>
      </c>
      <c r="W354">
        <v>0</v>
      </c>
      <c r="X354">
        <v>0</v>
      </c>
      <c r="Y354" t="s">
        <v>408</v>
      </c>
      <c r="Z354">
        <v>2014</v>
      </c>
      <c r="AA354">
        <v>2014</v>
      </c>
      <c r="AB354" s="5">
        <v>0.15413427324599999</v>
      </c>
      <c r="AC354" s="5">
        <v>0.30826854649199997</v>
      </c>
      <c r="AD354" t="s">
        <v>408</v>
      </c>
      <c r="AE354" t="s">
        <v>152</v>
      </c>
      <c r="AF354" t="s">
        <v>408</v>
      </c>
      <c r="AG354" t="s">
        <v>408</v>
      </c>
      <c r="AH354" t="s">
        <v>408</v>
      </c>
      <c r="AI354" t="s">
        <v>408</v>
      </c>
      <c r="AJ354" t="s">
        <v>408</v>
      </c>
      <c r="AK354" t="s">
        <v>411</v>
      </c>
      <c r="AL354">
        <v>2015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 s="58">
        <f t="shared" si="5"/>
        <v>1</v>
      </c>
      <c r="AU354" s="79">
        <v>43342</v>
      </c>
      <c r="AV354" s="78" t="s">
        <v>410</v>
      </c>
      <c r="AW354" t="s">
        <v>411</v>
      </c>
      <c r="AX354">
        <v>2</v>
      </c>
      <c r="AY354" t="s">
        <v>412</v>
      </c>
      <c r="AZ354" t="s">
        <v>408</v>
      </c>
    </row>
    <row r="355" spans="1:52" x14ac:dyDescent="0.3">
      <c r="A355">
        <v>344</v>
      </c>
      <c r="B355" t="s">
        <v>1289</v>
      </c>
      <c r="C355" t="s">
        <v>154</v>
      </c>
      <c r="D355" t="s">
        <v>1290</v>
      </c>
      <c r="E355" t="s">
        <v>417</v>
      </c>
      <c r="F355" t="s">
        <v>408</v>
      </c>
      <c r="G355">
        <v>801</v>
      </c>
      <c r="H355">
        <v>800</v>
      </c>
      <c r="I355" t="s">
        <v>502</v>
      </c>
      <c r="J355">
        <v>1301</v>
      </c>
      <c r="K355">
        <v>1300</v>
      </c>
      <c r="L355" t="s">
        <v>647</v>
      </c>
      <c r="M355">
        <v>4</v>
      </c>
      <c r="N355" t="s">
        <v>165</v>
      </c>
      <c r="O355" t="s">
        <v>165</v>
      </c>
      <c r="P355" t="s">
        <v>420</v>
      </c>
      <c r="Q355" t="s">
        <v>1291</v>
      </c>
      <c r="R355" t="s">
        <v>703</v>
      </c>
      <c r="S355">
        <v>2014</v>
      </c>
      <c r="T355">
        <v>10</v>
      </c>
      <c r="U355" t="s">
        <v>408</v>
      </c>
      <c r="V355" t="s">
        <v>487</v>
      </c>
      <c r="W355">
        <v>2020</v>
      </c>
      <c r="X355">
        <v>0</v>
      </c>
      <c r="Y355" t="s">
        <v>408</v>
      </c>
      <c r="Z355">
        <v>2020</v>
      </c>
      <c r="AA355">
        <v>0</v>
      </c>
      <c r="AB355" s="5">
        <v>0.63886034112400003</v>
      </c>
      <c r="AC355" s="5">
        <v>1.27772068225</v>
      </c>
      <c r="AD355" t="s">
        <v>408</v>
      </c>
      <c r="AE355" t="s">
        <v>152</v>
      </c>
      <c r="AF355" t="s">
        <v>408</v>
      </c>
      <c r="AG355" t="s">
        <v>408</v>
      </c>
      <c r="AH355" t="s">
        <v>408</v>
      </c>
      <c r="AI355" t="s">
        <v>408</v>
      </c>
      <c r="AJ355" t="s">
        <v>408</v>
      </c>
      <c r="AK355" t="s">
        <v>408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 s="58">
        <f t="shared" si="5"/>
        <v>1</v>
      </c>
      <c r="AU355" s="79" t="s">
        <v>592</v>
      </c>
      <c r="AV355" s="78" t="s">
        <v>410</v>
      </c>
      <c r="AW355" t="s">
        <v>152</v>
      </c>
      <c r="AX355">
        <v>2</v>
      </c>
      <c r="AY355" t="s">
        <v>412</v>
      </c>
      <c r="AZ355" t="s">
        <v>408</v>
      </c>
    </row>
    <row r="356" spans="1:52" x14ac:dyDescent="0.3">
      <c r="A356">
        <v>345</v>
      </c>
      <c r="B356" t="s">
        <v>472</v>
      </c>
      <c r="C356" t="s">
        <v>152</v>
      </c>
      <c r="D356" t="s">
        <v>473</v>
      </c>
      <c r="E356" t="s">
        <v>460</v>
      </c>
      <c r="F356" t="s">
        <v>408</v>
      </c>
      <c r="G356">
        <v>2201</v>
      </c>
      <c r="H356">
        <v>2200</v>
      </c>
      <c r="I356" t="s">
        <v>480</v>
      </c>
      <c r="J356">
        <v>2297</v>
      </c>
      <c r="K356">
        <v>2296</v>
      </c>
      <c r="L356" t="s">
        <v>1292</v>
      </c>
      <c r="M356">
        <v>3</v>
      </c>
      <c r="N356" t="s">
        <v>165</v>
      </c>
      <c r="O356" t="s">
        <v>165</v>
      </c>
      <c r="P356" t="s">
        <v>403</v>
      </c>
      <c r="Q356" t="s">
        <v>771</v>
      </c>
      <c r="R356" t="s">
        <v>526</v>
      </c>
      <c r="S356">
        <v>2014</v>
      </c>
      <c r="T356">
        <v>10</v>
      </c>
      <c r="U356" t="s">
        <v>408</v>
      </c>
      <c r="V356" t="s">
        <v>408</v>
      </c>
      <c r="W356">
        <v>0</v>
      </c>
      <c r="X356">
        <v>0</v>
      </c>
      <c r="Y356" t="s">
        <v>408</v>
      </c>
      <c r="Z356">
        <v>2014</v>
      </c>
      <c r="AA356">
        <v>2002</v>
      </c>
      <c r="AB356" s="5">
        <v>0.18813388686900001</v>
      </c>
      <c r="AC356" s="5">
        <v>0.37626777373800002</v>
      </c>
      <c r="AD356" t="s">
        <v>408</v>
      </c>
      <c r="AE356" t="s">
        <v>152</v>
      </c>
      <c r="AF356" t="s">
        <v>408</v>
      </c>
      <c r="AG356" t="s">
        <v>408</v>
      </c>
      <c r="AH356" t="s">
        <v>408</v>
      </c>
      <c r="AI356" t="s">
        <v>408</v>
      </c>
      <c r="AJ356" t="s">
        <v>408</v>
      </c>
      <c r="AK356" t="s">
        <v>408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 s="58">
        <f t="shared" si="5"/>
        <v>1</v>
      </c>
      <c r="AU356" s="79">
        <v>43333</v>
      </c>
      <c r="AV356" s="78" t="s">
        <v>410</v>
      </c>
      <c r="AW356" t="s">
        <v>152</v>
      </c>
      <c r="AX356">
        <v>2</v>
      </c>
      <c r="AY356" t="s">
        <v>412</v>
      </c>
      <c r="AZ356" t="s">
        <v>408</v>
      </c>
    </row>
    <row r="357" spans="1:52" x14ac:dyDescent="0.3">
      <c r="A357">
        <v>346</v>
      </c>
      <c r="B357" t="s">
        <v>1293</v>
      </c>
      <c r="C357" t="s">
        <v>154</v>
      </c>
      <c r="D357" t="s">
        <v>1294</v>
      </c>
      <c r="E357" t="s">
        <v>399</v>
      </c>
      <c r="F357" t="s">
        <v>400</v>
      </c>
      <c r="G357">
        <v>2400</v>
      </c>
      <c r="H357">
        <v>2401</v>
      </c>
      <c r="I357" t="s">
        <v>576</v>
      </c>
      <c r="J357">
        <v>2000</v>
      </c>
      <c r="K357">
        <v>2001</v>
      </c>
      <c r="L357" t="s">
        <v>418</v>
      </c>
      <c r="M357">
        <v>2</v>
      </c>
      <c r="N357" t="s">
        <v>165</v>
      </c>
      <c r="O357" t="s">
        <v>165</v>
      </c>
      <c r="P357" t="s">
        <v>420</v>
      </c>
      <c r="Q357" t="s">
        <v>1295</v>
      </c>
      <c r="R357" t="s">
        <v>1194</v>
      </c>
      <c r="S357">
        <v>2014</v>
      </c>
      <c r="T357">
        <v>10</v>
      </c>
      <c r="U357" t="s">
        <v>452</v>
      </c>
      <c r="V357" t="s">
        <v>408</v>
      </c>
      <c r="W357">
        <v>0</v>
      </c>
      <c r="X357">
        <v>0</v>
      </c>
      <c r="Y357" t="s">
        <v>408</v>
      </c>
      <c r="Z357">
        <v>2014</v>
      </c>
      <c r="AA357">
        <v>2014</v>
      </c>
      <c r="AB357" s="5">
        <v>0.50547010044200003</v>
      </c>
      <c r="AC357" s="5">
        <v>1.0109402008799999</v>
      </c>
      <c r="AD357" t="s">
        <v>400</v>
      </c>
      <c r="AE357" t="s">
        <v>152</v>
      </c>
      <c r="AF357" t="s">
        <v>400</v>
      </c>
      <c r="AG357" t="s">
        <v>400</v>
      </c>
      <c r="AH357" t="s">
        <v>400</v>
      </c>
      <c r="AI357" t="s">
        <v>400</v>
      </c>
      <c r="AJ357" t="s">
        <v>400</v>
      </c>
      <c r="AK357" t="s">
        <v>408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 s="58">
        <f t="shared" si="5"/>
        <v>1</v>
      </c>
      <c r="AU357" s="79" t="s">
        <v>602</v>
      </c>
      <c r="AV357" s="78" t="s">
        <v>410</v>
      </c>
      <c r="AW357" t="s">
        <v>152</v>
      </c>
      <c r="AX357">
        <v>2</v>
      </c>
      <c r="AY357" t="s">
        <v>412</v>
      </c>
      <c r="AZ357" t="s">
        <v>408</v>
      </c>
    </row>
    <row r="358" spans="1:52" x14ac:dyDescent="0.3">
      <c r="A358">
        <v>347</v>
      </c>
      <c r="B358" t="s">
        <v>1296</v>
      </c>
      <c r="C358" t="s">
        <v>154</v>
      </c>
      <c r="D358" t="s">
        <v>1297</v>
      </c>
      <c r="E358" t="s">
        <v>466</v>
      </c>
      <c r="F358" t="s">
        <v>408</v>
      </c>
      <c r="G358">
        <v>2001</v>
      </c>
      <c r="H358">
        <v>2000</v>
      </c>
      <c r="I358" t="s">
        <v>1010</v>
      </c>
      <c r="J358">
        <v>2201</v>
      </c>
      <c r="K358">
        <v>2200</v>
      </c>
      <c r="L358" t="s">
        <v>1298</v>
      </c>
      <c r="M358">
        <v>3</v>
      </c>
      <c r="N358" t="s">
        <v>165</v>
      </c>
      <c r="O358" t="s">
        <v>165</v>
      </c>
      <c r="P358" t="s">
        <v>403</v>
      </c>
      <c r="Q358" t="s">
        <v>1299</v>
      </c>
      <c r="R358" t="s">
        <v>849</v>
      </c>
      <c r="S358">
        <v>2016</v>
      </c>
      <c r="T358">
        <v>10</v>
      </c>
      <c r="U358" t="s">
        <v>408</v>
      </c>
      <c r="V358" t="s">
        <v>487</v>
      </c>
      <c r="W358">
        <v>2020</v>
      </c>
      <c r="X358">
        <v>0</v>
      </c>
      <c r="Y358" t="s">
        <v>408</v>
      </c>
      <c r="Z358">
        <v>2020</v>
      </c>
      <c r="AA358">
        <v>0</v>
      </c>
      <c r="AB358" s="5">
        <v>0.295408328793</v>
      </c>
      <c r="AC358" s="5">
        <v>0.59081665758599999</v>
      </c>
      <c r="AD358" t="s">
        <v>408</v>
      </c>
      <c r="AE358" t="s">
        <v>152</v>
      </c>
      <c r="AF358" t="s">
        <v>408</v>
      </c>
      <c r="AG358" t="s">
        <v>408</v>
      </c>
      <c r="AH358" t="s">
        <v>408</v>
      </c>
      <c r="AI358" t="s">
        <v>408</v>
      </c>
      <c r="AJ358" t="s">
        <v>408</v>
      </c>
      <c r="AK358" t="s">
        <v>408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58">
        <f t="shared" si="5"/>
        <v>1</v>
      </c>
      <c r="AU358" s="79" t="s">
        <v>592</v>
      </c>
      <c r="AV358" s="78" t="s">
        <v>410</v>
      </c>
      <c r="AW358" t="s">
        <v>1300</v>
      </c>
      <c r="AX358">
        <v>2</v>
      </c>
      <c r="AY358" t="s">
        <v>412</v>
      </c>
      <c r="AZ358" t="s">
        <v>408</v>
      </c>
    </row>
    <row r="359" spans="1:52" x14ac:dyDescent="0.3">
      <c r="A359">
        <v>348</v>
      </c>
      <c r="B359" t="s">
        <v>432</v>
      </c>
      <c r="C359" t="s">
        <v>154</v>
      </c>
      <c r="D359" t="s">
        <v>433</v>
      </c>
      <c r="E359" t="s">
        <v>417</v>
      </c>
      <c r="F359" t="s">
        <v>408</v>
      </c>
      <c r="G359">
        <v>5969</v>
      </c>
      <c r="H359">
        <v>5968</v>
      </c>
      <c r="I359" t="s">
        <v>1301</v>
      </c>
      <c r="J359">
        <v>5631</v>
      </c>
      <c r="K359">
        <v>5630</v>
      </c>
      <c r="L359" t="s">
        <v>781</v>
      </c>
      <c r="M359">
        <v>3</v>
      </c>
      <c r="N359" t="s">
        <v>165</v>
      </c>
      <c r="O359" t="s">
        <v>165</v>
      </c>
      <c r="P359" t="s">
        <v>420</v>
      </c>
      <c r="Q359" t="s">
        <v>1302</v>
      </c>
      <c r="R359" t="s">
        <v>1194</v>
      </c>
      <c r="S359">
        <v>2014</v>
      </c>
      <c r="T359">
        <v>10</v>
      </c>
      <c r="U359" t="s">
        <v>370</v>
      </c>
      <c r="V359" t="s">
        <v>408</v>
      </c>
      <c r="W359">
        <v>0</v>
      </c>
      <c r="X359">
        <v>0</v>
      </c>
      <c r="Y359" t="s">
        <v>408</v>
      </c>
      <c r="Z359">
        <v>2014</v>
      </c>
      <c r="AA359">
        <v>2014</v>
      </c>
      <c r="AB359" s="5">
        <v>0.43888565758600001</v>
      </c>
      <c r="AC359" s="5">
        <v>0.87777131517200002</v>
      </c>
      <c r="AD359" t="s">
        <v>408</v>
      </c>
      <c r="AE359" t="s">
        <v>152</v>
      </c>
      <c r="AF359" t="s">
        <v>408</v>
      </c>
      <c r="AG359" t="s">
        <v>408</v>
      </c>
      <c r="AH359" t="s">
        <v>408</v>
      </c>
      <c r="AI359" t="s">
        <v>408</v>
      </c>
      <c r="AJ359" t="s">
        <v>408</v>
      </c>
      <c r="AK359" t="s">
        <v>408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s="58">
        <f t="shared" si="5"/>
        <v>1</v>
      </c>
      <c r="AU359" s="79">
        <v>43328</v>
      </c>
      <c r="AV359" s="78" t="s">
        <v>410</v>
      </c>
      <c r="AW359" t="s">
        <v>152</v>
      </c>
      <c r="AX359">
        <v>2</v>
      </c>
      <c r="AY359" t="s">
        <v>412</v>
      </c>
      <c r="AZ359" t="s">
        <v>408</v>
      </c>
    </row>
    <row r="360" spans="1:52" x14ac:dyDescent="0.3">
      <c r="A360">
        <v>349</v>
      </c>
      <c r="B360" t="s">
        <v>432</v>
      </c>
      <c r="C360" t="s">
        <v>154</v>
      </c>
      <c r="D360" t="s">
        <v>433</v>
      </c>
      <c r="E360" t="s">
        <v>417</v>
      </c>
      <c r="F360" t="s">
        <v>408</v>
      </c>
      <c r="G360">
        <v>5629</v>
      </c>
      <c r="H360">
        <v>5628</v>
      </c>
      <c r="I360" t="s">
        <v>781</v>
      </c>
      <c r="J360">
        <v>5501</v>
      </c>
      <c r="K360">
        <v>5500</v>
      </c>
      <c r="L360" t="s">
        <v>1303</v>
      </c>
      <c r="M360">
        <v>3</v>
      </c>
      <c r="N360" t="s">
        <v>170</v>
      </c>
      <c r="O360" t="s">
        <v>170</v>
      </c>
      <c r="P360" t="s">
        <v>420</v>
      </c>
      <c r="Q360" t="s">
        <v>1302</v>
      </c>
      <c r="R360" t="s">
        <v>1194</v>
      </c>
      <c r="S360">
        <v>2014</v>
      </c>
      <c r="T360">
        <v>10</v>
      </c>
      <c r="U360" t="s">
        <v>370</v>
      </c>
      <c r="V360" t="s">
        <v>408</v>
      </c>
      <c r="W360">
        <v>0</v>
      </c>
      <c r="X360">
        <v>0</v>
      </c>
      <c r="Y360" t="s">
        <v>408</v>
      </c>
      <c r="Z360">
        <v>2014</v>
      </c>
      <c r="AA360">
        <v>2014</v>
      </c>
      <c r="AB360" s="5">
        <v>0.160948029218</v>
      </c>
      <c r="AC360" s="5">
        <v>0.321896058436</v>
      </c>
      <c r="AD360" t="s">
        <v>408</v>
      </c>
      <c r="AE360" t="s">
        <v>152</v>
      </c>
      <c r="AF360" t="s">
        <v>408</v>
      </c>
      <c r="AG360" t="s">
        <v>408</v>
      </c>
      <c r="AH360" t="s">
        <v>408</v>
      </c>
      <c r="AI360" t="s">
        <v>408</v>
      </c>
      <c r="AJ360" t="s">
        <v>408</v>
      </c>
      <c r="AK360" t="s">
        <v>408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 s="58">
        <f t="shared" si="5"/>
        <v>1</v>
      </c>
      <c r="AU360" s="79">
        <v>43328</v>
      </c>
      <c r="AV360" s="78" t="s">
        <v>410</v>
      </c>
      <c r="AW360" t="s">
        <v>408</v>
      </c>
      <c r="AX360">
        <v>2</v>
      </c>
      <c r="AY360" t="s">
        <v>412</v>
      </c>
      <c r="AZ360" t="s">
        <v>408</v>
      </c>
    </row>
    <row r="361" spans="1:52" x14ac:dyDescent="0.3">
      <c r="A361">
        <v>350</v>
      </c>
      <c r="B361" t="s">
        <v>688</v>
      </c>
      <c r="C361" t="s">
        <v>155</v>
      </c>
      <c r="D361" t="s">
        <v>689</v>
      </c>
      <c r="E361" t="s">
        <v>426</v>
      </c>
      <c r="F361" t="s">
        <v>408</v>
      </c>
      <c r="G361">
        <v>6300</v>
      </c>
      <c r="H361">
        <v>6301</v>
      </c>
      <c r="I361" t="s">
        <v>1017</v>
      </c>
      <c r="J361">
        <v>6000</v>
      </c>
      <c r="K361">
        <v>6001</v>
      </c>
      <c r="L361" t="s">
        <v>759</v>
      </c>
      <c r="M361">
        <v>3</v>
      </c>
      <c r="N361" t="s">
        <v>170</v>
      </c>
      <c r="O361" t="s">
        <v>170</v>
      </c>
      <c r="P361" t="s">
        <v>414</v>
      </c>
      <c r="Q361" t="s">
        <v>1304</v>
      </c>
      <c r="R361" t="s">
        <v>742</v>
      </c>
      <c r="S361">
        <v>2017</v>
      </c>
      <c r="T361">
        <v>6</v>
      </c>
      <c r="U361" t="s">
        <v>370</v>
      </c>
      <c r="V361" t="s">
        <v>487</v>
      </c>
      <c r="W361">
        <v>2020</v>
      </c>
      <c r="X361">
        <v>0</v>
      </c>
      <c r="Y361" t="s">
        <v>408</v>
      </c>
      <c r="Z361">
        <v>2020</v>
      </c>
      <c r="AA361">
        <v>2017</v>
      </c>
      <c r="AB361" s="5">
        <v>0.37688207978299998</v>
      </c>
      <c r="AC361" s="5">
        <v>0.75376415956599996</v>
      </c>
      <c r="AD361" t="s">
        <v>408</v>
      </c>
      <c r="AE361" t="s">
        <v>152</v>
      </c>
      <c r="AF361" t="s">
        <v>408</v>
      </c>
      <c r="AG361" t="s">
        <v>408</v>
      </c>
      <c r="AH361" t="s">
        <v>408</v>
      </c>
      <c r="AI361" t="s">
        <v>408</v>
      </c>
      <c r="AJ361" t="s">
        <v>408</v>
      </c>
      <c r="AK361" t="s">
        <v>408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 s="58">
        <f t="shared" si="5"/>
        <v>1</v>
      </c>
      <c r="AU361" s="79" t="s">
        <v>488</v>
      </c>
      <c r="AV361" s="78" t="s">
        <v>410</v>
      </c>
      <c r="AW361" t="s">
        <v>408</v>
      </c>
      <c r="AX361">
        <v>2</v>
      </c>
      <c r="AY361" t="s">
        <v>412</v>
      </c>
      <c r="AZ361" t="s">
        <v>408</v>
      </c>
    </row>
    <row r="362" spans="1:52" x14ac:dyDescent="0.3">
      <c r="A362">
        <v>351</v>
      </c>
      <c r="B362" t="s">
        <v>1305</v>
      </c>
      <c r="C362" t="s">
        <v>155</v>
      </c>
      <c r="D362" t="s">
        <v>1306</v>
      </c>
      <c r="E362" t="s">
        <v>460</v>
      </c>
      <c r="F362" t="s">
        <v>408</v>
      </c>
      <c r="G362">
        <v>13501</v>
      </c>
      <c r="H362">
        <v>13500</v>
      </c>
      <c r="I362" t="s">
        <v>1307</v>
      </c>
      <c r="J362">
        <v>13059</v>
      </c>
      <c r="K362">
        <v>13058</v>
      </c>
      <c r="L362" t="s">
        <v>1308</v>
      </c>
      <c r="M362">
        <v>4</v>
      </c>
      <c r="N362" t="s">
        <v>165</v>
      </c>
      <c r="O362" t="s">
        <v>165</v>
      </c>
      <c r="P362" t="s">
        <v>420</v>
      </c>
      <c r="Q362" t="s">
        <v>1309</v>
      </c>
      <c r="R362" t="s">
        <v>742</v>
      </c>
      <c r="S362">
        <v>2017</v>
      </c>
      <c r="T362">
        <v>5</v>
      </c>
      <c r="U362" t="s">
        <v>370</v>
      </c>
      <c r="V362" t="s">
        <v>408</v>
      </c>
      <c r="W362">
        <v>0</v>
      </c>
      <c r="X362">
        <v>0</v>
      </c>
      <c r="Y362" t="s">
        <v>408</v>
      </c>
      <c r="Z362">
        <v>2017</v>
      </c>
      <c r="AA362">
        <v>2017</v>
      </c>
      <c r="AB362" s="5">
        <v>0.66893695333299996</v>
      </c>
      <c r="AC362" s="5">
        <v>1.3378739066700001</v>
      </c>
      <c r="AD362" t="s">
        <v>408</v>
      </c>
      <c r="AE362" t="s">
        <v>152</v>
      </c>
      <c r="AF362" t="s">
        <v>408</v>
      </c>
      <c r="AG362" t="s">
        <v>408</v>
      </c>
      <c r="AH362" t="s">
        <v>408</v>
      </c>
      <c r="AI362" t="s">
        <v>408</v>
      </c>
      <c r="AJ362" t="s">
        <v>408</v>
      </c>
      <c r="AK362" t="s">
        <v>408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s="58">
        <f t="shared" si="5"/>
        <v>1</v>
      </c>
      <c r="AU362" s="79">
        <v>43347</v>
      </c>
      <c r="AV362" s="78" t="s">
        <v>410</v>
      </c>
      <c r="AW362" t="s">
        <v>152</v>
      </c>
      <c r="AX362">
        <v>3</v>
      </c>
      <c r="AY362" t="s">
        <v>412</v>
      </c>
      <c r="AZ362" t="s">
        <v>408</v>
      </c>
    </row>
    <row r="363" spans="1:52" x14ac:dyDescent="0.3">
      <c r="A363">
        <v>352</v>
      </c>
      <c r="B363" t="s">
        <v>720</v>
      </c>
      <c r="C363" t="s">
        <v>152</v>
      </c>
      <c r="D363" t="s">
        <v>721</v>
      </c>
      <c r="E363" t="s">
        <v>460</v>
      </c>
      <c r="F363" t="s">
        <v>408</v>
      </c>
      <c r="G363">
        <v>6800</v>
      </c>
      <c r="H363">
        <v>6801</v>
      </c>
      <c r="I363" t="s">
        <v>1216</v>
      </c>
      <c r="J363">
        <v>7158</v>
      </c>
      <c r="K363">
        <v>7159</v>
      </c>
      <c r="L363" t="s">
        <v>1310</v>
      </c>
      <c r="M363">
        <v>2</v>
      </c>
      <c r="N363" t="s">
        <v>165</v>
      </c>
      <c r="O363" t="s">
        <v>165</v>
      </c>
      <c r="P363" t="s">
        <v>420</v>
      </c>
      <c r="Q363" t="s">
        <v>1311</v>
      </c>
      <c r="R363" t="s">
        <v>742</v>
      </c>
      <c r="S363">
        <v>2016</v>
      </c>
      <c r="T363">
        <v>9</v>
      </c>
      <c r="U363" t="s">
        <v>370</v>
      </c>
      <c r="V363" t="s">
        <v>408</v>
      </c>
      <c r="W363">
        <v>0</v>
      </c>
      <c r="X363">
        <v>0</v>
      </c>
      <c r="Y363" t="s">
        <v>408</v>
      </c>
      <c r="Z363">
        <v>2016</v>
      </c>
      <c r="AA363">
        <v>2016</v>
      </c>
      <c r="AB363" s="5">
        <v>0.49748513436699998</v>
      </c>
      <c r="AC363" s="5">
        <v>0.99497026873399996</v>
      </c>
      <c r="AD363" t="s">
        <v>408</v>
      </c>
      <c r="AE363" t="s">
        <v>152</v>
      </c>
      <c r="AF363" t="s">
        <v>408</v>
      </c>
      <c r="AG363" t="s">
        <v>408</v>
      </c>
      <c r="AH363" t="s">
        <v>408</v>
      </c>
      <c r="AI363" t="s">
        <v>408</v>
      </c>
      <c r="AJ363" t="s">
        <v>408</v>
      </c>
      <c r="AK363" t="s">
        <v>408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s="58">
        <f t="shared" si="5"/>
        <v>1</v>
      </c>
      <c r="AU363" s="79">
        <v>43341</v>
      </c>
      <c r="AV363" s="78" t="s">
        <v>410</v>
      </c>
      <c r="AW363" t="s">
        <v>152</v>
      </c>
      <c r="AX363">
        <v>2</v>
      </c>
      <c r="AY363" t="s">
        <v>412</v>
      </c>
      <c r="AZ363" t="s">
        <v>408</v>
      </c>
    </row>
    <row r="364" spans="1:52" x14ac:dyDescent="0.3">
      <c r="A364">
        <v>353</v>
      </c>
      <c r="B364" t="s">
        <v>873</v>
      </c>
      <c r="C364" t="s">
        <v>154</v>
      </c>
      <c r="D364" t="s">
        <v>874</v>
      </c>
      <c r="E364" t="s">
        <v>417</v>
      </c>
      <c r="F364" t="s">
        <v>154</v>
      </c>
      <c r="G364">
        <v>201</v>
      </c>
      <c r="H364">
        <v>200</v>
      </c>
      <c r="I364" t="s">
        <v>739</v>
      </c>
      <c r="J364">
        <v>98</v>
      </c>
      <c r="K364">
        <v>99</v>
      </c>
      <c r="L364" t="s">
        <v>1312</v>
      </c>
      <c r="M364">
        <v>4</v>
      </c>
      <c r="N364" t="s">
        <v>163</v>
      </c>
      <c r="O364" t="s">
        <v>163</v>
      </c>
      <c r="P364" t="s">
        <v>420</v>
      </c>
      <c r="Q364" t="s">
        <v>1313</v>
      </c>
      <c r="R364" t="s">
        <v>505</v>
      </c>
      <c r="S364">
        <v>2016</v>
      </c>
      <c r="T364">
        <v>11</v>
      </c>
      <c r="U364" t="s">
        <v>408</v>
      </c>
      <c r="V364" t="s">
        <v>408</v>
      </c>
      <c r="W364">
        <v>0</v>
      </c>
      <c r="X364">
        <v>0</v>
      </c>
      <c r="Y364" t="s">
        <v>408</v>
      </c>
      <c r="Z364">
        <v>2016</v>
      </c>
      <c r="AA364">
        <v>0</v>
      </c>
      <c r="AB364" s="5">
        <v>0.48719865235900001</v>
      </c>
      <c r="AC364" s="5">
        <v>0.48719865235900001</v>
      </c>
      <c r="AD364" t="s">
        <v>505</v>
      </c>
      <c r="AE364" t="s">
        <v>411</v>
      </c>
      <c r="AF364" t="s">
        <v>154</v>
      </c>
      <c r="AG364" t="s">
        <v>152</v>
      </c>
      <c r="AH364" t="s">
        <v>152</v>
      </c>
      <c r="AI364" t="s">
        <v>470</v>
      </c>
      <c r="AJ364" t="s">
        <v>400</v>
      </c>
      <c r="AK364" t="s">
        <v>411</v>
      </c>
      <c r="AL364">
        <v>2017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 s="58">
        <f t="shared" si="5"/>
        <v>1</v>
      </c>
      <c r="AU364" s="79" t="s">
        <v>457</v>
      </c>
      <c r="AV364" s="78" t="s">
        <v>410</v>
      </c>
      <c r="AW364" t="s">
        <v>411</v>
      </c>
      <c r="AX364">
        <v>1</v>
      </c>
      <c r="AY364" t="s">
        <v>412</v>
      </c>
      <c r="AZ364" t="s">
        <v>408</v>
      </c>
    </row>
    <row r="365" spans="1:52" x14ac:dyDescent="0.3">
      <c r="A365">
        <v>354</v>
      </c>
      <c r="B365" t="s">
        <v>1314</v>
      </c>
      <c r="C365" t="s">
        <v>154</v>
      </c>
      <c r="D365" t="s">
        <v>501</v>
      </c>
      <c r="E365" t="s">
        <v>417</v>
      </c>
      <c r="F365" t="s">
        <v>447</v>
      </c>
      <c r="G365">
        <v>357</v>
      </c>
      <c r="H365">
        <v>356</v>
      </c>
      <c r="I365" t="s">
        <v>1315</v>
      </c>
      <c r="J365">
        <v>100</v>
      </c>
      <c r="K365">
        <v>101</v>
      </c>
      <c r="L365" t="s">
        <v>1312</v>
      </c>
      <c r="M365">
        <v>4</v>
      </c>
      <c r="N365" t="s">
        <v>163</v>
      </c>
      <c r="O365" t="s">
        <v>163</v>
      </c>
      <c r="P365" t="s">
        <v>420</v>
      </c>
      <c r="Q365" t="s">
        <v>1226</v>
      </c>
      <c r="R365" t="s">
        <v>505</v>
      </c>
      <c r="S365">
        <v>2015</v>
      </c>
      <c r="T365">
        <v>12</v>
      </c>
      <c r="U365" t="s">
        <v>553</v>
      </c>
      <c r="V365" t="s">
        <v>408</v>
      </c>
      <c r="W365">
        <v>0</v>
      </c>
      <c r="X365">
        <v>0</v>
      </c>
      <c r="Y365" t="s">
        <v>408</v>
      </c>
      <c r="Z365">
        <v>2015</v>
      </c>
      <c r="AA365">
        <v>2015</v>
      </c>
      <c r="AB365" s="5">
        <v>0.65226364447399998</v>
      </c>
      <c r="AC365" s="5">
        <v>0.65226364447399998</v>
      </c>
      <c r="AD365" t="s">
        <v>505</v>
      </c>
      <c r="AE365" t="s">
        <v>411</v>
      </c>
      <c r="AF365" t="s">
        <v>447</v>
      </c>
      <c r="AG365" t="s">
        <v>152</v>
      </c>
      <c r="AH365" t="s">
        <v>152</v>
      </c>
      <c r="AI365" t="s">
        <v>470</v>
      </c>
      <c r="AJ365" t="s">
        <v>400</v>
      </c>
      <c r="AK365" t="s">
        <v>408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 s="58">
        <f t="shared" si="5"/>
        <v>1</v>
      </c>
      <c r="AU365" s="79" t="s">
        <v>457</v>
      </c>
      <c r="AV365" s="78" t="s">
        <v>410</v>
      </c>
      <c r="AW365" t="s">
        <v>411</v>
      </c>
      <c r="AX365">
        <v>1</v>
      </c>
      <c r="AY365" t="s">
        <v>412</v>
      </c>
      <c r="AZ365" t="s">
        <v>408</v>
      </c>
    </row>
    <row r="366" spans="1:52" x14ac:dyDescent="0.3">
      <c r="A366">
        <v>355</v>
      </c>
      <c r="B366" t="s">
        <v>1159</v>
      </c>
      <c r="C366" t="s">
        <v>155</v>
      </c>
      <c r="D366" t="s">
        <v>1160</v>
      </c>
      <c r="E366" t="s">
        <v>417</v>
      </c>
      <c r="F366" t="s">
        <v>408</v>
      </c>
      <c r="G366">
        <v>2200</v>
      </c>
      <c r="H366">
        <v>2201</v>
      </c>
      <c r="I366" t="s">
        <v>492</v>
      </c>
      <c r="J366">
        <v>1800</v>
      </c>
      <c r="K366">
        <v>1801</v>
      </c>
      <c r="L366" t="s">
        <v>590</v>
      </c>
      <c r="M366">
        <v>4</v>
      </c>
      <c r="N366" t="s">
        <v>170</v>
      </c>
      <c r="O366" t="s">
        <v>170</v>
      </c>
      <c r="P366" t="s">
        <v>420</v>
      </c>
      <c r="Q366" t="s">
        <v>1316</v>
      </c>
      <c r="R366" t="s">
        <v>1221</v>
      </c>
      <c r="S366">
        <v>2015</v>
      </c>
      <c r="T366">
        <v>12</v>
      </c>
      <c r="U366" t="s">
        <v>370</v>
      </c>
      <c r="V366" t="s">
        <v>408</v>
      </c>
      <c r="W366">
        <v>0</v>
      </c>
      <c r="X366">
        <v>0</v>
      </c>
      <c r="Y366" t="s">
        <v>408</v>
      </c>
      <c r="Z366">
        <v>2015</v>
      </c>
      <c r="AA366">
        <v>2015</v>
      </c>
      <c r="AB366" s="5">
        <v>0.37673320021099999</v>
      </c>
      <c r="AC366" s="5">
        <v>0.75346640042199997</v>
      </c>
      <c r="AD366" t="s">
        <v>408</v>
      </c>
      <c r="AE366" t="s">
        <v>152</v>
      </c>
      <c r="AF366" t="s">
        <v>408</v>
      </c>
      <c r="AG366" t="s">
        <v>408</v>
      </c>
      <c r="AH366" t="s">
        <v>408</v>
      </c>
      <c r="AI366" t="s">
        <v>408</v>
      </c>
      <c r="AJ366" t="s">
        <v>408</v>
      </c>
      <c r="AK366" t="s">
        <v>408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 s="58">
        <f t="shared" si="5"/>
        <v>1</v>
      </c>
      <c r="AU366" s="79">
        <v>43347</v>
      </c>
      <c r="AV366" t="s">
        <v>410</v>
      </c>
      <c r="AW366" t="s">
        <v>408</v>
      </c>
      <c r="AX366">
        <v>2</v>
      </c>
      <c r="AY366" t="s">
        <v>412</v>
      </c>
      <c r="AZ366" t="s">
        <v>408</v>
      </c>
    </row>
    <row r="367" spans="1:52" x14ac:dyDescent="0.3">
      <c r="A367">
        <v>356</v>
      </c>
      <c r="B367" t="s">
        <v>415</v>
      </c>
      <c r="C367" t="s">
        <v>447</v>
      </c>
      <c r="D367" t="s">
        <v>416</v>
      </c>
      <c r="E367" t="s">
        <v>417</v>
      </c>
      <c r="F367" t="s">
        <v>408</v>
      </c>
      <c r="G367">
        <v>200</v>
      </c>
      <c r="H367">
        <v>201</v>
      </c>
      <c r="I367" t="s">
        <v>1317</v>
      </c>
      <c r="J367">
        <v>350</v>
      </c>
      <c r="K367">
        <v>351</v>
      </c>
      <c r="L367" t="s">
        <v>1318</v>
      </c>
      <c r="M367">
        <v>3</v>
      </c>
      <c r="N367" t="s">
        <v>170</v>
      </c>
      <c r="O367" t="s">
        <v>170</v>
      </c>
      <c r="P367" t="s">
        <v>420</v>
      </c>
      <c r="Q367" t="s">
        <v>1319</v>
      </c>
      <c r="R367" t="s">
        <v>526</v>
      </c>
      <c r="S367">
        <v>2014</v>
      </c>
      <c r="T367">
        <v>10</v>
      </c>
      <c r="U367" t="s">
        <v>408</v>
      </c>
      <c r="V367" t="s">
        <v>408</v>
      </c>
      <c r="W367">
        <v>0</v>
      </c>
      <c r="X367">
        <v>0</v>
      </c>
      <c r="Y367" t="s">
        <v>408</v>
      </c>
      <c r="Z367">
        <v>2014</v>
      </c>
      <c r="AA367">
        <v>0</v>
      </c>
      <c r="AB367" s="5">
        <v>0.141197533958</v>
      </c>
      <c r="AC367" s="5">
        <v>0.282395067916</v>
      </c>
      <c r="AD367" t="s">
        <v>408</v>
      </c>
      <c r="AE367" t="s">
        <v>152</v>
      </c>
      <c r="AF367" t="s">
        <v>408</v>
      </c>
      <c r="AG367" t="s">
        <v>408</v>
      </c>
      <c r="AH367" t="s">
        <v>408</v>
      </c>
      <c r="AI367" t="s">
        <v>408</v>
      </c>
      <c r="AJ367" t="s">
        <v>408</v>
      </c>
      <c r="AK367" t="s">
        <v>408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 s="58">
        <f t="shared" si="5"/>
        <v>1</v>
      </c>
      <c r="AU367" s="79">
        <v>43328</v>
      </c>
      <c r="AV367" t="s">
        <v>410</v>
      </c>
      <c r="AW367" t="s">
        <v>408</v>
      </c>
      <c r="AX367">
        <v>2</v>
      </c>
      <c r="AY367" t="s">
        <v>17</v>
      </c>
      <c r="AZ367" t="s">
        <v>408</v>
      </c>
    </row>
    <row r="368" spans="1:52" x14ac:dyDescent="0.3">
      <c r="A368">
        <v>357</v>
      </c>
      <c r="B368" t="s">
        <v>1320</v>
      </c>
      <c r="C368" t="s">
        <v>155</v>
      </c>
      <c r="D368" t="s">
        <v>1321</v>
      </c>
      <c r="E368" t="s">
        <v>460</v>
      </c>
      <c r="F368" t="s">
        <v>408</v>
      </c>
      <c r="G368">
        <v>2000</v>
      </c>
      <c r="H368">
        <v>2001</v>
      </c>
      <c r="I368" t="s">
        <v>1322</v>
      </c>
      <c r="J368">
        <v>1800</v>
      </c>
      <c r="K368">
        <v>1801</v>
      </c>
      <c r="L368" t="s">
        <v>585</v>
      </c>
      <c r="M368">
        <v>3</v>
      </c>
      <c r="N368" t="s">
        <v>170</v>
      </c>
      <c r="O368" t="s">
        <v>170</v>
      </c>
      <c r="P368" t="s">
        <v>420</v>
      </c>
      <c r="Q368" t="s">
        <v>1323</v>
      </c>
      <c r="R368" t="s">
        <v>526</v>
      </c>
      <c r="S368">
        <v>2014</v>
      </c>
      <c r="T368">
        <v>8</v>
      </c>
      <c r="U368" t="s">
        <v>1324</v>
      </c>
      <c r="V368" t="s">
        <v>408</v>
      </c>
      <c r="W368">
        <v>0</v>
      </c>
      <c r="X368">
        <v>0</v>
      </c>
      <c r="Y368" t="s">
        <v>408</v>
      </c>
      <c r="Z368">
        <v>2014</v>
      </c>
      <c r="AA368">
        <v>0</v>
      </c>
      <c r="AB368" s="5">
        <v>0.163368787317</v>
      </c>
      <c r="AC368" s="5">
        <v>0.32673757463399999</v>
      </c>
      <c r="AD368" t="s">
        <v>408</v>
      </c>
      <c r="AE368" t="s">
        <v>152</v>
      </c>
      <c r="AF368" t="s">
        <v>408</v>
      </c>
      <c r="AG368" t="s">
        <v>408</v>
      </c>
      <c r="AH368" t="s">
        <v>408</v>
      </c>
      <c r="AI368" t="s">
        <v>408</v>
      </c>
      <c r="AJ368" t="s">
        <v>408</v>
      </c>
      <c r="AK368" t="s">
        <v>408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 s="58">
        <f t="shared" si="5"/>
        <v>1</v>
      </c>
      <c r="AU368" s="79">
        <v>43348</v>
      </c>
      <c r="AV368" s="78" t="s">
        <v>410</v>
      </c>
      <c r="AW368" t="s">
        <v>408</v>
      </c>
      <c r="AX368">
        <v>2</v>
      </c>
      <c r="AY368" t="s">
        <v>17</v>
      </c>
      <c r="AZ368" t="s">
        <v>408</v>
      </c>
    </row>
    <row r="369" spans="1:52" x14ac:dyDescent="0.3">
      <c r="A369">
        <v>358</v>
      </c>
      <c r="B369" t="s">
        <v>397</v>
      </c>
      <c r="C369" t="s">
        <v>154</v>
      </c>
      <c r="D369" t="s">
        <v>398</v>
      </c>
      <c r="E369" t="s">
        <v>399</v>
      </c>
      <c r="F369" t="s">
        <v>408</v>
      </c>
      <c r="G369">
        <v>2359</v>
      </c>
      <c r="H369">
        <v>2358</v>
      </c>
      <c r="I369" t="s">
        <v>576</v>
      </c>
      <c r="J369">
        <v>2001</v>
      </c>
      <c r="K369">
        <v>2000</v>
      </c>
      <c r="L369" t="s">
        <v>418</v>
      </c>
      <c r="M369">
        <v>3</v>
      </c>
      <c r="N369" t="s">
        <v>167</v>
      </c>
      <c r="O369" t="s">
        <v>167</v>
      </c>
      <c r="P369" t="s">
        <v>420</v>
      </c>
      <c r="Q369" t="s">
        <v>408</v>
      </c>
      <c r="R369" t="s">
        <v>497</v>
      </c>
      <c r="S369">
        <v>2003</v>
      </c>
      <c r="T369">
        <v>7</v>
      </c>
      <c r="U369" t="s">
        <v>408</v>
      </c>
      <c r="V369" t="s">
        <v>1194</v>
      </c>
      <c r="W369">
        <v>2014</v>
      </c>
      <c r="X369">
        <v>8</v>
      </c>
      <c r="Y369" t="s">
        <v>370</v>
      </c>
      <c r="Z369">
        <v>2014</v>
      </c>
      <c r="AA369">
        <v>2014</v>
      </c>
      <c r="AB369" s="5">
        <v>0.50282295563000001</v>
      </c>
      <c r="AC369" s="5">
        <v>1.00564591126</v>
      </c>
      <c r="AD369" t="s">
        <v>408</v>
      </c>
      <c r="AE369" t="s">
        <v>152</v>
      </c>
      <c r="AF369" t="s">
        <v>408</v>
      </c>
      <c r="AG369" t="s">
        <v>408</v>
      </c>
      <c r="AH369" t="s">
        <v>408</v>
      </c>
      <c r="AI369" t="s">
        <v>408</v>
      </c>
      <c r="AJ369" t="s">
        <v>408</v>
      </c>
      <c r="AK369" t="s">
        <v>408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 s="58">
        <f t="shared" si="5"/>
        <v>1</v>
      </c>
      <c r="AU369" s="79">
        <v>43320</v>
      </c>
      <c r="AV369" s="78" t="s">
        <v>410</v>
      </c>
      <c r="AW369" t="s">
        <v>408</v>
      </c>
      <c r="AX369">
        <v>2</v>
      </c>
      <c r="AY369" t="s">
        <v>412</v>
      </c>
      <c r="AZ369" t="s">
        <v>408</v>
      </c>
    </row>
    <row r="370" spans="1:52" x14ac:dyDescent="0.3">
      <c r="A370">
        <v>359</v>
      </c>
      <c r="B370" t="s">
        <v>990</v>
      </c>
      <c r="C370" t="s">
        <v>155</v>
      </c>
      <c r="D370" t="s">
        <v>326</v>
      </c>
      <c r="E370" t="s">
        <v>426</v>
      </c>
      <c r="F370" t="s">
        <v>408</v>
      </c>
      <c r="G370">
        <v>8201</v>
      </c>
      <c r="H370">
        <v>8200</v>
      </c>
      <c r="I370" t="s">
        <v>1023</v>
      </c>
      <c r="J370">
        <v>8101</v>
      </c>
      <c r="K370">
        <v>8100</v>
      </c>
      <c r="L370" t="s">
        <v>427</v>
      </c>
      <c r="M370">
        <v>4</v>
      </c>
      <c r="N370" t="s">
        <v>167</v>
      </c>
      <c r="O370" t="s">
        <v>167</v>
      </c>
      <c r="P370" t="s">
        <v>420</v>
      </c>
      <c r="Q370" t="s">
        <v>408</v>
      </c>
      <c r="R370" t="s">
        <v>497</v>
      </c>
      <c r="S370">
        <v>2004</v>
      </c>
      <c r="T370">
        <v>9</v>
      </c>
      <c r="U370" t="s">
        <v>408</v>
      </c>
      <c r="V370" t="s">
        <v>532</v>
      </c>
      <c r="W370">
        <v>2017</v>
      </c>
      <c r="X370">
        <v>6</v>
      </c>
      <c r="Y370" t="s">
        <v>370</v>
      </c>
      <c r="Z370">
        <v>2017</v>
      </c>
      <c r="AA370">
        <v>2017</v>
      </c>
      <c r="AB370" s="5">
        <v>0.25101030999500001</v>
      </c>
      <c r="AC370" s="5">
        <v>0.50202061999000003</v>
      </c>
      <c r="AD370" t="s">
        <v>408</v>
      </c>
      <c r="AE370" t="s">
        <v>152</v>
      </c>
      <c r="AF370" t="s">
        <v>408</v>
      </c>
      <c r="AG370" t="s">
        <v>408</v>
      </c>
      <c r="AH370" t="s">
        <v>408</v>
      </c>
      <c r="AI370" t="s">
        <v>408</v>
      </c>
      <c r="AJ370" t="s">
        <v>408</v>
      </c>
      <c r="AK370" t="s">
        <v>408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 s="58">
        <f t="shared" si="5"/>
        <v>1</v>
      </c>
      <c r="AU370" s="79">
        <v>43347</v>
      </c>
      <c r="AV370" s="78" t="s">
        <v>410</v>
      </c>
      <c r="AW370" t="s">
        <v>408</v>
      </c>
      <c r="AX370">
        <v>3</v>
      </c>
      <c r="AY370" t="s">
        <v>412</v>
      </c>
      <c r="AZ370" t="s">
        <v>408</v>
      </c>
    </row>
    <row r="371" spans="1:52" x14ac:dyDescent="0.3">
      <c r="A371">
        <v>360</v>
      </c>
      <c r="B371" t="s">
        <v>500</v>
      </c>
      <c r="C371" t="s">
        <v>154</v>
      </c>
      <c r="D371" t="s">
        <v>501</v>
      </c>
      <c r="E371" t="s">
        <v>466</v>
      </c>
      <c r="F371" t="s">
        <v>408</v>
      </c>
      <c r="G371">
        <v>5201</v>
      </c>
      <c r="H371">
        <v>5200</v>
      </c>
      <c r="I371" t="s">
        <v>1069</v>
      </c>
      <c r="J371">
        <v>4801</v>
      </c>
      <c r="K371">
        <v>4800</v>
      </c>
      <c r="L371" t="s">
        <v>1068</v>
      </c>
      <c r="M371">
        <v>4</v>
      </c>
      <c r="N371" t="s">
        <v>165</v>
      </c>
      <c r="O371" t="s">
        <v>165</v>
      </c>
      <c r="P371" t="s">
        <v>403</v>
      </c>
      <c r="Q371" t="s">
        <v>1325</v>
      </c>
      <c r="R371" t="s">
        <v>1194</v>
      </c>
      <c r="S371">
        <v>2014</v>
      </c>
      <c r="T371">
        <v>10</v>
      </c>
      <c r="U371" t="s">
        <v>370</v>
      </c>
      <c r="V371" t="s">
        <v>749</v>
      </c>
      <c r="W371">
        <v>2021</v>
      </c>
      <c r="X371">
        <v>0</v>
      </c>
      <c r="Y371" t="s">
        <v>408</v>
      </c>
      <c r="Z371">
        <v>2021</v>
      </c>
      <c r="AA371">
        <v>2014</v>
      </c>
      <c r="AB371" s="5">
        <v>0.52244264994</v>
      </c>
      <c r="AC371" s="5">
        <v>1.04488529988</v>
      </c>
      <c r="AD371" t="s">
        <v>400</v>
      </c>
      <c r="AE371" t="s">
        <v>152</v>
      </c>
      <c r="AF371" t="s">
        <v>400</v>
      </c>
      <c r="AG371" t="s">
        <v>400</v>
      </c>
      <c r="AH371" t="s">
        <v>400</v>
      </c>
      <c r="AI371" t="s">
        <v>400</v>
      </c>
      <c r="AJ371" t="s">
        <v>400</v>
      </c>
      <c r="AK371" t="s">
        <v>400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 s="58">
        <f t="shared" si="5"/>
        <v>1</v>
      </c>
      <c r="AU371" s="79" t="s">
        <v>768</v>
      </c>
      <c r="AV371" s="78" t="s">
        <v>410</v>
      </c>
      <c r="AW371" t="s">
        <v>152</v>
      </c>
      <c r="AX371">
        <v>2</v>
      </c>
      <c r="AY371" t="s">
        <v>412</v>
      </c>
      <c r="AZ371" t="s">
        <v>408</v>
      </c>
    </row>
    <row r="372" spans="1:52" x14ac:dyDescent="0.3">
      <c r="A372">
        <v>361</v>
      </c>
      <c r="B372" t="s">
        <v>720</v>
      </c>
      <c r="C372" t="s">
        <v>152</v>
      </c>
      <c r="D372" t="s">
        <v>721</v>
      </c>
      <c r="E372" t="s">
        <v>460</v>
      </c>
      <c r="F372" t="s">
        <v>408</v>
      </c>
      <c r="G372">
        <v>2000</v>
      </c>
      <c r="H372">
        <v>2001</v>
      </c>
      <c r="I372" t="s">
        <v>479</v>
      </c>
      <c r="J372">
        <v>2142</v>
      </c>
      <c r="K372">
        <v>2143</v>
      </c>
      <c r="L372" t="s">
        <v>1326</v>
      </c>
      <c r="M372">
        <v>2</v>
      </c>
      <c r="N372" t="s">
        <v>165</v>
      </c>
      <c r="O372" t="s">
        <v>165</v>
      </c>
      <c r="P372" t="s">
        <v>403</v>
      </c>
      <c r="Q372" t="s">
        <v>1327</v>
      </c>
      <c r="R372" t="s">
        <v>885</v>
      </c>
      <c r="S372">
        <v>2013</v>
      </c>
      <c r="T372">
        <v>9</v>
      </c>
      <c r="U372" t="s">
        <v>408</v>
      </c>
      <c r="V372" t="s">
        <v>511</v>
      </c>
      <c r="W372">
        <v>2018</v>
      </c>
      <c r="X372">
        <v>8</v>
      </c>
      <c r="Y372" t="s">
        <v>408</v>
      </c>
      <c r="Z372">
        <v>2018</v>
      </c>
      <c r="AA372">
        <v>0</v>
      </c>
      <c r="AB372" s="5">
        <v>0.22514384308099999</v>
      </c>
      <c r="AC372" s="5">
        <v>0.45028768616199999</v>
      </c>
      <c r="AD372" t="s">
        <v>408</v>
      </c>
      <c r="AE372" t="s">
        <v>152</v>
      </c>
      <c r="AF372" t="s">
        <v>408</v>
      </c>
      <c r="AG372" t="s">
        <v>408</v>
      </c>
      <c r="AH372" t="s">
        <v>408</v>
      </c>
      <c r="AI372" t="s">
        <v>408</v>
      </c>
      <c r="AJ372" t="s">
        <v>408</v>
      </c>
      <c r="AK372" t="s">
        <v>408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s="58">
        <f t="shared" si="5"/>
        <v>1</v>
      </c>
      <c r="AU372" s="79">
        <v>43341</v>
      </c>
      <c r="AV372" s="78" t="s">
        <v>410</v>
      </c>
      <c r="AW372" t="s">
        <v>152</v>
      </c>
      <c r="AX372">
        <v>2</v>
      </c>
      <c r="AY372" t="s">
        <v>412</v>
      </c>
      <c r="AZ372" t="s">
        <v>408</v>
      </c>
    </row>
    <row r="373" spans="1:52" x14ac:dyDescent="0.3">
      <c r="A373">
        <v>362</v>
      </c>
      <c r="B373" t="s">
        <v>715</v>
      </c>
      <c r="C373" t="s">
        <v>152</v>
      </c>
      <c r="D373" t="s">
        <v>716</v>
      </c>
      <c r="E373" t="s">
        <v>460</v>
      </c>
      <c r="F373" t="s">
        <v>408</v>
      </c>
      <c r="G373">
        <v>2136</v>
      </c>
      <c r="H373">
        <v>2127</v>
      </c>
      <c r="I373" t="s">
        <v>734</v>
      </c>
      <c r="J373">
        <v>2158</v>
      </c>
      <c r="K373">
        <v>2155</v>
      </c>
      <c r="L373" t="s">
        <v>480</v>
      </c>
      <c r="M373">
        <v>3</v>
      </c>
      <c r="N373" t="s">
        <v>167</v>
      </c>
      <c r="O373" t="s">
        <v>167</v>
      </c>
      <c r="P373" t="s">
        <v>420</v>
      </c>
      <c r="Q373" t="s">
        <v>408</v>
      </c>
      <c r="R373" t="s">
        <v>510</v>
      </c>
      <c r="S373">
        <v>2002</v>
      </c>
      <c r="T373">
        <v>8</v>
      </c>
      <c r="U373" t="s">
        <v>408</v>
      </c>
      <c r="V373" t="s">
        <v>645</v>
      </c>
      <c r="W373">
        <v>2017</v>
      </c>
      <c r="X373">
        <v>7</v>
      </c>
      <c r="Y373" t="s">
        <v>408</v>
      </c>
      <c r="Z373">
        <v>2017</v>
      </c>
      <c r="AA373">
        <v>0</v>
      </c>
      <c r="AB373" s="5">
        <v>6.0704165147999999E-2</v>
      </c>
      <c r="AC373" s="5">
        <v>0.121408330296</v>
      </c>
      <c r="AD373" t="s">
        <v>408</v>
      </c>
      <c r="AE373" t="s">
        <v>152</v>
      </c>
      <c r="AF373" t="s">
        <v>408</v>
      </c>
      <c r="AG373" t="s">
        <v>408</v>
      </c>
      <c r="AH373" t="s">
        <v>408</v>
      </c>
      <c r="AI373" t="s">
        <v>408</v>
      </c>
      <c r="AJ373" t="s">
        <v>408</v>
      </c>
      <c r="AK373" t="s">
        <v>408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s="58">
        <f t="shared" si="5"/>
        <v>1</v>
      </c>
      <c r="AU373" s="79">
        <v>43341</v>
      </c>
      <c r="AV373" s="78" t="s">
        <v>410</v>
      </c>
      <c r="AW373" t="s">
        <v>408</v>
      </c>
      <c r="AX373">
        <v>2</v>
      </c>
      <c r="AY373" t="s">
        <v>412</v>
      </c>
      <c r="AZ373" t="s">
        <v>408</v>
      </c>
    </row>
    <row r="374" spans="1:52" x14ac:dyDescent="0.3">
      <c r="A374">
        <v>363</v>
      </c>
      <c r="B374" t="s">
        <v>715</v>
      </c>
      <c r="C374" t="s">
        <v>152</v>
      </c>
      <c r="D374" t="s">
        <v>716</v>
      </c>
      <c r="E374" t="s">
        <v>460</v>
      </c>
      <c r="F374" t="s">
        <v>408</v>
      </c>
      <c r="G374">
        <v>2200</v>
      </c>
      <c r="H374">
        <v>2201</v>
      </c>
      <c r="I374" t="s">
        <v>480</v>
      </c>
      <c r="J374">
        <v>2358</v>
      </c>
      <c r="K374">
        <v>2359</v>
      </c>
      <c r="L374" t="s">
        <v>890</v>
      </c>
      <c r="M374">
        <v>3</v>
      </c>
      <c r="N374" t="s">
        <v>167</v>
      </c>
      <c r="O374" t="s">
        <v>167</v>
      </c>
      <c r="P374" t="s">
        <v>420</v>
      </c>
      <c r="Q374" t="s">
        <v>408</v>
      </c>
      <c r="R374" t="s">
        <v>510</v>
      </c>
      <c r="S374">
        <v>2002</v>
      </c>
      <c r="T374">
        <v>8</v>
      </c>
      <c r="U374" t="s">
        <v>408</v>
      </c>
      <c r="V374" t="s">
        <v>645</v>
      </c>
      <c r="W374">
        <v>2017</v>
      </c>
      <c r="X374">
        <v>7</v>
      </c>
      <c r="Y374" t="s">
        <v>408</v>
      </c>
      <c r="Z374">
        <v>2017</v>
      </c>
      <c r="AA374">
        <v>2014</v>
      </c>
      <c r="AB374" s="5">
        <v>0.24838468918500001</v>
      </c>
      <c r="AC374" s="5">
        <v>0.49676937837000001</v>
      </c>
      <c r="AD374" t="s">
        <v>408</v>
      </c>
      <c r="AE374" t="s">
        <v>152</v>
      </c>
      <c r="AF374" t="s">
        <v>408</v>
      </c>
      <c r="AG374" t="s">
        <v>408</v>
      </c>
      <c r="AH374" t="s">
        <v>408</v>
      </c>
      <c r="AI374" t="s">
        <v>408</v>
      </c>
      <c r="AJ374" t="s">
        <v>408</v>
      </c>
      <c r="AK374" t="s">
        <v>408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s="58">
        <f t="shared" si="5"/>
        <v>1</v>
      </c>
      <c r="AU374" s="79">
        <v>43341</v>
      </c>
      <c r="AV374" s="78" t="s">
        <v>410</v>
      </c>
      <c r="AW374" t="s">
        <v>408</v>
      </c>
      <c r="AX374">
        <v>2</v>
      </c>
      <c r="AY374" t="s">
        <v>412</v>
      </c>
      <c r="AZ374" t="s">
        <v>408</v>
      </c>
    </row>
    <row r="375" spans="1:52" x14ac:dyDescent="0.3">
      <c r="A375">
        <v>364</v>
      </c>
      <c r="B375" t="s">
        <v>1271</v>
      </c>
      <c r="C375" t="s">
        <v>154</v>
      </c>
      <c r="D375" t="s">
        <v>1272</v>
      </c>
      <c r="E375" t="s">
        <v>417</v>
      </c>
      <c r="F375" t="s">
        <v>408</v>
      </c>
      <c r="G375">
        <v>2133</v>
      </c>
      <c r="H375">
        <v>2132</v>
      </c>
      <c r="I375" t="s">
        <v>568</v>
      </c>
      <c r="J375">
        <v>2159</v>
      </c>
      <c r="K375">
        <v>2158</v>
      </c>
      <c r="L375" t="s">
        <v>1276</v>
      </c>
      <c r="M375">
        <v>4</v>
      </c>
      <c r="N375" t="s">
        <v>165</v>
      </c>
      <c r="O375" t="s">
        <v>165</v>
      </c>
      <c r="P375" t="s">
        <v>420</v>
      </c>
      <c r="Q375" t="s">
        <v>408</v>
      </c>
      <c r="R375" t="s">
        <v>445</v>
      </c>
      <c r="S375">
        <v>2012</v>
      </c>
      <c r="T375">
        <v>5</v>
      </c>
      <c r="U375" t="s">
        <v>408</v>
      </c>
      <c r="V375" t="s">
        <v>407</v>
      </c>
      <c r="W375">
        <v>2020</v>
      </c>
      <c r="X375">
        <v>0</v>
      </c>
      <c r="Y375" t="s">
        <v>408</v>
      </c>
      <c r="Z375">
        <v>2020</v>
      </c>
      <c r="AA375">
        <v>2014</v>
      </c>
      <c r="AB375" s="5">
        <v>6.2400663383600001E-2</v>
      </c>
      <c r="AC375" s="5">
        <v>0.124801326767</v>
      </c>
      <c r="AD375" t="s">
        <v>408</v>
      </c>
      <c r="AE375" t="s">
        <v>152</v>
      </c>
      <c r="AF375" t="s">
        <v>408</v>
      </c>
      <c r="AG375" t="s">
        <v>408</v>
      </c>
      <c r="AH375" t="s">
        <v>408</v>
      </c>
      <c r="AI375" t="s">
        <v>408</v>
      </c>
      <c r="AJ375" t="s">
        <v>408</v>
      </c>
      <c r="AK375" t="s">
        <v>408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s="58">
        <f t="shared" si="5"/>
        <v>1</v>
      </c>
      <c r="AU375" s="79" t="s">
        <v>431</v>
      </c>
      <c r="AV375" s="78" t="s">
        <v>410</v>
      </c>
      <c r="AW375" t="s">
        <v>152</v>
      </c>
      <c r="AX375">
        <v>3</v>
      </c>
      <c r="AY375" t="s">
        <v>412</v>
      </c>
      <c r="AZ375" t="s">
        <v>408</v>
      </c>
    </row>
    <row r="376" spans="1:52" x14ac:dyDescent="0.3">
      <c r="A376">
        <v>365</v>
      </c>
      <c r="B376" t="s">
        <v>432</v>
      </c>
      <c r="C376" t="s">
        <v>154</v>
      </c>
      <c r="D376" t="s">
        <v>433</v>
      </c>
      <c r="E376" t="s">
        <v>417</v>
      </c>
      <c r="F376" t="s">
        <v>408</v>
      </c>
      <c r="G376">
        <v>3601</v>
      </c>
      <c r="H376">
        <v>3600</v>
      </c>
      <c r="I376" t="s">
        <v>1328</v>
      </c>
      <c r="J376">
        <v>3265</v>
      </c>
      <c r="K376">
        <v>3264</v>
      </c>
      <c r="L376" t="s">
        <v>434</v>
      </c>
      <c r="M376">
        <v>3</v>
      </c>
      <c r="N376" t="s">
        <v>163</v>
      </c>
      <c r="O376" t="s">
        <v>163</v>
      </c>
      <c r="P376" t="s">
        <v>403</v>
      </c>
      <c r="Q376" t="s">
        <v>408</v>
      </c>
      <c r="R376" t="s">
        <v>740</v>
      </c>
      <c r="S376">
        <v>2022</v>
      </c>
      <c r="T376">
        <v>10</v>
      </c>
      <c r="U376" t="s">
        <v>408</v>
      </c>
      <c r="V376" t="s">
        <v>692</v>
      </c>
      <c r="W376">
        <v>2014</v>
      </c>
      <c r="X376">
        <v>9</v>
      </c>
      <c r="Y376" t="s">
        <v>370</v>
      </c>
      <c r="Z376">
        <v>2014</v>
      </c>
      <c r="AA376">
        <v>2014</v>
      </c>
      <c r="AB376" s="5">
        <v>0.54863843524300004</v>
      </c>
      <c r="AC376" s="5">
        <v>1.09727687049</v>
      </c>
      <c r="AD376" t="s">
        <v>400</v>
      </c>
      <c r="AE376" t="s">
        <v>152</v>
      </c>
      <c r="AF376" t="s">
        <v>400</v>
      </c>
      <c r="AG376" t="s">
        <v>400</v>
      </c>
      <c r="AH376" t="s">
        <v>408</v>
      </c>
      <c r="AI376" t="s">
        <v>744</v>
      </c>
      <c r="AJ376" t="s">
        <v>400</v>
      </c>
      <c r="AK376" t="s">
        <v>408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 s="58">
        <f t="shared" si="5"/>
        <v>1</v>
      </c>
      <c r="AU376" s="79" t="s">
        <v>457</v>
      </c>
      <c r="AV376" t="s">
        <v>410</v>
      </c>
      <c r="AW376" t="s">
        <v>411</v>
      </c>
      <c r="AX376">
        <v>1</v>
      </c>
      <c r="AY376" t="s">
        <v>412</v>
      </c>
      <c r="AZ376" t="s">
        <v>408</v>
      </c>
    </row>
    <row r="377" spans="1:52" x14ac:dyDescent="0.3">
      <c r="A377">
        <v>366</v>
      </c>
      <c r="B377" t="s">
        <v>533</v>
      </c>
      <c r="C377" t="s">
        <v>155</v>
      </c>
      <c r="D377" t="s">
        <v>534</v>
      </c>
      <c r="E377" t="s">
        <v>417</v>
      </c>
      <c r="F377" t="s">
        <v>155</v>
      </c>
      <c r="G377">
        <v>701</v>
      </c>
      <c r="H377">
        <v>700</v>
      </c>
      <c r="I377" t="s">
        <v>632</v>
      </c>
      <c r="J377">
        <v>629</v>
      </c>
      <c r="K377">
        <v>624</v>
      </c>
      <c r="L377" t="s">
        <v>535</v>
      </c>
      <c r="M377">
        <v>4</v>
      </c>
      <c r="N377" t="s">
        <v>165</v>
      </c>
      <c r="O377" t="s">
        <v>165</v>
      </c>
      <c r="P377" t="s">
        <v>420</v>
      </c>
      <c r="Q377" t="s">
        <v>408</v>
      </c>
      <c r="R377" t="s">
        <v>445</v>
      </c>
      <c r="S377">
        <v>2012</v>
      </c>
      <c r="T377">
        <v>11</v>
      </c>
      <c r="U377" t="s">
        <v>408</v>
      </c>
      <c r="V377" t="s">
        <v>511</v>
      </c>
      <c r="W377">
        <v>2018</v>
      </c>
      <c r="X377">
        <v>8</v>
      </c>
      <c r="Y377" t="s">
        <v>370</v>
      </c>
      <c r="Z377">
        <v>2018</v>
      </c>
      <c r="AA377">
        <v>2014</v>
      </c>
      <c r="AB377" s="5">
        <v>0.16453227116899999</v>
      </c>
      <c r="AC377" s="5">
        <v>0.16453227116899999</v>
      </c>
      <c r="AD377" t="s">
        <v>408</v>
      </c>
      <c r="AE377" t="s">
        <v>411</v>
      </c>
      <c r="AF377" t="s">
        <v>155</v>
      </c>
      <c r="AG377" t="s">
        <v>152</v>
      </c>
      <c r="AH377" t="s">
        <v>408</v>
      </c>
      <c r="AI377" t="s">
        <v>408</v>
      </c>
      <c r="AJ377" t="s">
        <v>408</v>
      </c>
      <c r="AK377" t="s">
        <v>408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 s="58">
        <f t="shared" si="5"/>
        <v>1</v>
      </c>
      <c r="AU377" s="79">
        <v>43336</v>
      </c>
      <c r="AV377" t="s">
        <v>410</v>
      </c>
      <c r="AW377" t="s">
        <v>152</v>
      </c>
      <c r="AX377">
        <v>2</v>
      </c>
      <c r="AY377" t="s">
        <v>412</v>
      </c>
      <c r="AZ377" t="s">
        <v>408</v>
      </c>
    </row>
    <row r="378" spans="1:52" x14ac:dyDescent="0.3">
      <c r="A378">
        <v>367</v>
      </c>
      <c r="B378" t="s">
        <v>415</v>
      </c>
      <c r="C378" t="s">
        <v>154</v>
      </c>
      <c r="D378" t="s">
        <v>416</v>
      </c>
      <c r="E378" t="s">
        <v>417</v>
      </c>
      <c r="F378" t="s">
        <v>408</v>
      </c>
      <c r="G378">
        <v>113</v>
      </c>
      <c r="H378">
        <v>112</v>
      </c>
      <c r="I378" t="s">
        <v>843</v>
      </c>
      <c r="J378">
        <v>1</v>
      </c>
      <c r="K378">
        <v>2</v>
      </c>
      <c r="L378" t="s">
        <v>877</v>
      </c>
      <c r="M378">
        <v>3</v>
      </c>
      <c r="N378" t="s">
        <v>165</v>
      </c>
      <c r="O378" t="s">
        <v>165</v>
      </c>
      <c r="P378" t="s">
        <v>403</v>
      </c>
      <c r="Q378" t="s">
        <v>408</v>
      </c>
      <c r="R378" t="s">
        <v>845</v>
      </c>
      <c r="S378">
        <v>2011</v>
      </c>
      <c r="T378">
        <v>11</v>
      </c>
      <c r="U378" t="s">
        <v>408</v>
      </c>
      <c r="V378" t="s">
        <v>645</v>
      </c>
      <c r="W378">
        <v>2017</v>
      </c>
      <c r="X378">
        <v>6</v>
      </c>
      <c r="Y378" t="s">
        <v>408</v>
      </c>
      <c r="Z378">
        <v>2017</v>
      </c>
      <c r="AA378">
        <v>2014</v>
      </c>
      <c r="AB378" s="5">
        <v>0.15636066574999999</v>
      </c>
      <c r="AC378" s="5">
        <v>0.31272133149999998</v>
      </c>
      <c r="AD378" t="s">
        <v>408</v>
      </c>
      <c r="AE378" t="s">
        <v>152</v>
      </c>
      <c r="AF378" t="s">
        <v>408</v>
      </c>
      <c r="AG378" t="s">
        <v>408</v>
      </c>
      <c r="AH378" t="s">
        <v>408</v>
      </c>
      <c r="AI378" t="s">
        <v>408</v>
      </c>
      <c r="AJ378" t="s">
        <v>408</v>
      </c>
      <c r="AK378" t="s">
        <v>408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 s="58">
        <f t="shared" si="5"/>
        <v>1</v>
      </c>
      <c r="AU378" s="79">
        <v>43328</v>
      </c>
      <c r="AV378" t="s">
        <v>410</v>
      </c>
      <c r="AW378" t="s">
        <v>152</v>
      </c>
      <c r="AX378">
        <v>2</v>
      </c>
      <c r="AY378" t="s">
        <v>412</v>
      </c>
      <c r="AZ378" t="s">
        <v>408</v>
      </c>
    </row>
    <row r="379" spans="1:52" x14ac:dyDescent="0.3">
      <c r="A379">
        <v>368</v>
      </c>
      <c r="B379" t="s">
        <v>477</v>
      </c>
      <c r="C379" t="s">
        <v>155</v>
      </c>
      <c r="D379" t="s">
        <v>478</v>
      </c>
      <c r="E379" t="s">
        <v>417</v>
      </c>
      <c r="F379" t="s">
        <v>408</v>
      </c>
      <c r="G379">
        <v>8300</v>
      </c>
      <c r="H379">
        <v>8301</v>
      </c>
      <c r="I379" t="s">
        <v>1329</v>
      </c>
      <c r="J379">
        <v>7500</v>
      </c>
      <c r="K379">
        <v>7501</v>
      </c>
      <c r="L379" t="s">
        <v>1330</v>
      </c>
      <c r="M379">
        <v>2</v>
      </c>
      <c r="N379" t="s">
        <v>165</v>
      </c>
      <c r="O379" t="s">
        <v>165</v>
      </c>
      <c r="P379" t="s">
        <v>414</v>
      </c>
      <c r="Q379" t="s">
        <v>1331</v>
      </c>
      <c r="R379" t="s">
        <v>703</v>
      </c>
      <c r="S379">
        <v>2014</v>
      </c>
      <c r="T379">
        <v>6</v>
      </c>
      <c r="U379" t="s">
        <v>408</v>
      </c>
      <c r="V379" t="s">
        <v>487</v>
      </c>
      <c r="W379">
        <v>2020</v>
      </c>
      <c r="X379">
        <v>0</v>
      </c>
      <c r="Y379" t="s">
        <v>408</v>
      </c>
      <c r="Z379">
        <v>2020</v>
      </c>
      <c r="AA379">
        <v>0</v>
      </c>
      <c r="AB379" s="5">
        <v>1.03695033986</v>
      </c>
      <c r="AC379" s="5">
        <v>2.0739006797199999</v>
      </c>
      <c r="AD379" t="s">
        <v>408</v>
      </c>
      <c r="AE379" t="s">
        <v>152</v>
      </c>
      <c r="AF379" t="s">
        <v>408</v>
      </c>
      <c r="AG379" t="s">
        <v>408</v>
      </c>
      <c r="AH379" t="s">
        <v>408</v>
      </c>
      <c r="AI379" t="s">
        <v>408</v>
      </c>
      <c r="AJ379" t="s">
        <v>408</v>
      </c>
      <c r="AK379" t="s">
        <v>408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 s="58">
        <f t="shared" si="5"/>
        <v>1</v>
      </c>
      <c r="AU379" s="79" t="s">
        <v>488</v>
      </c>
      <c r="AV379" t="s">
        <v>410</v>
      </c>
      <c r="AW379" t="s">
        <v>152</v>
      </c>
      <c r="AX379">
        <v>2</v>
      </c>
      <c r="AY379" t="s">
        <v>412</v>
      </c>
      <c r="AZ379" t="s">
        <v>408</v>
      </c>
    </row>
    <row r="380" spans="1:52" x14ac:dyDescent="0.3">
      <c r="A380">
        <v>369</v>
      </c>
      <c r="B380" t="s">
        <v>472</v>
      </c>
      <c r="C380" t="s">
        <v>152</v>
      </c>
      <c r="D380" t="s">
        <v>473</v>
      </c>
      <c r="E380" t="s">
        <v>460</v>
      </c>
      <c r="F380" t="s">
        <v>408</v>
      </c>
      <c r="G380">
        <v>5200</v>
      </c>
      <c r="H380">
        <v>5201</v>
      </c>
      <c r="I380" t="s">
        <v>1019</v>
      </c>
      <c r="J380">
        <v>5486</v>
      </c>
      <c r="K380">
        <v>5487</v>
      </c>
      <c r="L380" t="s">
        <v>673</v>
      </c>
      <c r="M380">
        <v>3</v>
      </c>
      <c r="N380" t="s">
        <v>165</v>
      </c>
      <c r="O380" t="s">
        <v>165</v>
      </c>
      <c r="P380" t="s">
        <v>403</v>
      </c>
      <c r="Q380" t="s">
        <v>771</v>
      </c>
      <c r="R380" t="s">
        <v>1176</v>
      </c>
      <c r="S380">
        <v>2014</v>
      </c>
      <c r="T380">
        <v>12</v>
      </c>
      <c r="U380" t="s">
        <v>408</v>
      </c>
      <c r="V380" t="s">
        <v>454</v>
      </c>
      <c r="W380">
        <v>2018</v>
      </c>
      <c r="X380">
        <v>11</v>
      </c>
      <c r="Y380" t="s">
        <v>370</v>
      </c>
      <c r="Z380">
        <v>2018</v>
      </c>
      <c r="AA380">
        <v>2018</v>
      </c>
      <c r="AB380" s="5">
        <v>0.62767936339300001</v>
      </c>
      <c r="AC380" s="5">
        <v>1.2553587267899999</v>
      </c>
      <c r="AD380" t="s">
        <v>408</v>
      </c>
      <c r="AE380" t="s">
        <v>152</v>
      </c>
      <c r="AF380" t="s">
        <v>408</v>
      </c>
      <c r="AG380" t="s">
        <v>408</v>
      </c>
      <c r="AH380" t="s">
        <v>408</v>
      </c>
      <c r="AI380" t="s">
        <v>408</v>
      </c>
      <c r="AJ380" t="s">
        <v>408</v>
      </c>
      <c r="AK380" t="s">
        <v>408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 s="58">
        <f t="shared" si="5"/>
        <v>1</v>
      </c>
      <c r="AU380" s="79">
        <v>43333</v>
      </c>
      <c r="AV380" t="s">
        <v>410</v>
      </c>
      <c r="AW380" t="s">
        <v>152</v>
      </c>
      <c r="AX380">
        <v>2</v>
      </c>
      <c r="AY380" t="s">
        <v>412</v>
      </c>
      <c r="AZ380" t="s">
        <v>408</v>
      </c>
    </row>
    <row r="381" spans="1:52" x14ac:dyDescent="0.3">
      <c r="A381">
        <v>370</v>
      </c>
      <c r="B381" t="s">
        <v>587</v>
      </c>
      <c r="C381" t="s">
        <v>155</v>
      </c>
      <c r="D381" t="s">
        <v>588</v>
      </c>
      <c r="E381" t="s">
        <v>417</v>
      </c>
      <c r="F381" t="s">
        <v>152</v>
      </c>
      <c r="G381">
        <v>7458</v>
      </c>
      <c r="H381">
        <v>7459</v>
      </c>
      <c r="I381" t="s">
        <v>1265</v>
      </c>
      <c r="J381">
        <v>7000</v>
      </c>
      <c r="K381">
        <v>7001</v>
      </c>
      <c r="L381" t="s">
        <v>1332</v>
      </c>
      <c r="M381">
        <v>2</v>
      </c>
      <c r="N381" t="s">
        <v>170</v>
      </c>
      <c r="O381" t="s">
        <v>170</v>
      </c>
      <c r="P381" t="s">
        <v>420</v>
      </c>
      <c r="Q381" t="s">
        <v>1333</v>
      </c>
      <c r="R381" t="s">
        <v>562</v>
      </c>
      <c r="S381">
        <v>2015</v>
      </c>
      <c r="T381">
        <v>7</v>
      </c>
      <c r="U381" t="s">
        <v>370</v>
      </c>
      <c r="V381" t="s">
        <v>408</v>
      </c>
      <c r="W381">
        <v>0</v>
      </c>
      <c r="X381">
        <v>0</v>
      </c>
      <c r="Y381" t="s">
        <v>408</v>
      </c>
      <c r="Z381">
        <v>2015</v>
      </c>
      <c r="AA381">
        <v>2015</v>
      </c>
      <c r="AB381" s="5">
        <v>0.63173699447800002</v>
      </c>
      <c r="AC381" s="5">
        <v>0.63173699447800002</v>
      </c>
      <c r="AD381" t="s">
        <v>408</v>
      </c>
      <c r="AE381" t="s">
        <v>411</v>
      </c>
      <c r="AF381" t="s">
        <v>152</v>
      </c>
      <c r="AG381" t="s">
        <v>152</v>
      </c>
      <c r="AH381" t="s">
        <v>408</v>
      </c>
      <c r="AI381" t="s">
        <v>408</v>
      </c>
      <c r="AJ381" t="s">
        <v>408</v>
      </c>
      <c r="AK381" t="s">
        <v>408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 s="58">
        <f t="shared" si="5"/>
        <v>1</v>
      </c>
      <c r="AU381" s="79">
        <v>43339</v>
      </c>
      <c r="AV381" s="78" t="s">
        <v>410</v>
      </c>
      <c r="AW381" t="s">
        <v>408</v>
      </c>
      <c r="AX381">
        <v>2</v>
      </c>
      <c r="AY381" t="s">
        <v>412</v>
      </c>
      <c r="AZ381" t="s">
        <v>408</v>
      </c>
    </row>
    <row r="382" spans="1:52" x14ac:dyDescent="0.3">
      <c r="A382">
        <v>371</v>
      </c>
      <c r="B382" t="s">
        <v>472</v>
      </c>
      <c r="C382" t="s">
        <v>152</v>
      </c>
      <c r="D382" t="s">
        <v>473</v>
      </c>
      <c r="E382" t="s">
        <v>460</v>
      </c>
      <c r="F382" t="s">
        <v>408</v>
      </c>
      <c r="G382">
        <v>3734</v>
      </c>
      <c r="H382">
        <v>3741</v>
      </c>
      <c r="I382" t="s">
        <v>1046</v>
      </c>
      <c r="J382">
        <v>3832</v>
      </c>
      <c r="K382">
        <v>3833</v>
      </c>
      <c r="L382" t="s">
        <v>1334</v>
      </c>
      <c r="M382">
        <v>3</v>
      </c>
      <c r="N382" t="s">
        <v>165</v>
      </c>
      <c r="O382" t="s">
        <v>165</v>
      </c>
      <c r="P382" t="s">
        <v>403</v>
      </c>
      <c r="Q382" t="s">
        <v>771</v>
      </c>
      <c r="R382" t="s">
        <v>1176</v>
      </c>
      <c r="S382">
        <v>2014</v>
      </c>
      <c r="T382">
        <v>12</v>
      </c>
      <c r="U382" t="s">
        <v>408</v>
      </c>
      <c r="V382" t="s">
        <v>408</v>
      </c>
      <c r="W382">
        <v>0</v>
      </c>
      <c r="X382">
        <v>0</v>
      </c>
      <c r="Y382" t="s">
        <v>408</v>
      </c>
      <c r="Z382">
        <v>2014</v>
      </c>
      <c r="AA382">
        <v>1999</v>
      </c>
      <c r="AB382" s="5">
        <v>0.17460495210999999</v>
      </c>
      <c r="AC382" s="5">
        <v>0.34920990421999998</v>
      </c>
      <c r="AD382" t="s">
        <v>408</v>
      </c>
      <c r="AE382" t="s">
        <v>152</v>
      </c>
      <c r="AF382" t="s">
        <v>408</v>
      </c>
      <c r="AG382" t="s">
        <v>408</v>
      </c>
      <c r="AH382" t="s">
        <v>408</v>
      </c>
      <c r="AI382" t="s">
        <v>408</v>
      </c>
      <c r="AJ382" t="s">
        <v>408</v>
      </c>
      <c r="AK382" t="s">
        <v>408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s="58">
        <f t="shared" si="5"/>
        <v>1</v>
      </c>
      <c r="AU382" s="79">
        <v>43333</v>
      </c>
      <c r="AV382" t="s">
        <v>410</v>
      </c>
      <c r="AW382" t="s">
        <v>152</v>
      </c>
      <c r="AX382">
        <v>2</v>
      </c>
      <c r="AY382" t="s">
        <v>412</v>
      </c>
      <c r="AZ382" t="s">
        <v>408</v>
      </c>
    </row>
    <row r="383" spans="1:52" x14ac:dyDescent="0.3">
      <c r="A383">
        <v>372</v>
      </c>
      <c r="B383" t="s">
        <v>1228</v>
      </c>
      <c r="C383" t="s">
        <v>152</v>
      </c>
      <c r="D383" t="s">
        <v>1229</v>
      </c>
      <c r="E383" t="s">
        <v>417</v>
      </c>
      <c r="F383" t="s">
        <v>408</v>
      </c>
      <c r="G383">
        <v>301</v>
      </c>
      <c r="H383">
        <v>300</v>
      </c>
      <c r="I383" t="s">
        <v>947</v>
      </c>
      <c r="J383">
        <v>958</v>
      </c>
      <c r="K383">
        <v>959</v>
      </c>
      <c r="L383" t="s">
        <v>1125</v>
      </c>
      <c r="M383">
        <v>4</v>
      </c>
      <c r="N383" t="s">
        <v>168</v>
      </c>
      <c r="O383" t="s">
        <v>170</v>
      </c>
      <c r="P383" t="s">
        <v>420</v>
      </c>
      <c r="Q383" t="s">
        <v>1335</v>
      </c>
      <c r="R383" t="s">
        <v>547</v>
      </c>
      <c r="S383">
        <v>2016</v>
      </c>
      <c r="T383">
        <v>8</v>
      </c>
      <c r="U383" t="s">
        <v>408</v>
      </c>
      <c r="V383" t="s">
        <v>407</v>
      </c>
      <c r="W383">
        <v>2020</v>
      </c>
      <c r="X383">
        <v>0</v>
      </c>
      <c r="Y383" t="s">
        <v>408</v>
      </c>
      <c r="Z383">
        <v>2020</v>
      </c>
      <c r="AA383">
        <v>0</v>
      </c>
      <c r="AB383" s="5">
        <v>0.67840120605700005</v>
      </c>
      <c r="AC383" s="5">
        <v>1.35680241211</v>
      </c>
      <c r="AD383" t="s">
        <v>1232</v>
      </c>
      <c r="AE383" t="s">
        <v>152</v>
      </c>
      <c r="AF383" t="s">
        <v>408</v>
      </c>
      <c r="AG383" t="s">
        <v>408</v>
      </c>
      <c r="AH383" t="s">
        <v>408</v>
      </c>
      <c r="AI383" t="s">
        <v>408</v>
      </c>
      <c r="AJ383" t="s">
        <v>408</v>
      </c>
      <c r="AK383" t="s">
        <v>408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 s="58">
        <f t="shared" si="5"/>
        <v>1</v>
      </c>
      <c r="AU383" s="79" t="s">
        <v>431</v>
      </c>
      <c r="AV383" t="s">
        <v>410</v>
      </c>
      <c r="AW383" t="s">
        <v>408</v>
      </c>
      <c r="AX383">
        <v>3</v>
      </c>
      <c r="AY383" t="s">
        <v>17</v>
      </c>
      <c r="AZ383" t="s">
        <v>408</v>
      </c>
    </row>
    <row r="384" spans="1:52" x14ac:dyDescent="0.3">
      <c r="A384">
        <v>373</v>
      </c>
      <c r="B384" t="s">
        <v>1336</v>
      </c>
      <c r="C384" t="s">
        <v>152</v>
      </c>
      <c r="D384" t="s">
        <v>1337</v>
      </c>
      <c r="E384" t="s">
        <v>460</v>
      </c>
      <c r="F384" t="s">
        <v>152</v>
      </c>
      <c r="G384">
        <v>5200</v>
      </c>
      <c r="H384">
        <v>5201</v>
      </c>
      <c r="I384" t="s">
        <v>1019</v>
      </c>
      <c r="J384">
        <v>5738</v>
      </c>
      <c r="K384">
        <v>5739</v>
      </c>
      <c r="L384" t="s">
        <v>1338</v>
      </c>
      <c r="M384">
        <v>4</v>
      </c>
      <c r="N384" t="s">
        <v>168</v>
      </c>
      <c r="O384" t="s">
        <v>170</v>
      </c>
      <c r="P384" t="s">
        <v>414</v>
      </c>
      <c r="Q384" t="s">
        <v>1339</v>
      </c>
      <c r="R384" t="s">
        <v>547</v>
      </c>
      <c r="S384">
        <v>2017</v>
      </c>
      <c r="T384">
        <v>5</v>
      </c>
      <c r="U384" t="s">
        <v>1340</v>
      </c>
      <c r="V384" t="s">
        <v>487</v>
      </c>
      <c r="W384">
        <v>2020</v>
      </c>
      <c r="X384">
        <v>0</v>
      </c>
      <c r="Y384" t="s">
        <v>1341</v>
      </c>
      <c r="Z384">
        <v>2020</v>
      </c>
      <c r="AA384">
        <v>0</v>
      </c>
      <c r="AB384" s="5">
        <v>0.71959867904599994</v>
      </c>
      <c r="AC384" s="5">
        <v>1.4391973580899999</v>
      </c>
      <c r="AD384" t="s">
        <v>1342</v>
      </c>
      <c r="AE384" t="s">
        <v>152</v>
      </c>
      <c r="AF384" t="s">
        <v>408</v>
      </c>
      <c r="AG384" t="s">
        <v>411</v>
      </c>
      <c r="AH384" t="s">
        <v>408</v>
      </c>
      <c r="AI384" t="s">
        <v>408</v>
      </c>
      <c r="AJ384" t="s">
        <v>408</v>
      </c>
      <c r="AK384" t="s">
        <v>408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58">
        <f t="shared" si="5"/>
        <v>1</v>
      </c>
      <c r="AU384" s="79" t="s">
        <v>488</v>
      </c>
      <c r="AV384" s="78" t="s">
        <v>410</v>
      </c>
      <c r="AW384" t="s">
        <v>408</v>
      </c>
      <c r="AX384">
        <v>3</v>
      </c>
      <c r="AY384" t="s">
        <v>17</v>
      </c>
      <c r="AZ384">
        <v>20</v>
      </c>
    </row>
    <row r="385" spans="1:52" x14ac:dyDescent="0.3">
      <c r="A385">
        <v>374</v>
      </c>
      <c r="B385" t="s">
        <v>1343</v>
      </c>
      <c r="C385" t="s">
        <v>154</v>
      </c>
      <c r="D385" t="s">
        <v>1344</v>
      </c>
      <c r="E385" t="s">
        <v>460</v>
      </c>
      <c r="F385" t="s">
        <v>408</v>
      </c>
      <c r="G385">
        <v>1201</v>
      </c>
      <c r="H385">
        <v>1200</v>
      </c>
      <c r="I385" t="s">
        <v>1345</v>
      </c>
      <c r="J385">
        <v>1359</v>
      </c>
      <c r="K385">
        <v>1358</v>
      </c>
      <c r="L385" t="s">
        <v>920</v>
      </c>
      <c r="M385">
        <v>4</v>
      </c>
      <c r="N385" t="s">
        <v>168</v>
      </c>
      <c r="O385" t="s">
        <v>170</v>
      </c>
      <c r="P385" t="s">
        <v>420</v>
      </c>
      <c r="Q385" t="s">
        <v>1346</v>
      </c>
      <c r="R385" t="s">
        <v>547</v>
      </c>
      <c r="S385">
        <v>2017</v>
      </c>
      <c r="T385">
        <v>5</v>
      </c>
      <c r="U385" t="s">
        <v>408</v>
      </c>
      <c r="V385" t="s">
        <v>408</v>
      </c>
      <c r="W385">
        <v>0</v>
      </c>
      <c r="X385">
        <v>0</v>
      </c>
      <c r="Y385" t="s">
        <v>408</v>
      </c>
      <c r="Z385">
        <v>2017</v>
      </c>
      <c r="AA385">
        <v>0</v>
      </c>
      <c r="AB385" s="5">
        <v>0.251468511354</v>
      </c>
      <c r="AC385" s="5">
        <v>0.502937022708</v>
      </c>
      <c r="AD385" t="s">
        <v>1342</v>
      </c>
      <c r="AE385" t="s">
        <v>152</v>
      </c>
      <c r="AF385" t="s">
        <v>408</v>
      </c>
      <c r="AG385" t="s">
        <v>408</v>
      </c>
      <c r="AH385" t="s">
        <v>408</v>
      </c>
      <c r="AI385" t="s">
        <v>408</v>
      </c>
      <c r="AJ385" t="s">
        <v>408</v>
      </c>
      <c r="AK385" t="s">
        <v>408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s="58">
        <f t="shared" si="5"/>
        <v>1</v>
      </c>
      <c r="AU385" s="79">
        <v>43348</v>
      </c>
      <c r="AV385" s="78" t="s">
        <v>410</v>
      </c>
      <c r="AW385" t="s">
        <v>408</v>
      </c>
      <c r="AX385">
        <v>3</v>
      </c>
      <c r="AY385" t="s">
        <v>17</v>
      </c>
      <c r="AZ385" t="s">
        <v>400</v>
      </c>
    </row>
    <row r="386" spans="1:52" x14ac:dyDescent="0.3">
      <c r="A386">
        <v>375</v>
      </c>
      <c r="B386" t="s">
        <v>693</v>
      </c>
      <c r="C386" t="s">
        <v>155</v>
      </c>
      <c r="D386" t="s">
        <v>694</v>
      </c>
      <c r="E386" t="s">
        <v>460</v>
      </c>
      <c r="F386" t="s">
        <v>408</v>
      </c>
      <c r="G386">
        <v>5500</v>
      </c>
      <c r="H386">
        <v>5501</v>
      </c>
      <c r="I386" t="s">
        <v>1036</v>
      </c>
      <c r="J386">
        <v>5100</v>
      </c>
      <c r="K386">
        <v>5101</v>
      </c>
      <c r="L386" t="s">
        <v>765</v>
      </c>
      <c r="M386">
        <v>3</v>
      </c>
      <c r="N386" t="s">
        <v>165</v>
      </c>
      <c r="O386" t="s">
        <v>165</v>
      </c>
      <c r="P386" t="s">
        <v>403</v>
      </c>
      <c r="Q386" t="s">
        <v>1347</v>
      </c>
      <c r="R386" t="s">
        <v>526</v>
      </c>
      <c r="S386">
        <v>2015</v>
      </c>
      <c r="T386">
        <v>6</v>
      </c>
      <c r="U386" t="s">
        <v>408</v>
      </c>
      <c r="V386" t="s">
        <v>749</v>
      </c>
      <c r="W386">
        <v>2021</v>
      </c>
      <c r="X386">
        <v>0</v>
      </c>
      <c r="Y386" t="s">
        <v>408</v>
      </c>
      <c r="Z386">
        <v>2021</v>
      </c>
      <c r="AA386">
        <v>2012</v>
      </c>
      <c r="AB386" s="5">
        <v>0.53004317323500005</v>
      </c>
      <c r="AC386" s="5">
        <v>1.0600863464700001</v>
      </c>
      <c r="AD386" t="s">
        <v>400</v>
      </c>
      <c r="AE386" t="s">
        <v>152</v>
      </c>
      <c r="AF386" t="s">
        <v>400</v>
      </c>
      <c r="AG386" t="s">
        <v>400</v>
      </c>
      <c r="AH386" t="s">
        <v>400</v>
      </c>
      <c r="AI386" t="s">
        <v>400</v>
      </c>
      <c r="AJ386" t="s">
        <v>400</v>
      </c>
      <c r="AK386" t="s">
        <v>400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 s="58">
        <f t="shared" si="5"/>
        <v>1</v>
      </c>
      <c r="AU386" s="79" t="s">
        <v>768</v>
      </c>
      <c r="AV386" s="78" t="s">
        <v>410</v>
      </c>
      <c r="AW386" t="s">
        <v>152</v>
      </c>
      <c r="AX386">
        <v>2</v>
      </c>
      <c r="AY386" t="s">
        <v>412</v>
      </c>
      <c r="AZ386" t="s">
        <v>408</v>
      </c>
    </row>
    <row r="387" spans="1:52" x14ac:dyDescent="0.3">
      <c r="A387">
        <v>376</v>
      </c>
      <c r="B387" t="s">
        <v>489</v>
      </c>
      <c r="C387" t="s">
        <v>152</v>
      </c>
      <c r="D387" t="s">
        <v>490</v>
      </c>
      <c r="E387" t="s">
        <v>460</v>
      </c>
      <c r="F387" t="s">
        <v>408</v>
      </c>
      <c r="G387">
        <v>1000</v>
      </c>
      <c r="H387">
        <v>1001</v>
      </c>
      <c r="I387" t="s">
        <v>699</v>
      </c>
      <c r="J387">
        <v>1600</v>
      </c>
      <c r="K387">
        <v>1601</v>
      </c>
      <c r="L387" t="s">
        <v>541</v>
      </c>
      <c r="M387">
        <v>3</v>
      </c>
      <c r="N387" t="s">
        <v>165</v>
      </c>
      <c r="O387" t="s">
        <v>165</v>
      </c>
      <c r="P387" t="s">
        <v>403</v>
      </c>
      <c r="Q387" t="s">
        <v>1348</v>
      </c>
      <c r="R387" t="s">
        <v>562</v>
      </c>
      <c r="S387">
        <v>2015</v>
      </c>
      <c r="T387">
        <v>10</v>
      </c>
      <c r="U387" t="s">
        <v>370</v>
      </c>
      <c r="V387" t="s">
        <v>408</v>
      </c>
      <c r="W387">
        <v>0</v>
      </c>
      <c r="X387">
        <v>0</v>
      </c>
      <c r="Y387" t="s">
        <v>408</v>
      </c>
      <c r="Z387">
        <v>2015</v>
      </c>
      <c r="AA387">
        <v>2015</v>
      </c>
      <c r="AB387" s="5">
        <v>0.50336495670000003</v>
      </c>
      <c r="AC387" s="5">
        <v>1.0067299134000001</v>
      </c>
      <c r="AD387" t="s">
        <v>408</v>
      </c>
      <c r="AE387" t="s">
        <v>152</v>
      </c>
      <c r="AF387" t="s">
        <v>408</v>
      </c>
      <c r="AG387" t="s">
        <v>408</v>
      </c>
      <c r="AH387" t="s">
        <v>408</v>
      </c>
      <c r="AI387" t="s">
        <v>408</v>
      </c>
      <c r="AJ387" t="s">
        <v>408</v>
      </c>
      <c r="AK387" t="s">
        <v>408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 s="58">
        <f t="shared" si="5"/>
        <v>1</v>
      </c>
      <c r="AU387" s="79">
        <v>43335</v>
      </c>
      <c r="AV387" s="78" t="s">
        <v>410</v>
      </c>
      <c r="AW387" t="s">
        <v>152</v>
      </c>
      <c r="AX387">
        <v>2</v>
      </c>
      <c r="AY387" t="s">
        <v>412</v>
      </c>
      <c r="AZ387" t="s">
        <v>408</v>
      </c>
    </row>
    <row r="388" spans="1:52" x14ac:dyDescent="0.3">
      <c r="A388">
        <v>377</v>
      </c>
      <c r="B388" t="s">
        <v>649</v>
      </c>
      <c r="C388" t="s">
        <v>155</v>
      </c>
      <c r="D388" t="s">
        <v>650</v>
      </c>
      <c r="E388" t="s">
        <v>426</v>
      </c>
      <c r="F388" t="s">
        <v>408</v>
      </c>
      <c r="G388">
        <v>1358</v>
      </c>
      <c r="H388">
        <v>1359</v>
      </c>
      <c r="I388" t="s">
        <v>1349</v>
      </c>
      <c r="J388">
        <v>1200</v>
      </c>
      <c r="K388">
        <v>1201</v>
      </c>
      <c r="L388" t="s">
        <v>631</v>
      </c>
      <c r="M388">
        <v>4</v>
      </c>
      <c r="N388" t="s">
        <v>167</v>
      </c>
      <c r="O388" t="s">
        <v>167</v>
      </c>
      <c r="P388" t="s">
        <v>420</v>
      </c>
      <c r="Q388" t="s">
        <v>1350</v>
      </c>
      <c r="R388" t="s">
        <v>1351</v>
      </c>
      <c r="S388">
        <v>2014</v>
      </c>
      <c r="T388">
        <v>10</v>
      </c>
      <c r="U388" t="s">
        <v>1352</v>
      </c>
      <c r="V388" t="s">
        <v>1353</v>
      </c>
      <c r="W388">
        <v>2018</v>
      </c>
      <c r="X388">
        <v>11</v>
      </c>
      <c r="Y388" t="s">
        <v>408</v>
      </c>
      <c r="Z388">
        <v>2014</v>
      </c>
      <c r="AA388">
        <v>0</v>
      </c>
      <c r="AB388" s="5">
        <v>0.28572702809700001</v>
      </c>
      <c r="AC388" s="5">
        <v>0.57145405619400003</v>
      </c>
      <c r="AD388" t="s">
        <v>408</v>
      </c>
      <c r="AE388" t="s">
        <v>152</v>
      </c>
      <c r="AF388" t="s">
        <v>408</v>
      </c>
      <c r="AG388" t="s">
        <v>408</v>
      </c>
      <c r="AH388" t="s">
        <v>408</v>
      </c>
      <c r="AI388" t="s">
        <v>408</v>
      </c>
      <c r="AJ388" t="s">
        <v>408</v>
      </c>
      <c r="AK388" t="s">
        <v>408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 s="58">
        <f t="shared" si="5"/>
        <v>1</v>
      </c>
      <c r="AU388" s="79">
        <v>43339</v>
      </c>
      <c r="AV388" s="78" t="s">
        <v>410</v>
      </c>
      <c r="AW388" t="s">
        <v>408</v>
      </c>
      <c r="AX388">
        <v>2</v>
      </c>
      <c r="AY388" t="s">
        <v>412</v>
      </c>
      <c r="AZ388" t="s">
        <v>408</v>
      </c>
    </row>
    <row r="389" spans="1:52" x14ac:dyDescent="0.3">
      <c r="A389">
        <v>378</v>
      </c>
      <c r="B389" t="s">
        <v>1354</v>
      </c>
      <c r="C389" t="s">
        <v>154</v>
      </c>
      <c r="D389" t="s">
        <v>1355</v>
      </c>
      <c r="E389" t="s">
        <v>417</v>
      </c>
      <c r="F389" t="s">
        <v>408</v>
      </c>
      <c r="G389">
        <v>1359</v>
      </c>
      <c r="H389">
        <v>1358</v>
      </c>
      <c r="I389" t="s">
        <v>1356</v>
      </c>
      <c r="J389">
        <v>1230</v>
      </c>
      <c r="K389">
        <v>1231</v>
      </c>
      <c r="L389" t="s">
        <v>1357</v>
      </c>
      <c r="M389">
        <v>4</v>
      </c>
      <c r="N389" t="s">
        <v>170</v>
      </c>
      <c r="O389" t="s">
        <v>170</v>
      </c>
      <c r="P389" t="s">
        <v>420</v>
      </c>
      <c r="Q389" t="s">
        <v>1358</v>
      </c>
      <c r="R389" t="s">
        <v>1227</v>
      </c>
      <c r="S389">
        <v>2015</v>
      </c>
      <c r="T389">
        <v>5</v>
      </c>
      <c r="U389" t="s">
        <v>408</v>
      </c>
      <c r="V389" t="s">
        <v>408</v>
      </c>
      <c r="W389">
        <v>0</v>
      </c>
      <c r="X389">
        <v>0</v>
      </c>
      <c r="Y389" t="s">
        <v>408</v>
      </c>
      <c r="Z389">
        <v>2015</v>
      </c>
      <c r="AA389">
        <v>0</v>
      </c>
      <c r="AB389" s="5">
        <v>0.150149894758</v>
      </c>
      <c r="AC389" s="5">
        <v>0.300299789516</v>
      </c>
      <c r="AD389" t="s">
        <v>408</v>
      </c>
      <c r="AE389" t="s">
        <v>152</v>
      </c>
      <c r="AF389" t="s">
        <v>408</v>
      </c>
      <c r="AG389" t="s">
        <v>408</v>
      </c>
      <c r="AH389" t="s">
        <v>408</v>
      </c>
      <c r="AI389" t="s">
        <v>408</v>
      </c>
      <c r="AJ389" t="s">
        <v>408</v>
      </c>
      <c r="AK389" t="s">
        <v>408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 s="58">
        <f t="shared" si="5"/>
        <v>1</v>
      </c>
      <c r="AU389" s="79">
        <v>43348</v>
      </c>
      <c r="AV389" t="s">
        <v>410</v>
      </c>
      <c r="AW389" t="s">
        <v>408</v>
      </c>
      <c r="AX389">
        <v>3</v>
      </c>
      <c r="AY389" t="s">
        <v>17</v>
      </c>
      <c r="AZ389" t="s">
        <v>408</v>
      </c>
    </row>
    <row r="390" spans="1:52" x14ac:dyDescent="0.3">
      <c r="A390">
        <v>379</v>
      </c>
      <c r="B390" t="s">
        <v>472</v>
      </c>
      <c r="C390" t="s">
        <v>152</v>
      </c>
      <c r="D390" t="s">
        <v>473</v>
      </c>
      <c r="E390" t="s">
        <v>460</v>
      </c>
      <c r="F390" t="s">
        <v>408</v>
      </c>
      <c r="G390">
        <v>2800</v>
      </c>
      <c r="H390">
        <v>2801</v>
      </c>
      <c r="I390" t="s">
        <v>619</v>
      </c>
      <c r="J390">
        <v>3546</v>
      </c>
      <c r="K390">
        <v>3555</v>
      </c>
      <c r="L390" t="s">
        <v>434</v>
      </c>
      <c r="M390">
        <v>3</v>
      </c>
      <c r="N390" t="s">
        <v>165</v>
      </c>
      <c r="O390" t="s">
        <v>165</v>
      </c>
      <c r="P390" t="s">
        <v>403</v>
      </c>
      <c r="Q390" t="s">
        <v>408</v>
      </c>
      <c r="R390" t="s">
        <v>526</v>
      </c>
      <c r="S390">
        <v>2015</v>
      </c>
      <c r="T390">
        <v>5</v>
      </c>
      <c r="U390" t="s">
        <v>408</v>
      </c>
      <c r="V390" t="s">
        <v>742</v>
      </c>
      <c r="W390">
        <v>2017</v>
      </c>
      <c r="X390">
        <v>5</v>
      </c>
      <c r="Y390" t="s">
        <v>370</v>
      </c>
      <c r="Z390">
        <v>2017</v>
      </c>
      <c r="AA390">
        <v>2017</v>
      </c>
      <c r="AB390" s="5">
        <v>1.3974577699699999</v>
      </c>
      <c r="AC390" s="5">
        <v>2.7949155399399999</v>
      </c>
      <c r="AD390" t="s">
        <v>408</v>
      </c>
      <c r="AE390" t="s">
        <v>152</v>
      </c>
      <c r="AF390" t="s">
        <v>408</v>
      </c>
      <c r="AG390" t="s">
        <v>408</v>
      </c>
      <c r="AH390" t="s">
        <v>408</v>
      </c>
      <c r="AI390" t="s">
        <v>408</v>
      </c>
      <c r="AJ390" t="s">
        <v>408</v>
      </c>
      <c r="AK390" t="s">
        <v>408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s="58">
        <f t="shared" si="5"/>
        <v>1</v>
      </c>
      <c r="AU390" s="79">
        <v>43349</v>
      </c>
      <c r="AV390" s="78" t="s">
        <v>410</v>
      </c>
      <c r="AW390" t="s">
        <v>152</v>
      </c>
      <c r="AX390">
        <v>2</v>
      </c>
      <c r="AY390" t="s">
        <v>412</v>
      </c>
      <c r="AZ390" t="s">
        <v>408</v>
      </c>
    </row>
    <row r="391" spans="1:52" x14ac:dyDescent="0.3">
      <c r="A391">
        <v>380</v>
      </c>
      <c r="B391" t="s">
        <v>506</v>
      </c>
      <c r="C391" t="s">
        <v>447</v>
      </c>
      <c r="D391" t="s">
        <v>507</v>
      </c>
      <c r="E391" t="s">
        <v>466</v>
      </c>
      <c r="F391" t="s">
        <v>408</v>
      </c>
      <c r="G391">
        <v>866</v>
      </c>
      <c r="H391">
        <v>865</v>
      </c>
      <c r="I391" t="s">
        <v>915</v>
      </c>
      <c r="J391">
        <v>882</v>
      </c>
      <c r="K391">
        <v>881</v>
      </c>
      <c r="L391" t="s">
        <v>856</v>
      </c>
      <c r="M391">
        <v>2</v>
      </c>
      <c r="N391" t="s">
        <v>165</v>
      </c>
      <c r="O391" t="s">
        <v>165</v>
      </c>
      <c r="P391" t="s">
        <v>403</v>
      </c>
      <c r="Q391" t="s">
        <v>916</v>
      </c>
      <c r="R391" t="s">
        <v>1194</v>
      </c>
      <c r="S391">
        <v>2014</v>
      </c>
      <c r="T391">
        <v>6</v>
      </c>
      <c r="U391" t="s">
        <v>408</v>
      </c>
      <c r="V391" t="s">
        <v>742</v>
      </c>
      <c r="W391">
        <v>2016</v>
      </c>
      <c r="X391">
        <v>11</v>
      </c>
      <c r="Y391" t="s">
        <v>370</v>
      </c>
      <c r="Z391">
        <v>2016</v>
      </c>
      <c r="AA391">
        <v>2016</v>
      </c>
      <c r="AB391" s="5">
        <v>4.72479096763E-2</v>
      </c>
      <c r="AC391" s="5">
        <v>9.44958193526E-2</v>
      </c>
      <c r="AD391" t="s">
        <v>408</v>
      </c>
      <c r="AE391" t="s">
        <v>152</v>
      </c>
      <c r="AF391" t="s">
        <v>408</v>
      </c>
      <c r="AG391" t="s">
        <v>408</v>
      </c>
      <c r="AH391" t="s">
        <v>408</v>
      </c>
      <c r="AI391" t="s">
        <v>408</v>
      </c>
      <c r="AJ391" t="s">
        <v>408</v>
      </c>
      <c r="AK391" t="s">
        <v>408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 s="58">
        <f t="shared" si="5"/>
        <v>1</v>
      </c>
      <c r="AU391" s="79">
        <v>43335</v>
      </c>
      <c r="AV391" s="78" t="s">
        <v>410</v>
      </c>
      <c r="AW391" t="s">
        <v>411</v>
      </c>
      <c r="AX391">
        <v>2</v>
      </c>
      <c r="AY391" t="s">
        <v>412</v>
      </c>
      <c r="AZ391" t="s">
        <v>408</v>
      </c>
    </row>
    <row r="392" spans="1:52" x14ac:dyDescent="0.3">
      <c r="A392">
        <v>381</v>
      </c>
      <c r="B392" t="s">
        <v>472</v>
      </c>
      <c r="C392" t="s">
        <v>152</v>
      </c>
      <c r="D392" t="s">
        <v>473</v>
      </c>
      <c r="E392" t="s">
        <v>460</v>
      </c>
      <c r="F392" t="s">
        <v>408</v>
      </c>
      <c r="G392">
        <v>2601</v>
      </c>
      <c r="H392">
        <v>2602</v>
      </c>
      <c r="I392" t="s">
        <v>773</v>
      </c>
      <c r="J392">
        <v>2701</v>
      </c>
      <c r="K392">
        <v>2700</v>
      </c>
      <c r="L392" t="s">
        <v>1359</v>
      </c>
      <c r="M392">
        <v>3</v>
      </c>
      <c r="N392" t="s">
        <v>165</v>
      </c>
      <c r="O392" t="s">
        <v>165</v>
      </c>
      <c r="P392" t="s">
        <v>403</v>
      </c>
      <c r="Q392" t="s">
        <v>771</v>
      </c>
      <c r="R392" t="s">
        <v>526</v>
      </c>
      <c r="S392">
        <v>2015</v>
      </c>
      <c r="T392">
        <v>5</v>
      </c>
      <c r="U392" t="s">
        <v>408</v>
      </c>
      <c r="V392" t="s">
        <v>408</v>
      </c>
      <c r="W392">
        <v>0</v>
      </c>
      <c r="X392">
        <v>0</v>
      </c>
      <c r="Y392" t="s">
        <v>408</v>
      </c>
      <c r="Z392">
        <v>2015</v>
      </c>
      <c r="AA392">
        <v>0</v>
      </c>
      <c r="AB392" s="5">
        <v>0.19920263546899999</v>
      </c>
      <c r="AC392" s="5">
        <v>0.39840527093799999</v>
      </c>
      <c r="AD392" t="s">
        <v>408</v>
      </c>
      <c r="AE392" t="s">
        <v>152</v>
      </c>
      <c r="AF392" t="s">
        <v>408</v>
      </c>
      <c r="AG392" t="s">
        <v>408</v>
      </c>
      <c r="AH392" t="s">
        <v>408</v>
      </c>
      <c r="AI392" t="s">
        <v>408</v>
      </c>
      <c r="AJ392" t="s">
        <v>408</v>
      </c>
      <c r="AK392" t="s">
        <v>408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 s="58">
        <f t="shared" si="5"/>
        <v>1</v>
      </c>
      <c r="AU392" s="79">
        <v>43333</v>
      </c>
      <c r="AV392" s="78" t="s">
        <v>410</v>
      </c>
      <c r="AW392" t="s">
        <v>152</v>
      </c>
      <c r="AX392">
        <v>2</v>
      </c>
      <c r="AY392" t="s">
        <v>412</v>
      </c>
      <c r="AZ392" t="s">
        <v>408</v>
      </c>
    </row>
    <row r="393" spans="1:52" x14ac:dyDescent="0.3">
      <c r="A393">
        <v>382</v>
      </c>
      <c r="B393" t="s">
        <v>873</v>
      </c>
      <c r="C393" t="s">
        <v>447</v>
      </c>
      <c r="D393" t="s">
        <v>874</v>
      </c>
      <c r="E393" t="s">
        <v>417</v>
      </c>
      <c r="F393" t="s">
        <v>447</v>
      </c>
      <c r="G393">
        <v>301</v>
      </c>
      <c r="H393">
        <v>300</v>
      </c>
      <c r="I393" t="s">
        <v>875</v>
      </c>
      <c r="J393">
        <v>399</v>
      </c>
      <c r="K393">
        <v>400</v>
      </c>
      <c r="L393" t="s">
        <v>876</v>
      </c>
      <c r="M393">
        <v>4</v>
      </c>
      <c r="N393" t="s">
        <v>167</v>
      </c>
      <c r="O393" t="s">
        <v>167</v>
      </c>
      <c r="P393" t="s">
        <v>420</v>
      </c>
      <c r="Q393" t="s">
        <v>408</v>
      </c>
      <c r="R393" t="s">
        <v>497</v>
      </c>
      <c r="S393">
        <v>2003</v>
      </c>
      <c r="T393">
        <v>7</v>
      </c>
      <c r="U393" t="s">
        <v>408</v>
      </c>
      <c r="V393" t="s">
        <v>645</v>
      </c>
      <c r="W393">
        <v>2017</v>
      </c>
      <c r="X393">
        <v>8</v>
      </c>
      <c r="Y393" t="s">
        <v>408</v>
      </c>
      <c r="Z393">
        <v>2017</v>
      </c>
      <c r="AA393">
        <v>0</v>
      </c>
      <c r="AB393" s="5">
        <v>0.175429208654</v>
      </c>
      <c r="AC393" s="5">
        <v>0.175429208654</v>
      </c>
      <c r="AD393" t="s">
        <v>408</v>
      </c>
      <c r="AE393" t="s">
        <v>411</v>
      </c>
      <c r="AF393" t="s">
        <v>447</v>
      </c>
      <c r="AG393" t="s">
        <v>152</v>
      </c>
      <c r="AH393" t="s">
        <v>408</v>
      </c>
      <c r="AI393" t="s">
        <v>408</v>
      </c>
      <c r="AJ393" t="s">
        <v>408</v>
      </c>
      <c r="AK393" t="s">
        <v>408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 s="58">
        <f t="shared" si="5"/>
        <v>1</v>
      </c>
      <c r="AU393" s="79">
        <v>43342</v>
      </c>
      <c r="AV393" s="78" t="s">
        <v>410</v>
      </c>
      <c r="AW393" t="s">
        <v>408</v>
      </c>
      <c r="AX393">
        <v>2</v>
      </c>
      <c r="AY393" t="s">
        <v>412</v>
      </c>
      <c r="AZ393" t="s">
        <v>408</v>
      </c>
    </row>
    <row r="394" spans="1:52" x14ac:dyDescent="0.3">
      <c r="A394">
        <v>383</v>
      </c>
      <c r="B394" t="s">
        <v>598</v>
      </c>
      <c r="C394" t="s">
        <v>155</v>
      </c>
      <c r="D394" t="s">
        <v>599</v>
      </c>
      <c r="E394" t="s">
        <v>460</v>
      </c>
      <c r="F394" t="s">
        <v>408</v>
      </c>
      <c r="G394">
        <v>7900</v>
      </c>
      <c r="H394">
        <v>7901</v>
      </c>
      <c r="I394" t="s">
        <v>1360</v>
      </c>
      <c r="J394">
        <v>7600</v>
      </c>
      <c r="K394">
        <v>7601</v>
      </c>
      <c r="L394" t="s">
        <v>600</v>
      </c>
      <c r="M394">
        <v>3</v>
      </c>
      <c r="N394" t="s">
        <v>165</v>
      </c>
      <c r="O394" t="s">
        <v>165</v>
      </c>
      <c r="P394" t="s">
        <v>420</v>
      </c>
      <c r="Q394" t="s">
        <v>1361</v>
      </c>
      <c r="R394" t="s">
        <v>562</v>
      </c>
      <c r="S394">
        <v>2015</v>
      </c>
      <c r="T394">
        <v>6</v>
      </c>
      <c r="U394" t="s">
        <v>370</v>
      </c>
      <c r="V394" t="s">
        <v>408</v>
      </c>
      <c r="W394">
        <v>0</v>
      </c>
      <c r="X394">
        <v>0</v>
      </c>
      <c r="Y394" t="s">
        <v>408</v>
      </c>
      <c r="Z394">
        <v>2015</v>
      </c>
      <c r="AA394">
        <v>2015</v>
      </c>
      <c r="AB394" s="5">
        <v>0.394514819149</v>
      </c>
      <c r="AC394" s="5">
        <v>0.78902963829799999</v>
      </c>
      <c r="AD394" t="s">
        <v>408</v>
      </c>
      <c r="AE394" t="s">
        <v>152</v>
      </c>
      <c r="AF394" t="s">
        <v>408</v>
      </c>
      <c r="AG394" t="s">
        <v>408</v>
      </c>
      <c r="AH394" t="s">
        <v>408</v>
      </c>
      <c r="AI394" t="s">
        <v>408</v>
      </c>
      <c r="AJ394" t="s">
        <v>408</v>
      </c>
      <c r="AK394" t="s">
        <v>408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 s="58">
        <f t="shared" si="5"/>
        <v>1</v>
      </c>
      <c r="AU394" s="79" t="s">
        <v>602</v>
      </c>
      <c r="AV394" s="78" t="s">
        <v>410</v>
      </c>
      <c r="AW394" t="s">
        <v>411</v>
      </c>
      <c r="AX394">
        <v>2</v>
      </c>
      <c r="AY394" t="s">
        <v>412</v>
      </c>
      <c r="AZ394" t="s">
        <v>408</v>
      </c>
    </row>
    <row r="395" spans="1:52" x14ac:dyDescent="0.3">
      <c r="A395">
        <v>384</v>
      </c>
      <c r="B395" t="s">
        <v>886</v>
      </c>
      <c r="C395" t="s">
        <v>154</v>
      </c>
      <c r="D395" t="s">
        <v>887</v>
      </c>
      <c r="E395" t="s">
        <v>417</v>
      </c>
      <c r="F395" t="s">
        <v>408</v>
      </c>
      <c r="G395">
        <v>1601</v>
      </c>
      <c r="H395">
        <v>1600</v>
      </c>
      <c r="I395" t="s">
        <v>945</v>
      </c>
      <c r="J395">
        <v>1535</v>
      </c>
      <c r="K395">
        <v>1546</v>
      </c>
      <c r="L395" t="s">
        <v>474</v>
      </c>
      <c r="M395">
        <v>3</v>
      </c>
      <c r="N395" t="s">
        <v>167</v>
      </c>
      <c r="O395" t="s">
        <v>167</v>
      </c>
      <c r="P395" t="s">
        <v>414</v>
      </c>
      <c r="Q395" t="s">
        <v>408</v>
      </c>
      <c r="R395" t="s">
        <v>703</v>
      </c>
      <c r="S395">
        <v>2015</v>
      </c>
      <c r="T395">
        <v>6</v>
      </c>
      <c r="U395" t="s">
        <v>408</v>
      </c>
      <c r="V395" t="s">
        <v>408</v>
      </c>
      <c r="W395">
        <v>0</v>
      </c>
      <c r="X395">
        <v>0</v>
      </c>
      <c r="Y395" t="s">
        <v>408</v>
      </c>
      <c r="Z395">
        <v>2012</v>
      </c>
      <c r="AA395">
        <v>0</v>
      </c>
      <c r="AB395" s="5">
        <v>0.115279147158</v>
      </c>
      <c r="AC395" s="5">
        <v>0.230558294316</v>
      </c>
      <c r="AD395" t="s">
        <v>408</v>
      </c>
      <c r="AE395" t="s">
        <v>152</v>
      </c>
      <c r="AF395" t="s">
        <v>408</v>
      </c>
      <c r="AG395" t="s">
        <v>408</v>
      </c>
      <c r="AH395" t="s">
        <v>408</v>
      </c>
      <c r="AI395" t="s">
        <v>408</v>
      </c>
      <c r="AJ395" t="s">
        <v>408</v>
      </c>
      <c r="AK395" t="s">
        <v>408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 s="58">
        <f t="shared" ref="AT395:AT458" si="6">SUM(AM395:AS395)</f>
        <v>1</v>
      </c>
      <c r="AU395" s="79">
        <v>43343</v>
      </c>
      <c r="AV395" t="s">
        <v>410</v>
      </c>
      <c r="AW395" t="s">
        <v>408</v>
      </c>
      <c r="AX395">
        <v>2</v>
      </c>
      <c r="AY395" t="s">
        <v>412</v>
      </c>
      <c r="AZ395" t="s">
        <v>408</v>
      </c>
    </row>
    <row r="396" spans="1:52" x14ac:dyDescent="0.3">
      <c r="A396">
        <v>385</v>
      </c>
      <c r="B396" t="s">
        <v>811</v>
      </c>
      <c r="C396" t="s">
        <v>447</v>
      </c>
      <c r="D396" t="s">
        <v>812</v>
      </c>
      <c r="E396" t="s">
        <v>399</v>
      </c>
      <c r="F396" t="s">
        <v>408</v>
      </c>
      <c r="G396">
        <v>44</v>
      </c>
      <c r="H396">
        <v>45</v>
      </c>
      <c r="I396" t="s">
        <v>878</v>
      </c>
      <c r="J396">
        <v>158</v>
      </c>
      <c r="K396">
        <v>159</v>
      </c>
      <c r="L396" t="s">
        <v>1317</v>
      </c>
      <c r="M396">
        <v>2</v>
      </c>
      <c r="N396" t="s">
        <v>163</v>
      </c>
      <c r="O396" t="s">
        <v>163</v>
      </c>
      <c r="P396" t="s">
        <v>420</v>
      </c>
      <c r="Q396" t="s">
        <v>1362</v>
      </c>
      <c r="R396" t="s">
        <v>624</v>
      </c>
      <c r="S396">
        <v>2015</v>
      </c>
      <c r="T396">
        <v>11</v>
      </c>
      <c r="U396" t="s">
        <v>1363</v>
      </c>
      <c r="V396" t="s">
        <v>408</v>
      </c>
      <c r="W396">
        <v>0</v>
      </c>
      <c r="X396">
        <v>0</v>
      </c>
      <c r="Y396" t="s">
        <v>408</v>
      </c>
      <c r="Z396">
        <v>2015</v>
      </c>
      <c r="AA396">
        <v>2015</v>
      </c>
      <c r="AB396" s="5">
        <v>0.16894480169500001</v>
      </c>
      <c r="AC396" s="5">
        <v>0.33788960339000002</v>
      </c>
      <c r="AD396" t="s">
        <v>408</v>
      </c>
      <c r="AE396" t="s">
        <v>152</v>
      </c>
      <c r="AF396" t="s">
        <v>408</v>
      </c>
      <c r="AG396" t="s">
        <v>408</v>
      </c>
      <c r="AH396" t="s">
        <v>411</v>
      </c>
      <c r="AI396" t="s">
        <v>1364</v>
      </c>
      <c r="AJ396" t="s">
        <v>408</v>
      </c>
      <c r="AK396" t="s">
        <v>408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 s="58">
        <f t="shared" si="6"/>
        <v>1</v>
      </c>
      <c r="AU396" s="79" t="s">
        <v>471</v>
      </c>
      <c r="AV396" s="78" t="s">
        <v>410</v>
      </c>
      <c r="AW396" t="s">
        <v>400</v>
      </c>
      <c r="AX396">
        <v>1</v>
      </c>
      <c r="AY396" t="s">
        <v>412</v>
      </c>
      <c r="AZ396" t="s">
        <v>408</v>
      </c>
    </row>
    <row r="397" spans="1:52" x14ac:dyDescent="0.3">
      <c r="A397">
        <v>386</v>
      </c>
      <c r="B397" t="s">
        <v>598</v>
      </c>
      <c r="C397" t="s">
        <v>155</v>
      </c>
      <c r="D397" t="s">
        <v>599</v>
      </c>
      <c r="E397" t="s">
        <v>460</v>
      </c>
      <c r="F397" t="s">
        <v>408</v>
      </c>
      <c r="G397">
        <v>8355</v>
      </c>
      <c r="H397">
        <v>8338</v>
      </c>
      <c r="I397" t="s">
        <v>1365</v>
      </c>
      <c r="J397">
        <v>7931</v>
      </c>
      <c r="K397">
        <v>7928</v>
      </c>
      <c r="L397" t="s">
        <v>1360</v>
      </c>
      <c r="M397">
        <v>3</v>
      </c>
      <c r="N397" t="s">
        <v>165</v>
      </c>
      <c r="O397" t="s">
        <v>165</v>
      </c>
      <c r="P397" t="s">
        <v>420</v>
      </c>
      <c r="Q397" t="s">
        <v>1361</v>
      </c>
      <c r="R397" t="s">
        <v>562</v>
      </c>
      <c r="S397">
        <v>2015</v>
      </c>
      <c r="T397">
        <v>7</v>
      </c>
      <c r="U397" t="s">
        <v>1366</v>
      </c>
      <c r="V397" t="s">
        <v>408</v>
      </c>
      <c r="W397">
        <v>0</v>
      </c>
      <c r="X397">
        <v>0</v>
      </c>
      <c r="Y397" t="s">
        <v>408</v>
      </c>
      <c r="Z397">
        <v>2015</v>
      </c>
      <c r="AA397">
        <v>2015</v>
      </c>
      <c r="AB397" s="5">
        <v>0.66977696102899997</v>
      </c>
      <c r="AC397" s="5">
        <v>1.3395539220599999</v>
      </c>
      <c r="AD397" t="s">
        <v>408</v>
      </c>
      <c r="AE397" t="s">
        <v>152</v>
      </c>
      <c r="AF397" t="s">
        <v>408</v>
      </c>
      <c r="AG397" t="s">
        <v>408</v>
      </c>
      <c r="AH397" t="s">
        <v>408</v>
      </c>
      <c r="AI397" t="s">
        <v>408</v>
      </c>
      <c r="AJ397" t="s">
        <v>408</v>
      </c>
      <c r="AK397" t="s">
        <v>408</v>
      </c>
      <c r="AL397">
        <v>0</v>
      </c>
      <c r="AM397">
        <v>0</v>
      </c>
      <c r="AN397">
        <v>0</v>
      </c>
      <c r="AO397">
        <v>0</v>
      </c>
      <c r="AP397">
        <v>0.8</v>
      </c>
      <c r="AQ397">
        <v>0</v>
      </c>
      <c r="AR397">
        <v>0.2</v>
      </c>
      <c r="AS397">
        <v>0</v>
      </c>
      <c r="AT397" s="58">
        <f t="shared" si="6"/>
        <v>1</v>
      </c>
      <c r="AU397" s="79">
        <v>43339</v>
      </c>
      <c r="AV397" t="s">
        <v>410</v>
      </c>
      <c r="AW397" t="s">
        <v>411</v>
      </c>
      <c r="AX397">
        <v>2</v>
      </c>
      <c r="AY397" t="s">
        <v>412</v>
      </c>
      <c r="AZ397" t="s">
        <v>408</v>
      </c>
    </row>
    <row r="398" spans="1:52" x14ac:dyDescent="0.3">
      <c r="A398">
        <v>387</v>
      </c>
      <c r="B398" t="s">
        <v>557</v>
      </c>
      <c r="C398" t="s">
        <v>152</v>
      </c>
      <c r="D398" t="s">
        <v>558</v>
      </c>
      <c r="E398" t="s">
        <v>460</v>
      </c>
      <c r="F398" t="s">
        <v>408</v>
      </c>
      <c r="G398">
        <v>4800</v>
      </c>
      <c r="H398">
        <v>4801</v>
      </c>
      <c r="I398" t="s">
        <v>826</v>
      </c>
      <c r="J398">
        <v>4992</v>
      </c>
      <c r="K398">
        <v>4993</v>
      </c>
      <c r="L398" t="s">
        <v>1086</v>
      </c>
      <c r="M398">
        <v>3</v>
      </c>
      <c r="N398" t="s">
        <v>170</v>
      </c>
      <c r="O398" t="s">
        <v>170</v>
      </c>
      <c r="P398" t="s">
        <v>420</v>
      </c>
      <c r="Q398" t="s">
        <v>1367</v>
      </c>
      <c r="R398" t="s">
        <v>601</v>
      </c>
      <c r="S398">
        <v>2017</v>
      </c>
      <c r="T398">
        <v>8</v>
      </c>
      <c r="U398" t="s">
        <v>1368</v>
      </c>
      <c r="V398" t="s">
        <v>408</v>
      </c>
      <c r="W398">
        <v>0</v>
      </c>
      <c r="X398">
        <v>0</v>
      </c>
      <c r="Y398" t="s">
        <v>408</v>
      </c>
      <c r="Z398">
        <v>2017</v>
      </c>
      <c r="AA398">
        <v>0</v>
      </c>
      <c r="AB398" s="5">
        <v>0.32284259511899999</v>
      </c>
      <c r="AC398" s="5">
        <v>0.64568519023799997</v>
      </c>
      <c r="AD398" t="s">
        <v>408</v>
      </c>
      <c r="AE398" t="s">
        <v>152</v>
      </c>
      <c r="AF398" t="s">
        <v>408</v>
      </c>
      <c r="AG398" t="s">
        <v>408</v>
      </c>
      <c r="AH398" t="s">
        <v>408</v>
      </c>
      <c r="AI398" t="s">
        <v>408</v>
      </c>
      <c r="AJ398" t="s">
        <v>408</v>
      </c>
      <c r="AK398" t="s">
        <v>411</v>
      </c>
      <c r="AL398">
        <v>2017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s="58">
        <f t="shared" si="6"/>
        <v>1</v>
      </c>
      <c r="AU398" s="79">
        <v>43347</v>
      </c>
      <c r="AV398" s="78" t="s">
        <v>410</v>
      </c>
      <c r="AW398" t="s">
        <v>408</v>
      </c>
      <c r="AX398">
        <v>2</v>
      </c>
      <c r="AY398" t="s">
        <v>412</v>
      </c>
      <c r="AZ398" t="s">
        <v>408</v>
      </c>
    </row>
    <row r="399" spans="1:52" x14ac:dyDescent="0.3">
      <c r="A399">
        <v>388</v>
      </c>
      <c r="B399" t="s">
        <v>587</v>
      </c>
      <c r="C399" t="s">
        <v>155</v>
      </c>
      <c r="D399" t="s">
        <v>588</v>
      </c>
      <c r="E399" t="s">
        <v>417</v>
      </c>
      <c r="F399" t="s">
        <v>152</v>
      </c>
      <c r="G399">
        <v>6958</v>
      </c>
      <c r="H399">
        <v>6959</v>
      </c>
      <c r="I399" t="s">
        <v>1332</v>
      </c>
      <c r="J399">
        <v>6900</v>
      </c>
      <c r="K399">
        <v>6901</v>
      </c>
      <c r="L399" t="s">
        <v>1369</v>
      </c>
      <c r="M399">
        <v>2</v>
      </c>
      <c r="N399" t="s">
        <v>165</v>
      </c>
      <c r="O399" t="s">
        <v>165</v>
      </c>
      <c r="P399" t="s">
        <v>420</v>
      </c>
      <c r="Q399" t="s">
        <v>1333</v>
      </c>
      <c r="R399" t="s">
        <v>562</v>
      </c>
      <c r="S399">
        <v>2015</v>
      </c>
      <c r="T399">
        <v>7</v>
      </c>
      <c r="U399" t="s">
        <v>370</v>
      </c>
      <c r="V399" t="s">
        <v>408</v>
      </c>
      <c r="W399">
        <v>0</v>
      </c>
      <c r="X399">
        <v>0</v>
      </c>
      <c r="Y399" t="s">
        <v>408</v>
      </c>
      <c r="Z399">
        <v>2015</v>
      </c>
      <c r="AA399">
        <v>2015</v>
      </c>
      <c r="AB399" s="5">
        <v>0.12845955061700001</v>
      </c>
      <c r="AC399" s="5">
        <v>0.12845955061700001</v>
      </c>
      <c r="AD399" t="s">
        <v>408</v>
      </c>
      <c r="AE399" t="s">
        <v>411</v>
      </c>
      <c r="AF399" t="s">
        <v>152</v>
      </c>
      <c r="AG399" t="s">
        <v>152</v>
      </c>
      <c r="AH399" t="s">
        <v>408</v>
      </c>
      <c r="AI399" t="s">
        <v>408</v>
      </c>
      <c r="AJ399" t="s">
        <v>408</v>
      </c>
      <c r="AK399" t="s">
        <v>408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 s="58">
        <f t="shared" si="6"/>
        <v>1</v>
      </c>
      <c r="AU399" s="79">
        <v>43339</v>
      </c>
      <c r="AV399" s="78" t="s">
        <v>410</v>
      </c>
      <c r="AW399" t="s">
        <v>152</v>
      </c>
      <c r="AX399">
        <v>2</v>
      </c>
      <c r="AY399" t="s">
        <v>412</v>
      </c>
      <c r="AZ399" t="s">
        <v>408</v>
      </c>
    </row>
    <row r="400" spans="1:52" x14ac:dyDescent="0.3">
      <c r="A400">
        <v>389</v>
      </c>
      <c r="B400" t="s">
        <v>587</v>
      </c>
      <c r="C400" t="s">
        <v>155</v>
      </c>
      <c r="D400" t="s">
        <v>588</v>
      </c>
      <c r="E400" t="s">
        <v>417</v>
      </c>
      <c r="F400" t="s">
        <v>152</v>
      </c>
      <c r="G400">
        <v>7858</v>
      </c>
      <c r="H400">
        <v>7859</v>
      </c>
      <c r="I400" t="s">
        <v>1370</v>
      </c>
      <c r="J400">
        <v>7500</v>
      </c>
      <c r="K400">
        <v>7501</v>
      </c>
      <c r="L400" t="s">
        <v>1265</v>
      </c>
      <c r="M400">
        <v>2</v>
      </c>
      <c r="N400" t="s">
        <v>165</v>
      </c>
      <c r="O400" t="s">
        <v>165</v>
      </c>
      <c r="P400" t="s">
        <v>420</v>
      </c>
      <c r="Q400" t="s">
        <v>1333</v>
      </c>
      <c r="R400" t="s">
        <v>562</v>
      </c>
      <c r="S400">
        <v>2015</v>
      </c>
      <c r="T400">
        <v>7</v>
      </c>
      <c r="U400" t="s">
        <v>370</v>
      </c>
      <c r="V400" t="s">
        <v>408</v>
      </c>
      <c r="W400">
        <v>0</v>
      </c>
      <c r="X400">
        <v>0</v>
      </c>
      <c r="Y400" t="s">
        <v>408</v>
      </c>
      <c r="Z400">
        <v>2015</v>
      </c>
      <c r="AA400">
        <v>2015</v>
      </c>
      <c r="AB400" s="5">
        <v>0.49868886117299999</v>
      </c>
      <c r="AC400" s="5">
        <v>0.49868886117299999</v>
      </c>
      <c r="AD400" t="s">
        <v>408</v>
      </c>
      <c r="AE400" t="s">
        <v>411</v>
      </c>
      <c r="AF400" t="s">
        <v>152</v>
      </c>
      <c r="AG400" t="s">
        <v>152</v>
      </c>
      <c r="AH400" t="s">
        <v>408</v>
      </c>
      <c r="AI400" t="s">
        <v>408</v>
      </c>
      <c r="AJ400" t="s">
        <v>408</v>
      </c>
      <c r="AK400" t="s">
        <v>408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 s="58">
        <f t="shared" si="6"/>
        <v>1</v>
      </c>
      <c r="AU400" s="79">
        <v>43339</v>
      </c>
      <c r="AV400" s="78" t="s">
        <v>410</v>
      </c>
      <c r="AW400" t="s">
        <v>152</v>
      </c>
      <c r="AX400">
        <v>2</v>
      </c>
      <c r="AY400" t="s">
        <v>412</v>
      </c>
      <c r="AZ400" t="s">
        <v>408</v>
      </c>
    </row>
    <row r="401" spans="1:52" x14ac:dyDescent="0.3">
      <c r="A401">
        <v>390</v>
      </c>
      <c r="B401" t="s">
        <v>1371</v>
      </c>
      <c r="C401" t="s">
        <v>155</v>
      </c>
      <c r="D401" t="s">
        <v>1372</v>
      </c>
      <c r="E401" t="s">
        <v>460</v>
      </c>
      <c r="F401" t="s">
        <v>400</v>
      </c>
      <c r="G401">
        <v>11100</v>
      </c>
      <c r="H401">
        <v>11101</v>
      </c>
      <c r="I401" t="s">
        <v>1373</v>
      </c>
      <c r="J401">
        <v>10700</v>
      </c>
      <c r="K401">
        <v>10701</v>
      </c>
      <c r="L401" t="s">
        <v>1030</v>
      </c>
      <c r="M401">
        <v>4</v>
      </c>
      <c r="N401" t="s">
        <v>163</v>
      </c>
      <c r="O401" t="s">
        <v>163</v>
      </c>
      <c r="P401" t="s">
        <v>403</v>
      </c>
      <c r="Q401" t="s">
        <v>408</v>
      </c>
      <c r="R401" t="s">
        <v>782</v>
      </c>
      <c r="S401">
        <v>2021</v>
      </c>
      <c r="T401">
        <v>8</v>
      </c>
      <c r="U401" t="s">
        <v>408</v>
      </c>
      <c r="V401" t="s">
        <v>408</v>
      </c>
      <c r="W401">
        <v>0</v>
      </c>
      <c r="X401">
        <v>0</v>
      </c>
      <c r="Y401" t="s">
        <v>408</v>
      </c>
      <c r="Z401">
        <v>2021</v>
      </c>
      <c r="AA401">
        <v>2013</v>
      </c>
      <c r="AB401" s="5">
        <v>0.73967379922599996</v>
      </c>
      <c r="AC401" s="5">
        <v>1.47934759845</v>
      </c>
      <c r="AD401" t="s">
        <v>408</v>
      </c>
      <c r="AE401" t="s">
        <v>152</v>
      </c>
      <c r="AF401" t="s">
        <v>408</v>
      </c>
      <c r="AG401" t="s">
        <v>152</v>
      </c>
      <c r="AH401" t="s">
        <v>408</v>
      </c>
      <c r="AI401" t="s">
        <v>470</v>
      </c>
      <c r="AJ401" t="s">
        <v>152</v>
      </c>
      <c r="AK401" t="s">
        <v>408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 s="58">
        <f t="shared" si="6"/>
        <v>1</v>
      </c>
      <c r="AU401" s="79" t="s">
        <v>714</v>
      </c>
      <c r="AV401" s="78" t="s">
        <v>410</v>
      </c>
      <c r="AW401" t="s">
        <v>411</v>
      </c>
      <c r="AX401">
        <v>2</v>
      </c>
      <c r="AY401" t="s">
        <v>412</v>
      </c>
      <c r="AZ401" t="s">
        <v>408</v>
      </c>
    </row>
    <row r="402" spans="1:52" x14ac:dyDescent="0.3">
      <c r="A402">
        <v>391</v>
      </c>
      <c r="B402" t="s">
        <v>489</v>
      </c>
      <c r="C402" t="s">
        <v>152</v>
      </c>
      <c r="D402" t="s">
        <v>490</v>
      </c>
      <c r="E402" t="s">
        <v>460</v>
      </c>
      <c r="F402" t="s">
        <v>408</v>
      </c>
      <c r="G402">
        <v>1133</v>
      </c>
      <c r="H402">
        <v>1132</v>
      </c>
      <c r="I402" t="s">
        <v>1374</v>
      </c>
      <c r="J402">
        <v>1558</v>
      </c>
      <c r="K402">
        <v>1559</v>
      </c>
      <c r="L402" t="s">
        <v>699</v>
      </c>
      <c r="M402">
        <v>3</v>
      </c>
      <c r="N402" t="s">
        <v>165</v>
      </c>
      <c r="O402" t="s">
        <v>165</v>
      </c>
      <c r="P402" t="s">
        <v>403</v>
      </c>
      <c r="Q402" t="s">
        <v>1348</v>
      </c>
      <c r="R402" t="s">
        <v>562</v>
      </c>
      <c r="S402">
        <v>2015</v>
      </c>
      <c r="T402">
        <v>10</v>
      </c>
      <c r="U402" t="s">
        <v>370</v>
      </c>
      <c r="V402" t="s">
        <v>408</v>
      </c>
      <c r="W402">
        <v>0</v>
      </c>
      <c r="X402">
        <v>0</v>
      </c>
      <c r="Y402" t="s">
        <v>408</v>
      </c>
      <c r="Z402">
        <v>2015</v>
      </c>
      <c r="AA402">
        <v>2015</v>
      </c>
      <c r="AB402" s="5">
        <v>6.43253575661E-2</v>
      </c>
      <c r="AC402" s="5">
        <v>0.12865071513199999</v>
      </c>
      <c r="AD402" t="s">
        <v>408</v>
      </c>
      <c r="AE402" t="s">
        <v>152</v>
      </c>
      <c r="AF402" t="s">
        <v>408</v>
      </c>
      <c r="AG402" t="s">
        <v>408</v>
      </c>
      <c r="AH402" t="s">
        <v>408</v>
      </c>
      <c r="AI402" t="s">
        <v>408</v>
      </c>
      <c r="AJ402" t="s">
        <v>408</v>
      </c>
      <c r="AK402" t="s">
        <v>408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 s="58">
        <f t="shared" si="6"/>
        <v>1</v>
      </c>
      <c r="AU402" s="79">
        <v>43335</v>
      </c>
      <c r="AV402" s="78" t="s">
        <v>410</v>
      </c>
      <c r="AW402" t="s">
        <v>152</v>
      </c>
      <c r="AX402">
        <v>2</v>
      </c>
      <c r="AY402" t="s">
        <v>412</v>
      </c>
      <c r="AZ402" t="s">
        <v>408</v>
      </c>
    </row>
    <row r="403" spans="1:52" x14ac:dyDescent="0.3">
      <c r="A403">
        <v>392</v>
      </c>
      <c r="B403" t="s">
        <v>641</v>
      </c>
      <c r="C403" t="s">
        <v>152</v>
      </c>
      <c r="D403" t="s">
        <v>642</v>
      </c>
      <c r="E403" t="s">
        <v>460</v>
      </c>
      <c r="F403" t="s">
        <v>408</v>
      </c>
      <c r="G403">
        <v>1200</v>
      </c>
      <c r="H403">
        <v>1201</v>
      </c>
      <c r="I403" t="s">
        <v>502</v>
      </c>
      <c r="J403">
        <v>1598</v>
      </c>
      <c r="K403">
        <v>1599</v>
      </c>
      <c r="L403" t="s">
        <v>541</v>
      </c>
      <c r="M403">
        <v>3</v>
      </c>
      <c r="N403" t="s">
        <v>170</v>
      </c>
      <c r="O403" t="s">
        <v>170</v>
      </c>
      <c r="P403" t="s">
        <v>420</v>
      </c>
      <c r="Q403" t="s">
        <v>1222</v>
      </c>
      <c r="R403" t="s">
        <v>1143</v>
      </c>
      <c r="S403">
        <v>2015</v>
      </c>
      <c r="T403">
        <v>8</v>
      </c>
      <c r="U403" t="s">
        <v>408</v>
      </c>
      <c r="V403" t="s">
        <v>408</v>
      </c>
      <c r="W403">
        <v>0</v>
      </c>
      <c r="X403">
        <v>0</v>
      </c>
      <c r="Y403" t="s">
        <v>408</v>
      </c>
      <c r="Z403">
        <v>2015</v>
      </c>
      <c r="AA403">
        <v>0</v>
      </c>
      <c r="AB403" s="5">
        <v>8.9391651858999999E-2</v>
      </c>
      <c r="AC403" s="5">
        <v>0.178783303718</v>
      </c>
      <c r="AD403" t="s">
        <v>408</v>
      </c>
      <c r="AE403" t="s">
        <v>152</v>
      </c>
      <c r="AF403" t="s">
        <v>408</v>
      </c>
      <c r="AG403" t="s">
        <v>408</v>
      </c>
      <c r="AH403" t="s">
        <v>408</v>
      </c>
      <c r="AI403" t="s">
        <v>408</v>
      </c>
      <c r="AJ403" t="s">
        <v>408</v>
      </c>
      <c r="AK403" t="s">
        <v>408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 s="58">
        <f t="shared" si="6"/>
        <v>1</v>
      </c>
      <c r="AU403" s="79">
        <v>43339</v>
      </c>
      <c r="AV403" t="s">
        <v>410</v>
      </c>
      <c r="AW403" t="s">
        <v>408</v>
      </c>
      <c r="AX403">
        <v>2</v>
      </c>
      <c r="AY403" t="s">
        <v>412</v>
      </c>
      <c r="AZ403" t="s">
        <v>408</v>
      </c>
    </row>
    <row r="404" spans="1:52" x14ac:dyDescent="0.3">
      <c r="A404">
        <v>393</v>
      </c>
      <c r="B404" t="s">
        <v>935</v>
      </c>
      <c r="C404" t="s">
        <v>152</v>
      </c>
      <c r="D404" t="s">
        <v>936</v>
      </c>
      <c r="E404" t="s">
        <v>460</v>
      </c>
      <c r="F404" t="s">
        <v>152</v>
      </c>
      <c r="G404">
        <v>3900</v>
      </c>
      <c r="H404">
        <v>3901</v>
      </c>
      <c r="I404" t="s">
        <v>920</v>
      </c>
      <c r="J404">
        <v>4000</v>
      </c>
      <c r="K404">
        <v>4001</v>
      </c>
      <c r="L404" t="s">
        <v>717</v>
      </c>
      <c r="M404">
        <v>2</v>
      </c>
      <c r="N404" t="s">
        <v>163</v>
      </c>
      <c r="O404" t="s">
        <v>163</v>
      </c>
      <c r="P404" t="s">
        <v>403</v>
      </c>
      <c r="Q404" t="s">
        <v>1375</v>
      </c>
      <c r="R404" t="s">
        <v>493</v>
      </c>
      <c r="S404">
        <v>2015</v>
      </c>
      <c r="T404">
        <v>12</v>
      </c>
      <c r="U404" t="s">
        <v>1243</v>
      </c>
      <c r="V404" t="s">
        <v>408</v>
      </c>
      <c r="W404">
        <v>0</v>
      </c>
      <c r="X404">
        <v>0</v>
      </c>
      <c r="Y404" t="s">
        <v>408</v>
      </c>
      <c r="Z404">
        <v>2015</v>
      </c>
      <c r="AA404">
        <v>2015</v>
      </c>
      <c r="AB404" s="5">
        <v>9.4427889308699997E-2</v>
      </c>
      <c r="AC404" s="5">
        <v>0.18885577861700001</v>
      </c>
      <c r="AD404" t="s">
        <v>408</v>
      </c>
      <c r="AE404" t="s">
        <v>152</v>
      </c>
      <c r="AF404" t="s">
        <v>408</v>
      </c>
      <c r="AG404" t="s">
        <v>411</v>
      </c>
      <c r="AH404" t="s">
        <v>152</v>
      </c>
      <c r="AI404" t="s">
        <v>438</v>
      </c>
      <c r="AJ404" t="s">
        <v>400</v>
      </c>
      <c r="AK404" t="s">
        <v>408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s="58">
        <f t="shared" si="6"/>
        <v>1</v>
      </c>
      <c r="AU404" s="79" t="s">
        <v>457</v>
      </c>
      <c r="AV404" t="s">
        <v>410</v>
      </c>
      <c r="AW404" t="s">
        <v>411</v>
      </c>
      <c r="AX404">
        <v>1</v>
      </c>
      <c r="AY404" t="s">
        <v>412</v>
      </c>
      <c r="AZ404" t="s">
        <v>408</v>
      </c>
    </row>
    <row r="405" spans="1:52" x14ac:dyDescent="0.3">
      <c r="A405">
        <v>394</v>
      </c>
      <c r="B405" t="s">
        <v>489</v>
      </c>
      <c r="C405" t="s">
        <v>152</v>
      </c>
      <c r="D405" t="s">
        <v>490</v>
      </c>
      <c r="E405" t="s">
        <v>460</v>
      </c>
      <c r="F405" t="s">
        <v>408</v>
      </c>
      <c r="G405">
        <v>1000</v>
      </c>
      <c r="H405">
        <v>1001</v>
      </c>
      <c r="I405" t="s">
        <v>1125</v>
      </c>
      <c r="J405">
        <v>1133</v>
      </c>
      <c r="K405">
        <v>1132</v>
      </c>
      <c r="L405" t="s">
        <v>1374</v>
      </c>
      <c r="M405">
        <v>3</v>
      </c>
      <c r="N405" t="s">
        <v>165</v>
      </c>
      <c r="O405" t="s">
        <v>165</v>
      </c>
      <c r="P405" t="s">
        <v>403</v>
      </c>
      <c r="Q405" t="s">
        <v>1348</v>
      </c>
      <c r="R405" t="s">
        <v>562</v>
      </c>
      <c r="S405">
        <v>2015</v>
      </c>
      <c r="T405">
        <v>10</v>
      </c>
      <c r="U405" t="s">
        <v>370</v>
      </c>
      <c r="V405" t="s">
        <v>408</v>
      </c>
      <c r="W405">
        <v>0</v>
      </c>
      <c r="X405">
        <v>0</v>
      </c>
      <c r="Y405" t="s">
        <v>408</v>
      </c>
      <c r="Z405">
        <v>2015</v>
      </c>
      <c r="AA405">
        <v>2015</v>
      </c>
      <c r="AB405" s="5">
        <v>0.18709770118800001</v>
      </c>
      <c r="AC405" s="5">
        <v>0.37419540237600002</v>
      </c>
      <c r="AD405" t="s">
        <v>408</v>
      </c>
      <c r="AE405" t="s">
        <v>152</v>
      </c>
      <c r="AF405" t="s">
        <v>408</v>
      </c>
      <c r="AG405" t="s">
        <v>408</v>
      </c>
      <c r="AH405" t="s">
        <v>408</v>
      </c>
      <c r="AI405" t="s">
        <v>408</v>
      </c>
      <c r="AJ405" t="s">
        <v>408</v>
      </c>
      <c r="AK405" t="s">
        <v>408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 s="58">
        <f t="shared" si="6"/>
        <v>1</v>
      </c>
      <c r="AU405" s="79">
        <v>43335</v>
      </c>
      <c r="AV405" t="s">
        <v>410</v>
      </c>
      <c r="AW405" t="s">
        <v>152</v>
      </c>
      <c r="AX405">
        <v>2</v>
      </c>
      <c r="AY405" t="s">
        <v>412</v>
      </c>
      <c r="AZ405" t="s">
        <v>408</v>
      </c>
    </row>
    <row r="406" spans="1:52" x14ac:dyDescent="0.3">
      <c r="A406">
        <v>395</v>
      </c>
      <c r="B406" t="s">
        <v>956</v>
      </c>
      <c r="C406" t="s">
        <v>152</v>
      </c>
      <c r="D406" t="s">
        <v>957</v>
      </c>
      <c r="E406" t="s">
        <v>417</v>
      </c>
      <c r="F406" t="s">
        <v>155</v>
      </c>
      <c r="G406">
        <v>146</v>
      </c>
      <c r="H406">
        <v>147</v>
      </c>
      <c r="I406" t="s">
        <v>963</v>
      </c>
      <c r="J406">
        <v>230</v>
      </c>
      <c r="K406">
        <v>233</v>
      </c>
      <c r="L406" t="s">
        <v>972</v>
      </c>
      <c r="M406">
        <v>4</v>
      </c>
      <c r="N406" t="s">
        <v>163</v>
      </c>
      <c r="O406" t="s">
        <v>163</v>
      </c>
      <c r="P406" t="s">
        <v>403</v>
      </c>
      <c r="Q406" t="s">
        <v>1376</v>
      </c>
      <c r="R406" t="s">
        <v>1227</v>
      </c>
      <c r="S406">
        <v>2015</v>
      </c>
      <c r="T406">
        <v>12</v>
      </c>
      <c r="U406" t="s">
        <v>408</v>
      </c>
      <c r="V406" t="s">
        <v>532</v>
      </c>
      <c r="W406">
        <v>2016</v>
      </c>
      <c r="X406">
        <v>10</v>
      </c>
      <c r="Y406" t="s">
        <v>370</v>
      </c>
      <c r="Z406">
        <v>2016</v>
      </c>
      <c r="AA406">
        <v>2016</v>
      </c>
      <c r="AB406" s="5">
        <v>0.16417720555500001</v>
      </c>
      <c r="AC406" s="5">
        <v>0.32835441111000002</v>
      </c>
      <c r="AD406" t="s">
        <v>505</v>
      </c>
      <c r="AE406" t="s">
        <v>152</v>
      </c>
      <c r="AF406" t="s">
        <v>400</v>
      </c>
      <c r="AG406" t="s">
        <v>400</v>
      </c>
      <c r="AH406" t="s">
        <v>411</v>
      </c>
      <c r="AI406" t="s">
        <v>470</v>
      </c>
      <c r="AJ406" t="s">
        <v>400</v>
      </c>
      <c r="AK406" t="s">
        <v>408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 s="58">
        <f t="shared" si="6"/>
        <v>1</v>
      </c>
      <c r="AU406" s="79" t="s">
        <v>457</v>
      </c>
      <c r="AV406" s="78" t="s">
        <v>410</v>
      </c>
      <c r="AW406" t="s">
        <v>411</v>
      </c>
      <c r="AX406">
        <v>1</v>
      </c>
      <c r="AY406" t="s">
        <v>412</v>
      </c>
      <c r="AZ406" t="s">
        <v>408</v>
      </c>
    </row>
    <row r="407" spans="1:52" x14ac:dyDescent="0.3">
      <c r="A407">
        <v>396</v>
      </c>
      <c r="B407" t="s">
        <v>649</v>
      </c>
      <c r="C407" t="s">
        <v>155</v>
      </c>
      <c r="D407" t="s">
        <v>650</v>
      </c>
      <c r="E407" t="s">
        <v>426</v>
      </c>
      <c r="F407" t="s">
        <v>408</v>
      </c>
      <c r="G407">
        <v>1605</v>
      </c>
      <c r="H407">
        <v>1604</v>
      </c>
      <c r="I407" t="s">
        <v>583</v>
      </c>
      <c r="J407">
        <v>1401</v>
      </c>
      <c r="K407">
        <v>1400</v>
      </c>
      <c r="L407" t="s">
        <v>656</v>
      </c>
      <c r="M407">
        <v>4</v>
      </c>
      <c r="N407" t="s">
        <v>163</v>
      </c>
      <c r="O407" t="s">
        <v>163</v>
      </c>
      <c r="P407" t="s">
        <v>420</v>
      </c>
      <c r="Q407" t="s">
        <v>408</v>
      </c>
      <c r="R407" t="s">
        <v>653</v>
      </c>
      <c r="S407">
        <v>2012</v>
      </c>
      <c r="T407">
        <v>12</v>
      </c>
      <c r="U407" t="s">
        <v>1377</v>
      </c>
      <c r="V407" t="s">
        <v>1353</v>
      </c>
      <c r="W407">
        <v>2018</v>
      </c>
      <c r="X407">
        <v>11</v>
      </c>
      <c r="Y407" t="s">
        <v>408</v>
      </c>
      <c r="Z407">
        <v>2014</v>
      </c>
      <c r="AA407">
        <v>2014</v>
      </c>
      <c r="AB407" s="5">
        <v>0.27129778025000001</v>
      </c>
      <c r="AC407" s="5">
        <v>0.54259556050000002</v>
      </c>
      <c r="AD407" t="s">
        <v>408</v>
      </c>
      <c r="AE407" t="s">
        <v>152</v>
      </c>
      <c r="AF407" t="s">
        <v>408</v>
      </c>
      <c r="AG407" t="s">
        <v>408</v>
      </c>
      <c r="AH407" t="s">
        <v>152</v>
      </c>
      <c r="AI407" t="s">
        <v>438</v>
      </c>
      <c r="AJ407" t="s">
        <v>400</v>
      </c>
      <c r="AK407" t="s">
        <v>408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 s="58">
        <f t="shared" si="6"/>
        <v>1</v>
      </c>
      <c r="AU407" s="79" t="s">
        <v>602</v>
      </c>
      <c r="AV407" s="78" t="s">
        <v>410</v>
      </c>
      <c r="AW407" t="s">
        <v>411</v>
      </c>
      <c r="AX407">
        <v>1</v>
      </c>
      <c r="AY407" t="s">
        <v>412</v>
      </c>
      <c r="AZ407" t="s">
        <v>408</v>
      </c>
    </row>
    <row r="408" spans="1:52" x14ac:dyDescent="0.3">
      <c r="A408">
        <v>397</v>
      </c>
      <c r="B408" t="s">
        <v>440</v>
      </c>
      <c r="C408" t="s">
        <v>152</v>
      </c>
      <c r="D408" t="s">
        <v>441</v>
      </c>
      <c r="E408" t="s">
        <v>417</v>
      </c>
      <c r="F408" t="s">
        <v>155</v>
      </c>
      <c r="G408">
        <v>326</v>
      </c>
      <c r="H408">
        <v>325</v>
      </c>
      <c r="I408" t="s">
        <v>1378</v>
      </c>
      <c r="J408">
        <v>526</v>
      </c>
      <c r="K408">
        <v>525</v>
      </c>
      <c r="L408" t="s">
        <v>870</v>
      </c>
      <c r="M408">
        <v>4</v>
      </c>
      <c r="N408" t="s">
        <v>165</v>
      </c>
      <c r="O408" t="s">
        <v>165</v>
      </c>
      <c r="P408" t="s">
        <v>403</v>
      </c>
      <c r="Q408" t="s">
        <v>408</v>
      </c>
      <c r="R408" t="s">
        <v>445</v>
      </c>
      <c r="S408">
        <v>2012</v>
      </c>
      <c r="T408">
        <v>6</v>
      </c>
      <c r="U408" t="s">
        <v>1379</v>
      </c>
      <c r="V408" t="s">
        <v>562</v>
      </c>
      <c r="W408">
        <v>2015</v>
      </c>
      <c r="X408">
        <v>5</v>
      </c>
      <c r="Y408" t="s">
        <v>370</v>
      </c>
      <c r="Z408">
        <v>2015</v>
      </c>
      <c r="AA408">
        <v>2015</v>
      </c>
      <c r="AB408" s="5">
        <v>0.24099933162000001</v>
      </c>
      <c r="AC408" s="5">
        <v>0.24099933162000001</v>
      </c>
      <c r="AD408" t="s">
        <v>1103</v>
      </c>
      <c r="AE408" t="s">
        <v>411</v>
      </c>
      <c r="AF408" t="s">
        <v>155</v>
      </c>
      <c r="AG408" t="s">
        <v>152</v>
      </c>
      <c r="AH408" t="s">
        <v>408</v>
      </c>
      <c r="AI408" t="s">
        <v>408</v>
      </c>
      <c r="AJ408" t="s">
        <v>408</v>
      </c>
      <c r="AK408" t="s">
        <v>411</v>
      </c>
      <c r="AL408">
        <v>2013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 s="58">
        <f t="shared" si="6"/>
        <v>1</v>
      </c>
      <c r="AU408" s="79" t="s">
        <v>488</v>
      </c>
      <c r="AV408" s="78" t="s">
        <v>410</v>
      </c>
      <c r="AW408" t="s">
        <v>152</v>
      </c>
      <c r="AX408">
        <v>2</v>
      </c>
      <c r="AY408" t="s">
        <v>412</v>
      </c>
      <c r="AZ408" t="s">
        <v>408</v>
      </c>
    </row>
    <row r="409" spans="1:52" x14ac:dyDescent="0.3">
      <c r="A409">
        <v>398</v>
      </c>
      <c r="B409" t="s">
        <v>415</v>
      </c>
      <c r="C409" t="s">
        <v>154</v>
      </c>
      <c r="D409" t="s">
        <v>416</v>
      </c>
      <c r="E409" t="s">
        <v>417</v>
      </c>
      <c r="F409" t="s">
        <v>408</v>
      </c>
      <c r="G409">
        <v>2401</v>
      </c>
      <c r="H409">
        <v>2400</v>
      </c>
      <c r="I409" t="s">
        <v>576</v>
      </c>
      <c r="J409">
        <v>2259</v>
      </c>
      <c r="K409">
        <v>2258</v>
      </c>
      <c r="L409" t="s">
        <v>1380</v>
      </c>
      <c r="M409">
        <v>3</v>
      </c>
      <c r="N409" t="s">
        <v>167</v>
      </c>
      <c r="O409" t="s">
        <v>167</v>
      </c>
      <c r="P409" t="s">
        <v>420</v>
      </c>
      <c r="Q409" t="s">
        <v>421</v>
      </c>
      <c r="R409" t="s">
        <v>422</v>
      </c>
      <c r="S409">
        <v>2011</v>
      </c>
      <c r="T409">
        <v>6</v>
      </c>
      <c r="U409" t="s">
        <v>408</v>
      </c>
      <c r="V409" t="s">
        <v>511</v>
      </c>
      <c r="W409">
        <v>2018</v>
      </c>
      <c r="X409">
        <v>7</v>
      </c>
      <c r="Y409" t="s">
        <v>408</v>
      </c>
      <c r="Z409">
        <v>2018</v>
      </c>
      <c r="AA409">
        <v>0</v>
      </c>
      <c r="AB409" s="5">
        <v>0.25525719259000001</v>
      </c>
      <c r="AC409" s="5">
        <v>0.51051438518000003</v>
      </c>
      <c r="AD409" t="s">
        <v>408</v>
      </c>
      <c r="AE409" t="s">
        <v>152</v>
      </c>
      <c r="AF409" t="s">
        <v>408</v>
      </c>
      <c r="AG409" t="s">
        <v>408</v>
      </c>
      <c r="AH409" t="s">
        <v>408</v>
      </c>
      <c r="AI409" t="s">
        <v>408</v>
      </c>
      <c r="AJ409" t="s">
        <v>408</v>
      </c>
      <c r="AK409" t="s">
        <v>408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 s="58">
        <f t="shared" si="6"/>
        <v>1</v>
      </c>
      <c r="AU409" s="79">
        <v>43328</v>
      </c>
      <c r="AV409" s="78" t="s">
        <v>410</v>
      </c>
      <c r="AW409" t="s">
        <v>408</v>
      </c>
      <c r="AX409">
        <v>2</v>
      </c>
      <c r="AY409" t="s">
        <v>412</v>
      </c>
      <c r="AZ409" t="s">
        <v>408</v>
      </c>
    </row>
    <row r="410" spans="1:52" x14ac:dyDescent="0.3">
      <c r="A410">
        <v>399</v>
      </c>
      <c r="B410" t="s">
        <v>415</v>
      </c>
      <c r="C410" t="s">
        <v>154</v>
      </c>
      <c r="D410" t="s">
        <v>416</v>
      </c>
      <c r="E410" t="s">
        <v>417</v>
      </c>
      <c r="F410" t="s">
        <v>408</v>
      </c>
      <c r="G410">
        <v>2131</v>
      </c>
      <c r="H410">
        <v>2132</v>
      </c>
      <c r="I410" t="s">
        <v>1380</v>
      </c>
      <c r="J410">
        <v>2059</v>
      </c>
      <c r="K410">
        <v>2058</v>
      </c>
      <c r="L410" t="s">
        <v>418</v>
      </c>
      <c r="M410">
        <v>3</v>
      </c>
      <c r="N410" t="s">
        <v>167</v>
      </c>
      <c r="O410" t="s">
        <v>167</v>
      </c>
      <c r="P410" t="s">
        <v>420</v>
      </c>
      <c r="Q410" t="s">
        <v>408</v>
      </c>
      <c r="R410" t="s">
        <v>422</v>
      </c>
      <c r="S410">
        <v>2011</v>
      </c>
      <c r="T410">
        <v>6</v>
      </c>
      <c r="U410" t="s">
        <v>408</v>
      </c>
      <c r="V410" t="s">
        <v>511</v>
      </c>
      <c r="W410">
        <v>2018</v>
      </c>
      <c r="X410">
        <v>7</v>
      </c>
      <c r="Y410" t="s">
        <v>370</v>
      </c>
      <c r="Z410">
        <v>2018</v>
      </c>
      <c r="AA410">
        <v>2015</v>
      </c>
      <c r="AB410" s="5">
        <v>0.25320075217799998</v>
      </c>
      <c r="AC410" s="5">
        <v>0.50640150435599995</v>
      </c>
      <c r="AD410" t="s">
        <v>408</v>
      </c>
      <c r="AE410" t="s">
        <v>152</v>
      </c>
      <c r="AF410" t="s">
        <v>408</v>
      </c>
      <c r="AG410" t="s">
        <v>408</v>
      </c>
      <c r="AH410" t="s">
        <v>408</v>
      </c>
      <c r="AI410" t="s">
        <v>408</v>
      </c>
      <c r="AJ410" t="s">
        <v>408</v>
      </c>
      <c r="AK410" t="s">
        <v>408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 s="58">
        <f t="shared" si="6"/>
        <v>1</v>
      </c>
      <c r="AU410" s="79">
        <v>43328</v>
      </c>
      <c r="AV410" s="78" t="s">
        <v>410</v>
      </c>
      <c r="AW410" t="s">
        <v>408</v>
      </c>
      <c r="AX410">
        <v>2</v>
      </c>
      <c r="AY410" t="s">
        <v>412</v>
      </c>
      <c r="AZ410" t="s">
        <v>408</v>
      </c>
    </row>
    <row r="411" spans="1:52" x14ac:dyDescent="0.3">
      <c r="A411">
        <v>400</v>
      </c>
      <c r="B411" t="s">
        <v>1183</v>
      </c>
      <c r="C411" t="s">
        <v>154</v>
      </c>
      <c r="D411" t="s">
        <v>1184</v>
      </c>
      <c r="E411" t="s">
        <v>417</v>
      </c>
      <c r="F411" t="s">
        <v>408</v>
      </c>
      <c r="G411">
        <v>169</v>
      </c>
      <c r="H411">
        <v>168</v>
      </c>
      <c r="I411" t="s">
        <v>1263</v>
      </c>
      <c r="J411">
        <v>2</v>
      </c>
      <c r="K411">
        <v>1</v>
      </c>
      <c r="L411" t="s">
        <v>877</v>
      </c>
      <c r="M411">
        <v>3</v>
      </c>
      <c r="N411" t="s">
        <v>163</v>
      </c>
      <c r="O411" t="s">
        <v>163</v>
      </c>
      <c r="P411" t="s">
        <v>403</v>
      </c>
      <c r="Q411" t="s">
        <v>408</v>
      </c>
      <c r="R411" t="s">
        <v>648</v>
      </c>
      <c r="S411">
        <v>2019</v>
      </c>
      <c r="T411">
        <v>7</v>
      </c>
      <c r="U411" t="s">
        <v>1163</v>
      </c>
      <c r="V411" t="s">
        <v>562</v>
      </c>
      <c r="W411">
        <v>2015</v>
      </c>
      <c r="X411">
        <v>10</v>
      </c>
      <c r="Y411" t="s">
        <v>370</v>
      </c>
      <c r="Z411">
        <v>2019</v>
      </c>
      <c r="AA411">
        <v>2019</v>
      </c>
      <c r="AB411" s="5">
        <v>0.28090743606399998</v>
      </c>
      <c r="AC411" s="5">
        <v>0.56181487212799996</v>
      </c>
      <c r="AD411" t="s">
        <v>408</v>
      </c>
      <c r="AE411" t="s">
        <v>152</v>
      </c>
      <c r="AF411" t="s">
        <v>408</v>
      </c>
      <c r="AG411" t="s">
        <v>408</v>
      </c>
      <c r="AH411" t="s">
        <v>408</v>
      </c>
      <c r="AI411" t="s">
        <v>438</v>
      </c>
      <c r="AJ411" t="s">
        <v>400</v>
      </c>
      <c r="AK411" t="s">
        <v>408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 s="58">
        <f t="shared" si="6"/>
        <v>1</v>
      </c>
      <c r="AU411" s="79" t="s">
        <v>471</v>
      </c>
      <c r="AV411" t="s">
        <v>410</v>
      </c>
      <c r="AW411" t="s">
        <v>411</v>
      </c>
      <c r="AX411">
        <v>1</v>
      </c>
      <c r="AY411" t="s">
        <v>412</v>
      </c>
      <c r="AZ411" t="s">
        <v>408</v>
      </c>
    </row>
    <row r="412" spans="1:52" x14ac:dyDescent="0.3">
      <c r="A412">
        <v>401</v>
      </c>
      <c r="B412" t="s">
        <v>543</v>
      </c>
      <c r="C412" t="s">
        <v>154</v>
      </c>
      <c r="D412" t="s">
        <v>544</v>
      </c>
      <c r="E412" t="s">
        <v>460</v>
      </c>
      <c r="F412" t="s">
        <v>154</v>
      </c>
      <c r="G412">
        <v>2001</v>
      </c>
      <c r="H412">
        <v>2000</v>
      </c>
      <c r="I412" t="s">
        <v>722</v>
      </c>
      <c r="J412">
        <v>2057</v>
      </c>
      <c r="K412">
        <v>2060</v>
      </c>
      <c r="L412" t="s">
        <v>435</v>
      </c>
      <c r="M412">
        <v>4</v>
      </c>
      <c r="N412" t="s">
        <v>168</v>
      </c>
      <c r="O412" t="s">
        <v>170</v>
      </c>
      <c r="P412" t="s">
        <v>420</v>
      </c>
      <c r="Q412" t="s">
        <v>408</v>
      </c>
      <c r="R412" t="s">
        <v>547</v>
      </c>
      <c r="S412">
        <v>2013</v>
      </c>
      <c r="T412">
        <v>10</v>
      </c>
      <c r="U412" t="s">
        <v>1381</v>
      </c>
      <c r="V412" t="s">
        <v>778</v>
      </c>
      <c r="W412">
        <v>2015</v>
      </c>
      <c r="X412">
        <v>6</v>
      </c>
      <c r="Y412" t="s">
        <v>370</v>
      </c>
      <c r="Z412">
        <v>2015</v>
      </c>
      <c r="AA412">
        <v>2015</v>
      </c>
      <c r="AB412" s="5">
        <v>0.12496357493599999</v>
      </c>
      <c r="AC412" s="5">
        <v>0.24992714987199999</v>
      </c>
      <c r="AD412" t="s">
        <v>548</v>
      </c>
      <c r="AE412" t="s">
        <v>152</v>
      </c>
      <c r="AF412" t="s">
        <v>408</v>
      </c>
      <c r="AG412" t="s">
        <v>411</v>
      </c>
      <c r="AH412" t="s">
        <v>408</v>
      </c>
      <c r="AI412" t="s">
        <v>408</v>
      </c>
      <c r="AJ412" t="s">
        <v>408</v>
      </c>
      <c r="AK412" t="s">
        <v>408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s="58">
        <f t="shared" si="6"/>
        <v>1</v>
      </c>
      <c r="AU412" s="79">
        <v>43336</v>
      </c>
      <c r="AV412" s="78" t="s">
        <v>410</v>
      </c>
      <c r="AW412" t="s">
        <v>408</v>
      </c>
      <c r="AX412">
        <v>3</v>
      </c>
      <c r="AY412" t="s">
        <v>17</v>
      </c>
      <c r="AZ412" t="s">
        <v>408</v>
      </c>
    </row>
    <row r="413" spans="1:52" x14ac:dyDescent="0.3">
      <c r="A413">
        <v>402</v>
      </c>
      <c r="B413" t="s">
        <v>626</v>
      </c>
      <c r="C413" t="s">
        <v>155</v>
      </c>
      <c r="D413" t="s">
        <v>627</v>
      </c>
      <c r="E413" t="s">
        <v>417</v>
      </c>
      <c r="F413" t="s">
        <v>152</v>
      </c>
      <c r="G413">
        <v>19</v>
      </c>
      <c r="H413">
        <v>20</v>
      </c>
      <c r="I413" t="s">
        <v>634</v>
      </c>
      <c r="J413">
        <v>17</v>
      </c>
      <c r="K413">
        <v>18</v>
      </c>
      <c r="L413" t="s">
        <v>536</v>
      </c>
      <c r="M413">
        <v>4</v>
      </c>
      <c r="N413" t="s">
        <v>165</v>
      </c>
      <c r="O413" t="s">
        <v>165</v>
      </c>
      <c r="P413" t="s">
        <v>420</v>
      </c>
      <c r="Q413" t="s">
        <v>408</v>
      </c>
      <c r="R413" t="s">
        <v>629</v>
      </c>
      <c r="S413">
        <v>2012</v>
      </c>
      <c r="T413">
        <v>12</v>
      </c>
      <c r="U413" t="s">
        <v>408</v>
      </c>
      <c r="V413" t="s">
        <v>513</v>
      </c>
      <c r="W413">
        <v>2015</v>
      </c>
      <c r="X413">
        <v>8</v>
      </c>
      <c r="Y413" t="s">
        <v>370</v>
      </c>
      <c r="Z413">
        <v>2015</v>
      </c>
      <c r="AA413">
        <v>2015</v>
      </c>
      <c r="AB413" s="5">
        <v>8.9254993255100001E-2</v>
      </c>
      <c r="AC413" s="5">
        <v>8.9254993255100001E-2</v>
      </c>
      <c r="AD413" t="s">
        <v>408</v>
      </c>
      <c r="AE413" t="s">
        <v>411</v>
      </c>
      <c r="AF413" t="s">
        <v>152</v>
      </c>
      <c r="AG413" t="s">
        <v>152</v>
      </c>
      <c r="AH413" t="s">
        <v>408</v>
      </c>
      <c r="AI413" t="s">
        <v>408</v>
      </c>
      <c r="AJ413" t="s">
        <v>408</v>
      </c>
      <c r="AK413" t="s">
        <v>408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 s="58">
        <f t="shared" si="6"/>
        <v>1</v>
      </c>
      <c r="AU413" s="79">
        <v>43339</v>
      </c>
      <c r="AV413" t="s">
        <v>410</v>
      </c>
      <c r="AW413" t="s">
        <v>152</v>
      </c>
      <c r="AX413">
        <v>2</v>
      </c>
      <c r="AY413" t="s">
        <v>412</v>
      </c>
      <c r="AZ413" t="s">
        <v>408</v>
      </c>
    </row>
    <row r="414" spans="1:52" x14ac:dyDescent="0.3">
      <c r="A414">
        <v>403</v>
      </c>
      <c r="B414" t="s">
        <v>626</v>
      </c>
      <c r="C414" t="s">
        <v>152</v>
      </c>
      <c r="D414" t="s">
        <v>627</v>
      </c>
      <c r="E414" t="s">
        <v>417</v>
      </c>
      <c r="F414" t="s">
        <v>152</v>
      </c>
      <c r="G414">
        <v>200</v>
      </c>
      <c r="H414">
        <v>201</v>
      </c>
      <c r="I414" t="s">
        <v>628</v>
      </c>
      <c r="J414">
        <v>244</v>
      </c>
      <c r="K414">
        <v>245</v>
      </c>
      <c r="L414" t="s">
        <v>1382</v>
      </c>
      <c r="M414">
        <v>4</v>
      </c>
      <c r="N414" t="s">
        <v>165</v>
      </c>
      <c r="O414" t="s">
        <v>165</v>
      </c>
      <c r="P414" t="s">
        <v>420</v>
      </c>
      <c r="Q414" t="s">
        <v>408</v>
      </c>
      <c r="R414" t="s">
        <v>629</v>
      </c>
      <c r="S414">
        <v>2012</v>
      </c>
      <c r="T414">
        <v>12</v>
      </c>
      <c r="U414" t="s">
        <v>408</v>
      </c>
      <c r="V414" t="s">
        <v>645</v>
      </c>
      <c r="W414">
        <v>2017</v>
      </c>
      <c r="X414">
        <v>8</v>
      </c>
      <c r="Y414" t="s">
        <v>408</v>
      </c>
      <c r="Z414">
        <v>2017</v>
      </c>
      <c r="AA414">
        <v>2015</v>
      </c>
      <c r="AB414" s="5">
        <v>7.7375769861999996E-2</v>
      </c>
      <c r="AC414" s="5">
        <v>7.7375769861999996E-2</v>
      </c>
      <c r="AD414" t="s">
        <v>408</v>
      </c>
      <c r="AE414" t="s">
        <v>411</v>
      </c>
      <c r="AF414" t="s">
        <v>152</v>
      </c>
      <c r="AG414" t="s">
        <v>152</v>
      </c>
      <c r="AH414" t="s">
        <v>408</v>
      </c>
      <c r="AI414" t="s">
        <v>408</v>
      </c>
      <c r="AJ414" t="s">
        <v>408</v>
      </c>
      <c r="AK414" t="s">
        <v>408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 s="58">
        <f t="shared" si="6"/>
        <v>1</v>
      </c>
      <c r="AU414" s="79">
        <v>43339</v>
      </c>
      <c r="AV414" s="78" t="s">
        <v>410</v>
      </c>
      <c r="AW414" t="s">
        <v>152</v>
      </c>
      <c r="AX414">
        <v>2</v>
      </c>
      <c r="AY414" t="s">
        <v>412</v>
      </c>
      <c r="AZ414" t="s">
        <v>408</v>
      </c>
    </row>
    <row r="415" spans="1:52" x14ac:dyDescent="0.3">
      <c r="A415">
        <v>404</v>
      </c>
      <c r="B415" t="s">
        <v>440</v>
      </c>
      <c r="C415" t="s">
        <v>155</v>
      </c>
      <c r="D415" t="s">
        <v>441</v>
      </c>
      <c r="E415" t="s">
        <v>417</v>
      </c>
      <c r="F415" t="s">
        <v>155</v>
      </c>
      <c r="G415">
        <v>19</v>
      </c>
      <c r="H415">
        <v>20</v>
      </c>
      <c r="I415" t="s">
        <v>443</v>
      </c>
      <c r="J415">
        <v>201</v>
      </c>
      <c r="K415">
        <v>200</v>
      </c>
      <c r="L415" t="s">
        <v>628</v>
      </c>
      <c r="M415">
        <v>4</v>
      </c>
      <c r="N415" t="s">
        <v>170</v>
      </c>
      <c r="O415" t="s">
        <v>170</v>
      </c>
      <c r="P415" t="s">
        <v>420</v>
      </c>
      <c r="Q415" t="s">
        <v>408</v>
      </c>
      <c r="R415" t="s">
        <v>445</v>
      </c>
      <c r="S415">
        <v>2012</v>
      </c>
      <c r="T415">
        <v>6</v>
      </c>
      <c r="U415" t="s">
        <v>1383</v>
      </c>
      <c r="V415" t="s">
        <v>513</v>
      </c>
      <c r="W415">
        <v>2015</v>
      </c>
      <c r="X415">
        <v>8</v>
      </c>
      <c r="Y415" t="s">
        <v>370</v>
      </c>
      <c r="Z415">
        <v>2015</v>
      </c>
      <c r="AA415">
        <v>2015</v>
      </c>
      <c r="AB415" s="5">
        <v>0.30644623346799998</v>
      </c>
      <c r="AC415" s="5">
        <v>0.30644623346799998</v>
      </c>
      <c r="AD415" t="s">
        <v>408</v>
      </c>
      <c r="AE415" t="s">
        <v>411</v>
      </c>
      <c r="AF415" t="s">
        <v>155</v>
      </c>
      <c r="AG415" t="s">
        <v>152</v>
      </c>
      <c r="AH415" t="s">
        <v>408</v>
      </c>
      <c r="AI415" t="s">
        <v>408</v>
      </c>
      <c r="AJ415" t="s">
        <v>408</v>
      </c>
      <c r="AK415" t="s">
        <v>408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 s="58">
        <f t="shared" si="6"/>
        <v>1</v>
      </c>
      <c r="AU415" s="79">
        <v>43328</v>
      </c>
      <c r="AV415" s="78" t="s">
        <v>410</v>
      </c>
      <c r="AW415" t="s">
        <v>408</v>
      </c>
      <c r="AX415">
        <v>2</v>
      </c>
      <c r="AY415" t="s">
        <v>412</v>
      </c>
      <c r="AZ415" t="s">
        <v>408</v>
      </c>
    </row>
    <row r="416" spans="1:52" x14ac:dyDescent="0.3">
      <c r="A416">
        <v>405</v>
      </c>
      <c r="B416" t="s">
        <v>811</v>
      </c>
      <c r="C416" t="s">
        <v>154</v>
      </c>
      <c r="D416" t="s">
        <v>812</v>
      </c>
      <c r="E416" t="s">
        <v>399</v>
      </c>
      <c r="F416" t="s">
        <v>408</v>
      </c>
      <c r="G416">
        <v>743</v>
      </c>
      <c r="H416">
        <v>742</v>
      </c>
      <c r="I416" t="s">
        <v>814</v>
      </c>
      <c r="J416">
        <v>501</v>
      </c>
      <c r="K416">
        <v>500</v>
      </c>
      <c r="L416" t="s">
        <v>808</v>
      </c>
      <c r="M416">
        <v>2</v>
      </c>
      <c r="N416" t="s">
        <v>167</v>
      </c>
      <c r="O416" t="s">
        <v>167</v>
      </c>
      <c r="P416" t="s">
        <v>414</v>
      </c>
      <c r="Q416" t="s">
        <v>408</v>
      </c>
      <c r="R416" t="s">
        <v>815</v>
      </c>
      <c r="S416">
        <v>2008</v>
      </c>
      <c r="T416">
        <v>8</v>
      </c>
      <c r="U416" t="s">
        <v>1384</v>
      </c>
      <c r="V416" t="s">
        <v>407</v>
      </c>
      <c r="W416">
        <v>2020</v>
      </c>
      <c r="X416">
        <v>0</v>
      </c>
      <c r="Y416" t="s">
        <v>408</v>
      </c>
      <c r="Z416">
        <v>2020</v>
      </c>
      <c r="AA416">
        <v>2015</v>
      </c>
      <c r="AB416" s="5">
        <v>0.39731580829000002</v>
      </c>
      <c r="AC416" s="5">
        <v>0.79463161658000003</v>
      </c>
      <c r="AD416" t="s">
        <v>408</v>
      </c>
      <c r="AE416" t="s">
        <v>152</v>
      </c>
      <c r="AF416" t="s">
        <v>408</v>
      </c>
      <c r="AG416" t="s">
        <v>408</v>
      </c>
      <c r="AH416" t="s">
        <v>408</v>
      </c>
      <c r="AI416" t="s">
        <v>408</v>
      </c>
      <c r="AJ416" t="s">
        <v>408</v>
      </c>
      <c r="AK416" t="s">
        <v>411</v>
      </c>
      <c r="AL416">
        <v>2017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 s="58">
        <f t="shared" si="6"/>
        <v>1</v>
      </c>
      <c r="AU416" s="79" t="s">
        <v>431</v>
      </c>
      <c r="AV416" s="78" t="s">
        <v>410</v>
      </c>
      <c r="AW416" t="s">
        <v>408</v>
      </c>
      <c r="AX416">
        <v>2</v>
      </c>
      <c r="AY416" t="s">
        <v>412</v>
      </c>
      <c r="AZ416" t="s">
        <v>408</v>
      </c>
    </row>
    <row r="417" spans="1:52" x14ac:dyDescent="0.3">
      <c r="A417">
        <v>406</v>
      </c>
      <c r="B417" t="s">
        <v>1043</v>
      </c>
      <c r="C417" t="s">
        <v>154</v>
      </c>
      <c r="D417" t="s">
        <v>1044</v>
      </c>
      <c r="E417" t="s">
        <v>460</v>
      </c>
      <c r="F417" t="s">
        <v>408</v>
      </c>
      <c r="G417">
        <v>3329</v>
      </c>
      <c r="H417">
        <v>3328</v>
      </c>
      <c r="I417" t="s">
        <v>1046</v>
      </c>
      <c r="J417">
        <v>3201</v>
      </c>
      <c r="K417">
        <v>3200</v>
      </c>
      <c r="L417" t="s">
        <v>434</v>
      </c>
      <c r="M417">
        <v>4</v>
      </c>
      <c r="N417" t="s">
        <v>167</v>
      </c>
      <c r="O417" t="s">
        <v>167</v>
      </c>
      <c r="P417" t="s">
        <v>403</v>
      </c>
      <c r="Q417" t="s">
        <v>1047</v>
      </c>
      <c r="R417" t="s">
        <v>1048</v>
      </c>
      <c r="S417">
        <v>2020</v>
      </c>
      <c r="T417">
        <v>8</v>
      </c>
      <c r="U417" t="s">
        <v>757</v>
      </c>
      <c r="V417" t="s">
        <v>408</v>
      </c>
      <c r="W417">
        <v>2020</v>
      </c>
      <c r="X417">
        <v>8</v>
      </c>
      <c r="Y417" t="s">
        <v>408</v>
      </c>
      <c r="Z417">
        <v>2020</v>
      </c>
      <c r="AA417">
        <v>2006</v>
      </c>
      <c r="AB417" s="5">
        <v>0.22201218953599999</v>
      </c>
      <c r="AC417" s="5">
        <v>0.44402437907199999</v>
      </c>
      <c r="AD417" t="s">
        <v>408</v>
      </c>
      <c r="AE417" t="s">
        <v>152</v>
      </c>
      <c r="AF417" t="s">
        <v>408</v>
      </c>
      <c r="AG417" t="s">
        <v>408</v>
      </c>
      <c r="AH417" t="s">
        <v>408</v>
      </c>
      <c r="AI417" t="s">
        <v>408</v>
      </c>
      <c r="AJ417" t="s">
        <v>408</v>
      </c>
      <c r="AK417" t="s">
        <v>408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 s="58">
        <f t="shared" si="6"/>
        <v>1</v>
      </c>
      <c r="AU417" s="79" t="s">
        <v>1050</v>
      </c>
      <c r="AV417" t="s">
        <v>410</v>
      </c>
      <c r="AW417" t="s">
        <v>408</v>
      </c>
      <c r="AX417">
        <v>2</v>
      </c>
      <c r="AY417" t="s">
        <v>412</v>
      </c>
      <c r="AZ417" t="s">
        <v>408</v>
      </c>
    </row>
    <row r="418" spans="1:52" x14ac:dyDescent="0.3">
      <c r="A418">
        <v>407</v>
      </c>
      <c r="B418" t="s">
        <v>1043</v>
      </c>
      <c r="C418" t="s">
        <v>154</v>
      </c>
      <c r="D418" t="s">
        <v>1044</v>
      </c>
      <c r="E418" t="s">
        <v>460</v>
      </c>
      <c r="F418" t="s">
        <v>408</v>
      </c>
      <c r="G418">
        <v>3951</v>
      </c>
      <c r="H418">
        <v>3946</v>
      </c>
      <c r="I418" t="s">
        <v>669</v>
      </c>
      <c r="J418">
        <v>3801</v>
      </c>
      <c r="K418">
        <v>3800</v>
      </c>
      <c r="L418" t="s">
        <v>1045</v>
      </c>
      <c r="M418">
        <v>4</v>
      </c>
      <c r="N418" t="s">
        <v>167</v>
      </c>
      <c r="O418" t="s">
        <v>167</v>
      </c>
      <c r="P418" t="s">
        <v>403</v>
      </c>
      <c r="Q418" t="s">
        <v>1047</v>
      </c>
      <c r="R418" t="s">
        <v>1048</v>
      </c>
      <c r="S418">
        <v>2020</v>
      </c>
      <c r="T418">
        <v>8</v>
      </c>
      <c r="U418" t="s">
        <v>757</v>
      </c>
      <c r="V418" t="s">
        <v>408</v>
      </c>
      <c r="W418">
        <v>2020</v>
      </c>
      <c r="X418">
        <v>8</v>
      </c>
      <c r="Y418" t="s">
        <v>408</v>
      </c>
      <c r="Z418">
        <v>2020</v>
      </c>
      <c r="AA418">
        <v>2006</v>
      </c>
      <c r="AB418" s="5">
        <v>0.25197424262700002</v>
      </c>
      <c r="AC418" s="5">
        <v>0.50394848525400004</v>
      </c>
      <c r="AD418" t="s">
        <v>408</v>
      </c>
      <c r="AE418" t="s">
        <v>152</v>
      </c>
      <c r="AF418" t="s">
        <v>408</v>
      </c>
      <c r="AG418" t="s">
        <v>408</v>
      </c>
      <c r="AH418" t="s">
        <v>408</v>
      </c>
      <c r="AI418" t="s">
        <v>408</v>
      </c>
      <c r="AJ418" t="s">
        <v>408</v>
      </c>
      <c r="AK418" t="s">
        <v>408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 s="58">
        <f t="shared" si="6"/>
        <v>1</v>
      </c>
      <c r="AU418" s="79" t="s">
        <v>1050</v>
      </c>
      <c r="AV418" s="78" t="s">
        <v>410</v>
      </c>
      <c r="AW418" t="s">
        <v>408</v>
      </c>
      <c r="AX418">
        <v>2</v>
      </c>
      <c r="AY418" t="s">
        <v>412</v>
      </c>
      <c r="AZ418" t="s">
        <v>408</v>
      </c>
    </row>
    <row r="419" spans="1:52" x14ac:dyDescent="0.3">
      <c r="A419">
        <v>408</v>
      </c>
      <c r="B419" t="s">
        <v>1385</v>
      </c>
      <c r="C419" t="s">
        <v>154</v>
      </c>
      <c r="D419" t="s">
        <v>1386</v>
      </c>
      <c r="E419" t="s">
        <v>417</v>
      </c>
      <c r="F419" t="s">
        <v>408</v>
      </c>
      <c r="G419">
        <v>2958</v>
      </c>
      <c r="H419">
        <v>2959</v>
      </c>
      <c r="I419" t="s">
        <v>413</v>
      </c>
      <c r="J419">
        <v>2400</v>
      </c>
      <c r="K419">
        <v>2401</v>
      </c>
      <c r="L419" t="s">
        <v>576</v>
      </c>
      <c r="M419">
        <v>3</v>
      </c>
      <c r="N419" t="s">
        <v>170</v>
      </c>
      <c r="O419" t="s">
        <v>170</v>
      </c>
      <c r="P419" t="s">
        <v>420</v>
      </c>
      <c r="Q419" t="s">
        <v>1387</v>
      </c>
      <c r="R419" t="s">
        <v>493</v>
      </c>
      <c r="S419">
        <v>2007</v>
      </c>
      <c r="T419">
        <v>10</v>
      </c>
      <c r="U419" t="s">
        <v>408</v>
      </c>
      <c r="V419" t="s">
        <v>695</v>
      </c>
      <c r="W419">
        <v>2020</v>
      </c>
      <c r="X419">
        <v>0</v>
      </c>
      <c r="Y419" t="s">
        <v>408</v>
      </c>
      <c r="Z419">
        <v>2020</v>
      </c>
      <c r="AA419">
        <v>2020</v>
      </c>
      <c r="AB419" s="5">
        <v>0.75656292478499998</v>
      </c>
      <c r="AC419" s="5">
        <v>1.51312584957</v>
      </c>
      <c r="AD419" t="s">
        <v>408</v>
      </c>
      <c r="AE419" t="s">
        <v>152</v>
      </c>
      <c r="AF419" t="s">
        <v>408</v>
      </c>
      <c r="AG419" t="s">
        <v>408</v>
      </c>
      <c r="AH419" t="s">
        <v>408</v>
      </c>
      <c r="AI419" t="s">
        <v>408</v>
      </c>
      <c r="AJ419" t="s">
        <v>408</v>
      </c>
      <c r="AK419" t="s">
        <v>408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 s="58">
        <f t="shared" si="6"/>
        <v>1</v>
      </c>
      <c r="AU419" s="79" t="s">
        <v>431</v>
      </c>
      <c r="AV419" s="78" t="s">
        <v>410</v>
      </c>
      <c r="AW419" t="s">
        <v>408</v>
      </c>
      <c r="AX419">
        <v>2</v>
      </c>
      <c r="AY419" t="s">
        <v>412</v>
      </c>
      <c r="AZ419" t="s">
        <v>408</v>
      </c>
    </row>
    <row r="420" spans="1:52" x14ac:dyDescent="0.3">
      <c r="A420">
        <v>409</v>
      </c>
      <c r="B420" t="s">
        <v>754</v>
      </c>
      <c r="C420" t="s">
        <v>152</v>
      </c>
      <c r="D420" t="s">
        <v>755</v>
      </c>
      <c r="E420" t="s">
        <v>460</v>
      </c>
      <c r="F420" t="s">
        <v>408</v>
      </c>
      <c r="G420">
        <v>1814</v>
      </c>
      <c r="H420">
        <v>1815</v>
      </c>
      <c r="I420" t="s">
        <v>739</v>
      </c>
      <c r="J420">
        <v>1806</v>
      </c>
      <c r="K420">
        <v>1977</v>
      </c>
      <c r="L420" t="s">
        <v>479</v>
      </c>
      <c r="M420">
        <v>3</v>
      </c>
      <c r="N420" t="s">
        <v>170</v>
      </c>
      <c r="O420" t="s">
        <v>170</v>
      </c>
      <c r="P420" t="s">
        <v>420</v>
      </c>
      <c r="Q420" t="s">
        <v>1388</v>
      </c>
      <c r="R420" t="s">
        <v>748</v>
      </c>
      <c r="S420">
        <v>2004</v>
      </c>
      <c r="T420">
        <v>9</v>
      </c>
      <c r="U420" t="s">
        <v>408</v>
      </c>
      <c r="V420" t="s">
        <v>562</v>
      </c>
      <c r="W420">
        <v>2015</v>
      </c>
      <c r="X420">
        <v>5</v>
      </c>
      <c r="Y420" t="s">
        <v>370</v>
      </c>
      <c r="Z420">
        <v>2015</v>
      </c>
      <c r="AA420">
        <v>2015</v>
      </c>
      <c r="AB420" s="5">
        <v>0.28589577291599999</v>
      </c>
      <c r="AC420" s="5">
        <v>0.57179154583199998</v>
      </c>
      <c r="AD420" t="s">
        <v>408</v>
      </c>
      <c r="AE420" t="s">
        <v>152</v>
      </c>
      <c r="AF420" t="s">
        <v>408</v>
      </c>
      <c r="AG420" t="s">
        <v>408</v>
      </c>
      <c r="AH420" t="s">
        <v>408</v>
      </c>
      <c r="AI420" t="s">
        <v>408</v>
      </c>
      <c r="AJ420" t="s">
        <v>408</v>
      </c>
      <c r="AK420" t="s">
        <v>408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s="58">
        <f t="shared" si="6"/>
        <v>1</v>
      </c>
      <c r="AU420" s="79">
        <v>43341</v>
      </c>
      <c r="AV420" s="78" t="s">
        <v>410</v>
      </c>
      <c r="AW420" t="s">
        <v>408</v>
      </c>
      <c r="AX420">
        <v>2</v>
      </c>
      <c r="AY420" t="s">
        <v>412</v>
      </c>
      <c r="AZ420" t="s">
        <v>408</v>
      </c>
    </row>
    <row r="421" spans="1:52" x14ac:dyDescent="0.3">
      <c r="A421">
        <v>410</v>
      </c>
      <c r="B421" t="s">
        <v>754</v>
      </c>
      <c r="C421" t="s">
        <v>152</v>
      </c>
      <c r="D421" t="s">
        <v>755</v>
      </c>
      <c r="E421" t="s">
        <v>460</v>
      </c>
      <c r="F421" t="s">
        <v>408</v>
      </c>
      <c r="G421">
        <v>2100</v>
      </c>
      <c r="H421">
        <v>2101</v>
      </c>
      <c r="I421" t="s">
        <v>948</v>
      </c>
      <c r="J421">
        <v>2176</v>
      </c>
      <c r="K421">
        <v>2177</v>
      </c>
      <c r="L421" t="s">
        <v>480</v>
      </c>
      <c r="M421">
        <v>3</v>
      </c>
      <c r="N421" t="s">
        <v>170</v>
      </c>
      <c r="O421" t="s">
        <v>170</v>
      </c>
      <c r="P421" t="s">
        <v>420</v>
      </c>
      <c r="Q421" t="s">
        <v>408</v>
      </c>
      <c r="R421" t="s">
        <v>748</v>
      </c>
      <c r="S421">
        <v>2004</v>
      </c>
      <c r="T421">
        <v>9</v>
      </c>
      <c r="U421" t="s">
        <v>408</v>
      </c>
      <c r="V421" t="s">
        <v>562</v>
      </c>
      <c r="W421">
        <v>2015</v>
      </c>
      <c r="X421">
        <v>5</v>
      </c>
      <c r="Y421" t="s">
        <v>370</v>
      </c>
      <c r="Z421">
        <v>2015</v>
      </c>
      <c r="AA421">
        <v>2015</v>
      </c>
      <c r="AB421" s="5">
        <v>0.17730896861199999</v>
      </c>
      <c r="AC421" s="5">
        <v>0.35461793722399998</v>
      </c>
      <c r="AD421" t="s">
        <v>408</v>
      </c>
      <c r="AE421" t="s">
        <v>152</v>
      </c>
      <c r="AF421" t="s">
        <v>408</v>
      </c>
      <c r="AG421" t="s">
        <v>408</v>
      </c>
      <c r="AH421" t="s">
        <v>408</v>
      </c>
      <c r="AI421" t="s">
        <v>408</v>
      </c>
      <c r="AJ421" t="s">
        <v>408</v>
      </c>
      <c r="AK421" t="s">
        <v>408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s="58">
        <f t="shared" si="6"/>
        <v>1</v>
      </c>
      <c r="AU421" s="79">
        <v>43341</v>
      </c>
      <c r="AV421" t="s">
        <v>410</v>
      </c>
      <c r="AW421" t="s">
        <v>408</v>
      </c>
      <c r="AX421">
        <v>2</v>
      </c>
      <c r="AY421" t="s">
        <v>412</v>
      </c>
      <c r="AZ421" t="s">
        <v>408</v>
      </c>
    </row>
    <row r="422" spans="1:52" x14ac:dyDescent="0.3">
      <c r="A422">
        <v>411</v>
      </c>
      <c r="B422" t="s">
        <v>1389</v>
      </c>
      <c r="C422" t="s">
        <v>152</v>
      </c>
      <c r="D422" t="s">
        <v>1390</v>
      </c>
      <c r="E422" t="s">
        <v>426</v>
      </c>
      <c r="F422" t="s">
        <v>408</v>
      </c>
      <c r="G422">
        <v>2</v>
      </c>
      <c r="H422">
        <v>1</v>
      </c>
      <c r="I422" t="s">
        <v>536</v>
      </c>
      <c r="J422">
        <v>172</v>
      </c>
      <c r="K422">
        <v>173</v>
      </c>
      <c r="L422" t="s">
        <v>628</v>
      </c>
      <c r="M422">
        <v>3</v>
      </c>
      <c r="N422" t="s">
        <v>165</v>
      </c>
      <c r="O422" t="s">
        <v>165</v>
      </c>
      <c r="P422" t="s">
        <v>403</v>
      </c>
      <c r="Q422" t="s">
        <v>408</v>
      </c>
      <c r="R422" t="s">
        <v>703</v>
      </c>
      <c r="S422">
        <v>2014</v>
      </c>
      <c r="T422">
        <v>7</v>
      </c>
      <c r="U422" t="s">
        <v>408</v>
      </c>
      <c r="V422" t="s">
        <v>482</v>
      </c>
      <c r="W422">
        <v>2018</v>
      </c>
      <c r="X422">
        <v>9</v>
      </c>
      <c r="Y422" t="s">
        <v>370</v>
      </c>
      <c r="Z422">
        <v>2018</v>
      </c>
      <c r="AA422">
        <v>2018</v>
      </c>
      <c r="AB422" s="5">
        <v>0.319795647367</v>
      </c>
      <c r="AC422" s="5">
        <v>0.639591294734</v>
      </c>
      <c r="AD422" t="s">
        <v>408</v>
      </c>
      <c r="AE422" t="s">
        <v>152</v>
      </c>
      <c r="AF422" t="s">
        <v>408</v>
      </c>
      <c r="AG422" t="s">
        <v>408</v>
      </c>
      <c r="AH422" t="s">
        <v>408</v>
      </c>
      <c r="AI422" t="s">
        <v>408</v>
      </c>
      <c r="AJ422" t="s">
        <v>408</v>
      </c>
      <c r="AK422" t="s">
        <v>408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 s="58">
        <f t="shared" si="6"/>
        <v>1</v>
      </c>
      <c r="AU422" s="79">
        <v>43348</v>
      </c>
      <c r="AV422" s="78" t="s">
        <v>410</v>
      </c>
      <c r="AW422" t="s">
        <v>152</v>
      </c>
      <c r="AX422">
        <v>2</v>
      </c>
      <c r="AY422" t="s">
        <v>412</v>
      </c>
      <c r="AZ422" t="s">
        <v>408</v>
      </c>
    </row>
    <row r="423" spans="1:52" x14ac:dyDescent="0.3">
      <c r="A423">
        <v>412</v>
      </c>
      <c r="B423" t="s">
        <v>1389</v>
      </c>
      <c r="C423" t="s">
        <v>152</v>
      </c>
      <c r="D423" t="s">
        <v>1390</v>
      </c>
      <c r="E423" t="s">
        <v>426</v>
      </c>
      <c r="F423" t="s">
        <v>408</v>
      </c>
      <c r="G423">
        <v>200</v>
      </c>
      <c r="H423">
        <v>201</v>
      </c>
      <c r="I423" t="s">
        <v>628</v>
      </c>
      <c r="J423">
        <v>0</v>
      </c>
      <c r="K423">
        <v>0</v>
      </c>
      <c r="L423" t="s">
        <v>1391</v>
      </c>
      <c r="M423">
        <v>3</v>
      </c>
      <c r="N423" t="s">
        <v>165</v>
      </c>
      <c r="O423" t="s">
        <v>165</v>
      </c>
      <c r="P423" t="s">
        <v>420</v>
      </c>
      <c r="Q423" t="s">
        <v>1392</v>
      </c>
      <c r="R423" t="s">
        <v>422</v>
      </c>
      <c r="S423">
        <v>2011</v>
      </c>
      <c r="T423">
        <v>5</v>
      </c>
      <c r="U423" t="s">
        <v>408</v>
      </c>
      <c r="V423" t="s">
        <v>408</v>
      </c>
      <c r="W423">
        <v>0</v>
      </c>
      <c r="X423">
        <v>0</v>
      </c>
      <c r="Y423" t="s">
        <v>408</v>
      </c>
      <c r="Z423">
        <v>2011</v>
      </c>
      <c r="AA423">
        <v>0</v>
      </c>
      <c r="AB423" s="5">
        <v>0.21879825405600001</v>
      </c>
      <c r="AC423" s="5">
        <v>0.43759650811200002</v>
      </c>
      <c r="AD423" t="s">
        <v>400</v>
      </c>
      <c r="AE423" t="s">
        <v>152</v>
      </c>
      <c r="AF423" t="s">
        <v>400</v>
      </c>
      <c r="AG423" t="s">
        <v>400</v>
      </c>
      <c r="AH423" t="s">
        <v>400</v>
      </c>
      <c r="AI423" t="s">
        <v>408</v>
      </c>
      <c r="AJ423" t="s">
        <v>408</v>
      </c>
      <c r="AK423" t="s">
        <v>408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 s="58">
        <f t="shared" si="6"/>
        <v>1</v>
      </c>
      <c r="AU423" s="79" t="s">
        <v>602</v>
      </c>
      <c r="AV423" s="78" t="s">
        <v>410</v>
      </c>
      <c r="AW423" t="s">
        <v>152</v>
      </c>
      <c r="AX423">
        <v>2</v>
      </c>
      <c r="AY423" t="s">
        <v>412</v>
      </c>
      <c r="AZ423" t="s">
        <v>408</v>
      </c>
    </row>
    <row r="424" spans="1:52" x14ac:dyDescent="0.3">
      <c r="A424">
        <v>413</v>
      </c>
      <c r="B424" t="s">
        <v>477</v>
      </c>
      <c r="C424" t="s">
        <v>155</v>
      </c>
      <c r="D424" t="s">
        <v>478</v>
      </c>
      <c r="E424" t="s">
        <v>417</v>
      </c>
      <c r="F424" t="s">
        <v>408</v>
      </c>
      <c r="G424">
        <v>3300</v>
      </c>
      <c r="H424">
        <v>3249</v>
      </c>
      <c r="I424" t="s">
        <v>1006</v>
      </c>
      <c r="J424">
        <v>3100</v>
      </c>
      <c r="K424">
        <v>3101</v>
      </c>
      <c r="L424" t="s">
        <v>968</v>
      </c>
      <c r="M424">
        <v>2</v>
      </c>
      <c r="N424" t="s">
        <v>167</v>
      </c>
      <c r="O424" t="s">
        <v>167</v>
      </c>
      <c r="P424" t="s">
        <v>420</v>
      </c>
      <c r="Q424" t="s">
        <v>408</v>
      </c>
      <c r="R424" t="s">
        <v>1007</v>
      </c>
      <c r="S424">
        <v>2003</v>
      </c>
      <c r="T424">
        <v>9</v>
      </c>
      <c r="U424" t="s">
        <v>408</v>
      </c>
      <c r="V424" t="s">
        <v>778</v>
      </c>
      <c r="W424">
        <v>2015</v>
      </c>
      <c r="X424">
        <v>6</v>
      </c>
      <c r="Y424" t="s">
        <v>370</v>
      </c>
      <c r="Z424">
        <v>2015</v>
      </c>
      <c r="AA424">
        <v>2015</v>
      </c>
      <c r="AB424" s="5">
        <v>0.25170583083300002</v>
      </c>
      <c r="AC424" s="5">
        <v>0.50341166166600004</v>
      </c>
      <c r="AD424" t="s">
        <v>408</v>
      </c>
      <c r="AE424" t="s">
        <v>152</v>
      </c>
      <c r="AF424" t="s">
        <v>408</v>
      </c>
      <c r="AG424" t="s">
        <v>408</v>
      </c>
      <c r="AH424" t="s">
        <v>408</v>
      </c>
      <c r="AI424" t="s">
        <v>408</v>
      </c>
      <c r="AJ424" t="s">
        <v>408</v>
      </c>
      <c r="AK424" t="s">
        <v>408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 s="58">
        <f t="shared" si="6"/>
        <v>1</v>
      </c>
      <c r="AU424" s="79">
        <v>43333</v>
      </c>
      <c r="AV424" t="s">
        <v>410</v>
      </c>
      <c r="AW424" t="s">
        <v>408</v>
      </c>
      <c r="AX424">
        <v>2</v>
      </c>
      <c r="AY424" t="s">
        <v>412</v>
      </c>
      <c r="AZ424" t="s">
        <v>408</v>
      </c>
    </row>
    <row r="425" spans="1:52" x14ac:dyDescent="0.3">
      <c r="A425">
        <v>414</v>
      </c>
      <c r="B425" t="s">
        <v>477</v>
      </c>
      <c r="C425" t="s">
        <v>155</v>
      </c>
      <c r="D425" t="s">
        <v>478</v>
      </c>
      <c r="E425" t="s">
        <v>417</v>
      </c>
      <c r="F425" t="s">
        <v>408</v>
      </c>
      <c r="G425">
        <v>1421</v>
      </c>
      <c r="H425">
        <v>1420</v>
      </c>
      <c r="I425" t="s">
        <v>1393</v>
      </c>
      <c r="J425">
        <v>1245</v>
      </c>
      <c r="K425">
        <v>1244</v>
      </c>
      <c r="L425" t="s">
        <v>884</v>
      </c>
      <c r="M425">
        <v>2</v>
      </c>
      <c r="N425" t="s">
        <v>167</v>
      </c>
      <c r="O425" t="s">
        <v>167</v>
      </c>
      <c r="P425" t="s">
        <v>414</v>
      </c>
      <c r="Q425" t="s">
        <v>408</v>
      </c>
      <c r="R425" t="s">
        <v>885</v>
      </c>
      <c r="S425">
        <v>2013</v>
      </c>
      <c r="T425">
        <v>10</v>
      </c>
      <c r="U425" t="s">
        <v>408</v>
      </c>
      <c r="V425" t="s">
        <v>511</v>
      </c>
      <c r="W425">
        <v>2018</v>
      </c>
      <c r="X425">
        <v>8</v>
      </c>
      <c r="Y425" t="s">
        <v>408</v>
      </c>
      <c r="Z425">
        <v>2018</v>
      </c>
      <c r="AA425">
        <v>2015</v>
      </c>
      <c r="AB425" s="5">
        <v>0.168206609097</v>
      </c>
      <c r="AC425" s="5">
        <v>0.336413218194</v>
      </c>
      <c r="AD425" t="s">
        <v>408</v>
      </c>
      <c r="AE425" t="s">
        <v>152</v>
      </c>
      <c r="AF425" t="s">
        <v>408</v>
      </c>
      <c r="AG425" t="s">
        <v>408</v>
      </c>
      <c r="AH425" t="s">
        <v>408</v>
      </c>
      <c r="AI425" t="s">
        <v>408</v>
      </c>
      <c r="AJ425" t="s">
        <v>408</v>
      </c>
      <c r="AK425" t="s">
        <v>408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 s="58">
        <f t="shared" si="6"/>
        <v>1</v>
      </c>
      <c r="AU425" s="79">
        <v>43333</v>
      </c>
      <c r="AV425" t="s">
        <v>410</v>
      </c>
      <c r="AW425" t="s">
        <v>408</v>
      </c>
      <c r="AX425">
        <v>2</v>
      </c>
      <c r="AY425" t="s">
        <v>412</v>
      </c>
      <c r="AZ425" t="s">
        <v>408</v>
      </c>
    </row>
    <row r="426" spans="1:52" x14ac:dyDescent="0.3">
      <c r="A426">
        <v>415</v>
      </c>
      <c r="B426" t="s">
        <v>956</v>
      </c>
      <c r="C426" t="s">
        <v>155</v>
      </c>
      <c r="D426" t="s">
        <v>957</v>
      </c>
      <c r="E426" t="s">
        <v>417</v>
      </c>
      <c r="F426" t="s">
        <v>155</v>
      </c>
      <c r="G426">
        <v>301</v>
      </c>
      <c r="H426">
        <v>300</v>
      </c>
      <c r="I426" t="s">
        <v>442</v>
      </c>
      <c r="J426">
        <v>339</v>
      </c>
      <c r="K426">
        <v>338</v>
      </c>
      <c r="L426" t="s">
        <v>882</v>
      </c>
      <c r="M426">
        <v>4</v>
      </c>
      <c r="N426" t="s">
        <v>163</v>
      </c>
      <c r="O426" t="s">
        <v>163</v>
      </c>
      <c r="P426" t="s">
        <v>403</v>
      </c>
      <c r="Q426" t="s">
        <v>1150</v>
      </c>
      <c r="R426" t="s">
        <v>505</v>
      </c>
      <c r="S426">
        <v>2016</v>
      </c>
      <c r="T426">
        <v>11</v>
      </c>
      <c r="U426" t="s">
        <v>370</v>
      </c>
      <c r="V426" t="s">
        <v>408</v>
      </c>
      <c r="W426">
        <v>0</v>
      </c>
      <c r="X426">
        <v>0</v>
      </c>
      <c r="Y426" t="s">
        <v>408</v>
      </c>
      <c r="Z426">
        <v>2016</v>
      </c>
      <c r="AA426">
        <v>2016</v>
      </c>
      <c r="AB426" s="5">
        <v>8.8080647404299994E-2</v>
      </c>
      <c r="AC426" s="5">
        <v>0.176161294809</v>
      </c>
      <c r="AD426" t="s">
        <v>505</v>
      </c>
      <c r="AE426" t="s">
        <v>152</v>
      </c>
      <c r="AF426" t="s">
        <v>400</v>
      </c>
      <c r="AG426" t="s">
        <v>400</v>
      </c>
      <c r="AH426" t="s">
        <v>411</v>
      </c>
      <c r="AI426" t="s">
        <v>438</v>
      </c>
      <c r="AJ426" t="s">
        <v>400</v>
      </c>
      <c r="AK426" t="s">
        <v>408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 s="58">
        <f t="shared" si="6"/>
        <v>1</v>
      </c>
      <c r="AU426" s="79" t="s">
        <v>471</v>
      </c>
      <c r="AV426" s="78" t="s">
        <v>410</v>
      </c>
      <c r="AW426" t="s">
        <v>411</v>
      </c>
      <c r="AX426">
        <v>1</v>
      </c>
      <c r="AY426" t="s">
        <v>412</v>
      </c>
      <c r="AZ426" t="s">
        <v>408</v>
      </c>
    </row>
    <row r="427" spans="1:52" x14ac:dyDescent="0.3">
      <c r="A427">
        <v>416</v>
      </c>
      <c r="B427" t="s">
        <v>620</v>
      </c>
      <c r="C427" t="s">
        <v>154</v>
      </c>
      <c r="D427" t="s">
        <v>621</v>
      </c>
      <c r="E427" t="s">
        <v>460</v>
      </c>
      <c r="F427" t="s">
        <v>408</v>
      </c>
      <c r="G427">
        <v>1329</v>
      </c>
      <c r="H427">
        <v>1330</v>
      </c>
      <c r="I427" t="s">
        <v>622</v>
      </c>
      <c r="J427">
        <v>1201</v>
      </c>
      <c r="K427">
        <v>1200</v>
      </c>
      <c r="L427" t="s">
        <v>517</v>
      </c>
      <c r="M427">
        <v>4</v>
      </c>
      <c r="N427" t="s">
        <v>167</v>
      </c>
      <c r="O427" t="s">
        <v>167</v>
      </c>
      <c r="P427" t="s">
        <v>420</v>
      </c>
      <c r="Q427" t="s">
        <v>408</v>
      </c>
      <c r="R427" t="s">
        <v>624</v>
      </c>
      <c r="S427">
        <v>2011</v>
      </c>
      <c r="T427">
        <v>6</v>
      </c>
      <c r="U427" t="s">
        <v>408</v>
      </c>
      <c r="V427" t="s">
        <v>532</v>
      </c>
      <c r="W427">
        <v>2015</v>
      </c>
      <c r="X427">
        <v>12</v>
      </c>
      <c r="Y427" t="s">
        <v>370</v>
      </c>
      <c r="Z427">
        <v>2015</v>
      </c>
      <c r="AA427">
        <v>2015</v>
      </c>
      <c r="AB427" s="5">
        <v>0.172169023448</v>
      </c>
      <c r="AC427" s="5">
        <v>0.34433804689600001</v>
      </c>
      <c r="AD427" t="s">
        <v>408</v>
      </c>
      <c r="AE427" t="s">
        <v>152</v>
      </c>
      <c r="AF427" t="s">
        <v>408</v>
      </c>
      <c r="AG427" t="s">
        <v>408</v>
      </c>
      <c r="AH427" t="s">
        <v>408</v>
      </c>
      <c r="AI427" t="s">
        <v>408</v>
      </c>
      <c r="AJ427" t="s">
        <v>408</v>
      </c>
      <c r="AK427" t="s">
        <v>408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s="58">
        <f t="shared" si="6"/>
        <v>1</v>
      </c>
      <c r="AU427" s="79">
        <v>43339</v>
      </c>
      <c r="AV427" s="78" t="s">
        <v>410</v>
      </c>
      <c r="AW427" t="s">
        <v>408</v>
      </c>
      <c r="AX427">
        <v>2</v>
      </c>
      <c r="AY427" t="s">
        <v>412</v>
      </c>
      <c r="AZ427" t="s">
        <v>408</v>
      </c>
    </row>
    <row r="428" spans="1:52" x14ac:dyDescent="0.3">
      <c r="A428">
        <v>417</v>
      </c>
      <c r="B428" t="s">
        <v>898</v>
      </c>
      <c r="C428" t="s">
        <v>154</v>
      </c>
      <c r="D428" t="s">
        <v>899</v>
      </c>
      <c r="E428" t="s">
        <v>417</v>
      </c>
      <c r="F428" t="s">
        <v>408</v>
      </c>
      <c r="G428">
        <v>198</v>
      </c>
      <c r="H428">
        <v>199</v>
      </c>
      <c r="I428" t="s">
        <v>931</v>
      </c>
      <c r="J428">
        <v>133</v>
      </c>
      <c r="K428">
        <v>132</v>
      </c>
      <c r="L428" t="s">
        <v>1156</v>
      </c>
      <c r="M428">
        <v>2</v>
      </c>
      <c r="N428" t="s">
        <v>163</v>
      </c>
      <c r="O428" t="s">
        <v>163</v>
      </c>
      <c r="P428" t="s">
        <v>420</v>
      </c>
      <c r="Q428" t="s">
        <v>408</v>
      </c>
      <c r="R428" t="s">
        <v>445</v>
      </c>
      <c r="S428">
        <v>2012</v>
      </c>
      <c r="T428">
        <v>10</v>
      </c>
      <c r="U428" t="s">
        <v>1213</v>
      </c>
      <c r="V428" t="s">
        <v>645</v>
      </c>
      <c r="W428">
        <v>2017</v>
      </c>
      <c r="X428">
        <v>7</v>
      </c>
      <c r="Y428" t="s">
        <v>408</v>
      </c>
      <c r="Z428">
        <v>2017</v>
      </c>
      <c r="AA428">
        <v>0</v>
      </c>
      <c r="AB428" s="5">
        <v>8.5252331319300004E-2</v>
      </c>
      <c r="AC428" s="5">
        <v>0.17050466263899999</v>
      </c>
      <c r="AD428" t="s">
        <v>400</v>
      </c>
      <c r="AE428" t="s">
        <v>152</v>
      </c>
      <c r="AF428" t="s">
        <v>408</v>
      </c>
      <c r="AG428" t="s">
        <v>408</v>
      </c>
      <c r="AH428" t="s">
        <v>408</v>
      </c>
      <c r="AI428" t="s">
        <v>470</v>
      </c>
      <c r="AJ428" t="s">
        <v>400</v>
      </c>
      <c r="AK428" t="s">
        <v>411</v>
      </c>
      <c r="AL428">
        <v>2017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 s="58">
        <f t="shared" si="6"/>
        <v>1</v>
      </c>
      <c r="AU428" s="79">
        <v>43343</v>
      </c>
      <c r="AV428" s="78" t="s">
        <v>410</v>
      </c>
      <c r="AW428" t="s">
        <v>411</v>
      </c>
      <c r="AX428">
        <v>1</v>
      </c>
      <c r="AY428" t="s">
        <v>412</v>
      </c>
      <c r="AZ428" t="s">
        <v>408</v>
      </c>
    </row>
    <row r="429" spans="1:52" x14ac:dyDescent="0.3">
      <c r="A429">
        <v>418</v>
      </c>
      <c r="B429" t="s">
        <v>898</v>
      </c>
      <c r="C429" t="s">
        <v>447</v>
      </c>
      <c r="D429" t="s">
        <v>899</v>
      </c>
      <c r="E429" t="s">
        <v>417</v>
      </c>
      <c r="F429" t="s">
        <v>408</v>
      </c>
      <c r="G429">
        <v>100</v>
      </c>
      <c r="H429">
        <v>101</v>
      </c>
      <c r="I429" t="s">
        <v>905</v>
      </c>
      <c r="J429">
        <v>300</v>
      </c>
      <c r="K429">
        <v>301</v>
      </c>
      <c r="L429" t="s">
        <v>1394</v>
      </c>
      <c r="M429">
        <v>2</v>
      </c>
      <c r="N429" t="s">
        <v>163</v>
      </c>
      <c r="O429" t="s">
        <v>163</v>
      </c>
      <c r="P429" t="s">
        <v>420</v>
      </c>
      <c r="Q429" t="s">
        <v>408</v>
      </c>
      <c r="R429" t="s">
        <v>902</v>
      </c>
      <c r="S429">
        <v>2012</v>
      </c>
      <c r="T429">
        <v>10</v>
      </c>
      <c r="U429" t="s">
        <v>1395</v>
      </c>
      <c r="V429" t="s">
        <v>662</v>
      </c>
      <c r="W429">
        <v>2015</v>
      </c>
      <c r="X429">
        <v>10</v>
      </c>
      <c r="Y429" t="s">
        <v>370</v>
      </c>
      <c r="Z429">
        <v>2015</v>
      </c>
      <c r="AA429">
        <v>2015</v>
      </c>
      <c r="AB429" s="5">
        <v>0.20443335671999999</v>
      </c>
      <c r="AC429" s="5">
        <v>0.40886671343999997</v>
      </c>
      <c r="AD429" t="s">
        <v>400</v>
      </c>
      <c r="AE429" t="s">
        <v>152</v>
      </c>
      <c r="AF429" t="s">
        <v>400</v>
      </c>
      <c r="AG429" t="s">
        <v>400</v>
      </c>
      <c r="AH429" t="s">
        <v>152</v>
      </c>
      <c r="AI429" t="s">
        <v>470</v>
      </c>
      <c r="AJ429" t="s">
        <v>400</v>
      </c>
      <c r="AK429" t="s">
        <v>408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 s="58">
        <f t="shared" si="6"/>
        <v>1</v>
      </c>
      <c r="AU429" s="79" t="s">
        <v>457</v>
      </c>
      <c r="AV429" s="78" t="s">
        <v>410</v>
      </c>
      <c r="AW429" t="s">
        <v>411</v>
      </c>
      <c r="AX429">
        <v>1</v>
      </c>
      <c r="AY429" t="s">
        <v>412</v>
      </c>
      <c r="AZ429" t="s">
        <v>408</v>
      </c>
    </row>
    <row r="430" spans="1:52" x14ac:dyDescent="0.3">
      <c r="A430">
        <v>419</v>
      </c>
      <c r="B430" t="s">
        <v>911</v>
      </c>
      <c r="C430" t="s">
        <v>154</v>
      </c>
      <c r="D430" t="s">
        <v>912</v>
      </c>
      <c r="E430" t="s">
        <v>417</v>
      </c>
      <c r="F430" t="s">
        <v>408</v>
      </c>
      <c r="G430">
        <v>1268</v>
      </c>
      <c r="H430">
        <v>1259</v>
      </c>
      <c r="I430" t="s">
        <v>1162</v>
      </c>
      <c r="J430">
        <v>1200</v>
      </c>
      <c r="K430">
        <v>1201</v>
      </c>
      <c r="L430" t="s">
        <v>983</v>
      </c>
      <c r="M430">
        <v>4</v>
      </c>
      <c r="N430" t="s">
        <v>167</v>
      </c>
      <c r="O430" t="s">
        <v>167</v>
      </c>
      <c r="P430" t="s">
        <v>420</v>
      </c>
      <c r="Q430" t="s">
        <v>408</v>
      </c>
      <c r="R430" t="s">
        <v>748</v>
      </c>
      <c r="S430">
        <v>2004</v>
      </c>
      <c r="T430">
        <v>10</v>
      </c>
      <c r="U430" t="s">
        <v>408</v>
      </c>
      <c r="V430" t="s">
        <v>487</v>
      </c>
      <c r="W430">
        <v>2020</v>
      </c>
      <c r="X430">
        <v>0</v>
      </c>
      <c r="Y430" t="s">
        <v>408</v>
      </c>
      <c r="Z430">
        <v>2020</v>
      </c>
      <c r="AA430">
        <v>2015</v>
      </c>
      <c r="AB430" s="5">
        <v>0.125881613236</v>
      </c>
      <c r="AC430" s="5">
        <v>0.251763226472</v>
      </c>
      <c r="AD430" t="s">
        <v>408</v>
      </c>
      <c r="AE430" t="s">
        <v>152</v>
      </c>
      <c r="AF430" t="s">
        <v>408</v>
      </c>
      <c r="AG430" t="s">
        <v>408</v>
      </c>
      <c r="AH430" t="s">
        <v>408</v>
      </c>
      <c r="AI430" t="s">
        <v>408</v>
      </c>
      <c r="AJ430" t="s">
        <v>408</v>
      </c>
      <c r="AK430" t="s">
        <v>408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 s="58">
        <f t="shared" si="6"/>
        <v>1</v>
      </c>
      <c r="AU430" s="79" t="s">
        <v>592</v>
      </c>
      <c r="AV430" t="s">
        <v>410</v>
      </c>
      <c r="AW430" t="s">
        <v>408</v>
      </c>
      <c r="AX430">
        <v>2</v>
      </c>
      <c r="AY430" t="s">
        <v>412</v>
      </c>
      <c r="AZ430" t="s">
        <v>408</v>
      </c>
    </row>
    <row r="431" spans="1:52" x14ac:dyDescent="0.3">
      <c r="A431">
        <v>420</v>
      </c>
      <c r="B431" t="s">
        <v>500</v>
      </c>
      <c r="C431" t="s">
        <v>154</v>
      </c>
      <c r="D431" t="s">
        <v>501</v>
      </c>
      <c r="E431" t="s">
        <v>466</v>
      </c>
      <c r="F431" t="s">
        <v>154</v>
      </c>
      <c r="G431">
        <v>3359</v>
      </c>
      <c r="H431">
        <v>3358</v>
      </c>
      <c r="I431" t="s">
        <v>909</v>
      </c>
      <c r="J431">
        <v>3059</v>
      </c>
      <c r="K431">
        <v>3058</v>
      </c>
      <c r="L431" t="s">
        <v>1396</v>
      </c>
      <c r="M431">
        <v>4</v>
      </c>
      <c r="N431" t="s">
        <v>165</v>
      </c>
      <c r="O431" t="s">
        <v>165</v>
      </c>
      <c r="P431" t="s">
        <v>403</v>
      </c>
      <c r="Q431" t="s">
        <v>1325</v>
      </c>
      <c r="R431" t="s">
        <v>692</v>
      </c>
      <c r="S431">
        <v>2014</v>
      </c>
      <c r="T431">
        <v>12</v>
      </c>
      <c r="U431" t="s">
        <v>408</v>
      </c>
      <c r="V431" t="s">
        <v>662</v>
      </c>
      <c r="W431">
        <v>2015</v>
      </c>
      <c r="X431">
        <v>12</v>
      </c>
      <c r="Y431" t="s">
        <v>370</v>
      </c>
      <c r="Z431">
        <v>2015</v>
      </c>
      <c r="AA431">
        <v>2015</v>
      </c>
      <c r="AB431" s="5">
        <v>0.97125015263400005</v>
      </c>
      <c r="AC431" s="5">
        <v>0.97125015263400005</v>
      </c>
      <c r="AD431" t="s">
        <v>408</v>
      </c>
      <c r="AE431" t="s">
        <v>411</v>
      </c>
      <c r="AF431" t="s">
        <v>154</v>
      </c>
      <c r="AG431" t="s">
        <v>152</v>
      </c>
      <c r="AH431" t="s">
        <v>408</v>
      </c>
      <c r="AI431" t="s">
        <v>408</v>
      </c>
      <c r="AJ431" t="s">
        <v>408</v>
      </c>
      <c r="AK431" t="s">
        <v>408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 s="58">
        <f t="shared" si="6"/>
        <v>1</v>
      </c>
      <c r="AU431" s="79">
        <v>43350</v>
      </c>
      <c r="AV431" s="78" t="s">
        <v>410</v>
      </c>
      <c r="AW431" t="s">
        <v>152</v>
      </c>
      <c r="AX431">
        <v>2</v>
      </c>
      <c r="AY431" t="s">
        <v>412</v>
      </c>
      <c r="AZ431" t="s">
        <v>408</v>
      </c>
    </row>
    <row r="432" spans="1:52" x14ac:dyDescent="0.3">
      <c r="A432">
        <v>421</v>
      </c>
      <c r="B432" t="s">
        <v>500</v>
      </c>
      <c r="C432" t="s">
        <v>154</v>
      </c>
      <c r="D432" t="s">
        <v>501</v>
      </c>
      <c r="E432" t="s">
        <v>466</v>
      </c>
      <c r="F432" t="s">
        <v>408</v>
      </c>
      <c r="G432">
        <v>3763</v>
      </c>
      <c r="H432">
        <v>3762</v>
      </c>
      <c r="I432" t="s">
        <v>917</v>
      </c>
      <c r="J432">
        <v>3401</v>
      </c>
      <c r="K432">
        <v>3400</v>
      </c>
      <c r="L432" t="s">
        <v>909</v>
      </c>
      <c r="M432">
        <v>4</v>
      </c>
      <c r="N432" t="s">
        <v>167</v>
      </c>
      <c r="O432" t="s">
        <v>167</v>
      </c>
      <c r="P432" t="s">
        <v>420</v>
      </c>
      <c r="Q432" t="s">
        <v>408</v>
      </c>
      <c r="R432" t="s">
        <v>910</v>
      </c>
      <c r="S432">
        <v>2003</v>
      </c>
      <c r="T432">
        <v>10</v>
      </c>
      <c r="U432" t="s">
        <v>408</v>
      </c>
      <c r="V432" t="s">
        <v>662</v>
      </c>
      <c r="W432">
        <v>2015</v>
      </c>
      <c r="X432">
        <v>12</v>
      </c>
      <c r="Y432" t="s">
        <v>370</v>
      </c>
      <c r="Z432">
        <v>2015</v>
      </c>
      <c r="AA432">
        <v>2015</v>
      </c>
      <c r="AB432" s="5">
        <v>0.55526951260199997</v>
      </c>
      <c r="AC432" s="5">
        <v>1.1105390252</v>
      </c>
      <c r="AD432" t="s">
        <v>408</v>
      </c>
      <c r="AE432" t="s">
        <v>152</v>
      </c>
      <c r="AF432" t="s">
        <v>408</v>
      </c>
      <c r="AG432" t="s">
        <v>408</v>
      </c>
      <c r="AH432" t="s">
        <v>408</v>
      </c>
      <c r="AI432" t="s">
        <v>408</v>
      </c>
      <c r="AJ432" t="s">
        <v>408</v>
      </c>
      <c r="AK432" t="s">
        <v>408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 s="58">
        <f t="shared" si="6"/>
        <v>1</v>
      </c>
      <c r="AU432" s="79">
        <v>43335</v>
      </c>
      <c r="AV432" t="s">
        <v>410</v>
      </c>
      <c r="AW432" t="s">
        <v>408</v>
      </c>
      <c r="AX432">
        <v>2</v>
      </c>
      <c r="AY432" t="s">
        <v>412</v>
      </c>
      <c r="AZ432" t="s">
        <v>408</v>
      </c>
    </row>
    <row r="433" spans="1:52" x14ac:dyDescent="0.3">
      <c r="A433">
        <v>422</v>
      </c>
      <c r="B433" t="s">
        <v>693</v>
      </c>
      <c r="C433" t="s">
        <v>155</v>
      </c>
      <c r="D433" t="s">
        <v>694</v>
      </c>
      <c r="E433" t="s">
        <v>460</v>
      </c>
      <c r="F433" t="s">
        <v>408</v>
      </c>
      <c r="G433">
        <v>1700</v>
      </c>
      <c r="H433">
        <v>1701</v>
      </c>
      <c r="I433" t="s">
        <v>1277</v>
      </c>
      <c r="J433">
        <v>1400</v>
      </c>
      <c r="K433">
        <v>1401</v>
      </c>
      <c r="L433" t="s">
        <v>1278</v>
      </c>
      <c r="M433">
        <v>3</v>
      </c>
      <c r="N433" t="s">
        <v>165</v>
      </c>
      <c r="O433" t="s">
        <v>165</v>
      </c>
      <c r="P433" t="s">
        <v>420</v>
      </c>
      <c r="Q433" t="s">
        <v>1397</v>
      </c>
      <c r="R433" t="s">
        <v>1221</v>
      </c>
      <c r="S433">
        <v>2015</v>
      </c>
      <c r="T433">
        <v>11</v>
      </c>
      <c r="U433" t="s">
        <v>370</v>
      </c>
      <c r="V433" t="s">
        <v>408</v>
      </c>
      <c r="W433">
        <v>0</v>
      </c>
      <c r="X433">
        <v>0</v>
      </c>
      <c r="Y433" t="s">
        <v>408</v>
      </c>
      <c r="Z433">
        <v>2021</v>
      </c>
      <c r="AA433">
        <v>2015</v>
      </c>
      <c r="AB433" s="5">
        <v>0.31446424669299999</v>
      </c>
      <c r="AC433" s="5">
        <v>0.62892849338599999</v>
      </c>
      <c r="AD433" t="s">
        <v>408</v>
      </c>
      <c r="AE433" t="s">
        <v>152</v>
      </c>
      <c r="AF433" t="s">
        <v>408</v>
      </c>
      <c r="AG433" t="s">
        <v>408</v>
      </c>
      <c r="AH433" t="s">
        <v>408</v>
      </c>
      <c r="AI433" t="s">
        <v>408</v>
      </c>
      <c r="AJ433" t="s">
        <v>408</v>
      </c>
      <c r="AK433" t="s">
        <v>408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 s="58">
        <f t="shared" si="6"/>
        <v>1</v>
      </c>
      <c r="AU433" s="79" t="s">
        <v>768</v>
      </c>
      <c r="AV433" s="78" t="s">
        <v>410</v>
      </c>
      <c r="AW433" t="s">
        <v>411</v>
      </c>
      <c r="AX433">
        <v>2</v>
      </c>
      <c r="AY433" t="s">
        <v>412</v>
      </c>
      <c r="AZ433" t="s">
        <v>408</v>
      </c>
    </row>
    <row r="434" spans="1:52" x14ac:dyDescent="0.3">
      <c r="A434">
        <v>423</v>
      </c>
      <c r="B434" t="s">
        <v>500</v>
      </c>
      <c r="C434" t="s">
        <v>154</v>
      </c>
      <c r="D434" t="s">
        <v>501</v>
      </c>
      <c r="E434" t="s">
        <v>466</v>
      </c>
      <c r="F434" t="s">
        <v>408</v>
      </c>
      <c r="G434">
        <v>4759</v>
      </c>
      <c r="H434">
        <v>4758</v>
      </c>
      <c r="I434" t="s">
        <v>1068</v>
      </c>
      <c r="J434">
        <v>4701</v>
      </c>
      <c r="K434">
        <v>4700</v>
      </c>
      <c r="L434" t="s">
        <v>1398</v>
      </c>
      <c r="M434">
        <v>4</v>
      </c>
      <c r="N434" t="s">
        <v>165</v>
      </c>
      <c r="O434" t="s">
        <v>165</v>
      </c>
      <c r="P434" t="s">
        <v>403</v>
      </c>
      <c r="Q434" t="s">
        <v>408</v>
      </c>
      <c r="R434" t="s">
        <v>648</v>
      </c>
      <c r="S434">
        <v>2018</v>
      </c>
      <c r="T434">
        <v>9</v>
      </c>
      <c r="U434" t="s">
        <v>408</v>
      </c>
      <c r="V434" t="s">
        <v>408</v>
      </c>
      <c r="W434">
        <v>0</v>
      </c>
      <c r="X434">
        <v>0</v>
      </c>
      <c r="Y434" t="s">
        <v>408</v>
      </c>
      <c r="Z434">
        <v>2018</v>
      </c>
      <c r="AA434">
        <v>2003</v>
      </c>
      <c r="AB434" s="5">
        <v>0.12726493366700001</v>
      </c>
      <c r="AC434" s="5">
        <v>0.25452986733400002</v>
      </c>
      <c r="AD434" t="s">
        <v>408</v>
      </c>
      <c r="AE434" t="s">
        <v>152</v>
      </c>
      <c r="AF434" t="s">
        <v>408</v>
      </c>
      <c r="AG434" t="s">
        <v>408</v>
      </c>
      <c r="AH434" t="s">
        <v>408</v>
      </c>
      <c r="AI434" t="s">
        <v>408</v>
      </c>
      <c r="AJ434" t="s">
        <v>408</v>
      </c>
      <c r="AK434" t="s">
        <v>408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 s="58">
        <f t="shared" si="6"/>
        <v>1</v>
      </c>
      <c r="AU434" s="79">
        <v>43335</v>
      </c>
      <c r="AV434" t="s">
        <v>410</v>
      </c>
      <c r="AW434" t="s">
        <v>152</v>
      </c>
      <c r="AX434">
        <v>2</v>
      </c>
      <c r="AY434" t="s">
        <v>412</v>
      </c>
      <c r="AZ434" t="s">
        <v>408</v>
      </c>
    </row>
    <row r="435" spans="1:52" x14ac:dyDescent="0.3">
      <c r="A435">
        <v>424</v>
      </c>
      <c r="B435" t="s">
        <v>500</v>
      </c>
      <c r="C435" t="s">
        <v>154</v>
      </c>
      <c r="D435" t="s">
        <v>501</v>
      </c>
      <c r="E435" t="s">
        <v>466</v>
      </c>
      <c r="F435" t="s">
        <v>408</v>
      </c>
      <c r="G435">
        <v>4667</v>
      </c>
      <c r="H435">
        <v>4666</v>
      </c>
      <c r="I435" t="s">
        <v>1398</v>
      </c>
      <c r="J435">
        <v>4401</v>
      </c>
      <c r="K435">
        <v>4400</v>
      </c>
      <c r="L435" t="s">
        <v>670</v>
      </c>
      <c r="M435">
        <v>4</v>
      </c>
      <c r="N435" t="s">
        <v>165</v>
      </c>
      <c r="O435" t="s">
        <v>165</v>
      </c>
      <c r="P435" t="s">
        <v>403</v>
      </c>
      <c r="Q435" t="s">
        <v>408</v>
      </c>
      <c r="R435" t="s">
        <v>648</v>
      </c>
      <c r="S435">
        <v>2018</v>
      </c>
      <c r="T435">
        <v>9</v>
      </c>
      <c r="U435" t="s">
        <v>408</v>
      </c>
      <c r="V435" t="s">
        <v>408</v>
      </c>
      <c r="W435">
        <v>0</v>
      </c>
      <c r="X435">
        <v>0</v>
      </c>
      <c r="Y435" t="s">
        <v>408</v>
      </c>
      <c r="Z435">
        <v>2018</v>
      </c>
      <c r="AA435">
        <v>2015</v>
      </c>
      <c r="AB435" s="5">
        <v>0.37951285657400002</v>
      </c>
      <c r="AC435" s="5">
        <v>0.75902571314800005</v>
      </c>
      <c r="AD435" t="s">
        <v>408</v>
      </c>
      <c r="AE435" t="s">
        <v>152</v>
      </c>
      <c r="AF435" t="s">
        <v>408</v>
      </c>
      <c r="AG435" t="s">
        <v>408</v>
      </c>
      <c r="AH435" t="s">
        <v>408</v>
      </c>
      <c r="AI435" t="s">
        <v>408</v>
      </c>
      <c r="AJ435" t="s">
        <v>408</v>
      </c>
      <c r="AK435" t="s">
        <v>408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 s="58">
        <f t="shared" si="6"/>
        <v>1</v>
      </c>
      <c r="AU435" s="79">
        <v>43335</v>
      </c>
      <c r="AV435" t="s">
        <v>410</v>
      </c>
      <c r="AW435" t="s">
        <v>152</v>
      </c>
      <c r="AX435">
        <v>2</v>
      </c>
      <c r="AY435" t="s">
        <v>412</v>
      </c>
      <c r="AZ435" t="s">
        <v>408</v>
      </c>
    </row>
    <row r="436" spans="1:52" x14ac:dyDescent="0.3">
      <c r="A436">
        <v>425</v>
      </c>
      <c r="B436" t="s">
        <v>527</v>
      </c>
      <c r="C436" t="s">
        <v>447</v>
      </c>
      <c r="D436" t="s">
        <v>528</v>
      </c>
      <c r="E436" t="s">
        <v>417</v>
      </c>
      <c r="F436" t="s">
        <v>408</v>
      </c>
      <c r="G436">
        <v>1400</v>
      </c>
      <c r="H436">
        <v>1401</v>
      </c>
      <c r="I436" t="s">
        <v>450</v>
      </c>
      <c r="J436">
        <v>8301</v>
      </c>
      <c r="K436">
        <v>0</v>
      </c>
      <c r="L436" t="s">
        <v>1053</v>
      </c>
      <c r="M436">
        <v>3</v>
      </c>
      <c r="N436" t="s">
        <v>170</v>
      </c>
      <c r="O436" t="s">
        <v>170</v>
      </c>
      <c r="P436" t="s">
        <v>420</v>
      </c>
      <c r="Q436" t="s">
        <v>408</v>
      </c>
      <c r="R436" t="s">
        <v>719</v>
      </c>
      <c r="S436">
        <v>2005</v>
      </c>
      <c r="T436">
        <v>7</v>
      </c>
      <c r="U436" t="s">
        <v>408</v>
      </c>
      <c r="V436" t="s">
        <v>662</v>
      </c>
      <c r="W436">
        <v>2016</v>
      </c>
      <c r="X436">
        <v>5</v>
      </c>
      <c r="Y436" t="s">
        <v>370</v>
      </c>
      <c r="Z436">
        <v>2016</v>
      </c>
      <c r="AA436">
        <v>2016</v>
      </c>
      <c r="AB436" s="5">
        <v>0.26245481782800001</v>
      </c>
      <c r="AC436" s="5">
        <v>0.52490963565600002</v>
      </c>
      <c r="AD436" t="s">
        <v>408</v>
      </c>
      <c r="AE436" t="s">
        <v>152</v>
      </c>
      <c r="AF436" t="s">
        <v>408</v>
      </c>
      <c r="AG436" t="s">
        <v>408</v>
      </c>
      <c r="AH436" t="s">
        <v>408</v>
      </c>
      <c r="AI436" t="s">
        <v>408</v>
      </c>
      <c r="AJ436" t="s">
        <v>408</v>
      </c>
      <c r="AK436" t="s">
        <v>408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 s="58">
        <f t="shared" si="6"/>
        <v>1</v>
      </c>
      <c r="AU436" s="79">
        <v>43336</v>
      </c>
      <c r="AV436" s="78" t="s">
        <v>410</v>
      </c>
      <c r="AW436" t="s">
        <v>408</v>
      </c>
      <c r="AX436">
        <v>2</v>
      </c>
      <c r="AY436" t="s">
        <v>412</v>
      </c>
      <c r="AZ436" t="s">
        <v>408</v>
      </c>
    </row>
    <row r="437" spans="1:52" x14ac:dyDescent="0.3">
      <c r="A437">
        <v>426</v>
      </c>
      <c r="B437" t="s">
        <v>693</v>
      </c>
      <c r="C437" t="s">
        <v>152</v>
      </c>
      <c r="D437" t="s">
        <v>694</v>
      </c>
      <c r="E437" t="s">
        <v>460</v>
      </c>
      <c r="F437" t="s">
        <v>408</v>
      </c>
      <c r="G437">
        <v>4000</v>
      </c>
      <c r="H437">
        <v>4001</v>
      </c>
      <c r="I437" t="s">
        <v>717</v>
      </c>
      <c r="J437">
        <v>4358</v>
      </c>
      <c r="K437">
        <v>4359</v>
      </c>
      <c r="L437" t="s">
        <v>685</v>
      </c>
      <c r="M437">
        <v>3</v>
      </c>
      <c r="N437" t="s">
        <v>167</v>
      </c>
      <c r="O437" t="s">
        <v>167</v>
      </c>
      <c r="P437" t="s">
        <v>420</v>
      </c>
      <c r="Q437" t="s">
        <v>408</v>
      </c>
      <c r="R437" t="s">
        <v>1399</v>
      </c>
      <c r="S437">
        <v>2000</v>
      </c>
      <c r="T437">
        <v>10</v>
      </c>
      <c r="U437" t="s">
        <v>408</v>
      </c>
      <c r="V437" t="s">
        <v>778</v>
      </c>
      <c r="W437">
        <v>2015</v>
      </c>
      <c r="X437">
        <v>10</v>
      </c>
      <c r="Y437" t="s">
        <v>1400</v>
      </c>
      <c r="Z437">
        <v>2004</v>
      </c>
      <c r="AA437">
        <v>2015</v>
      </c>
      <c r="AB437" s="5">
        <v>0.50403640822200002</v>
      </c>
      <c r="AC437" s="5">
        <v>1.0080728164399999</v>
      </c>
      <c r="AD437" t="s">
        <v>408</v>
      </c>
      <c r="AE437" t="s">
        <v>152</v>
      </c>
      <c r="AF437" t="s">
        <v>408</v>
      </c>
      <c r="AG437" t="s">
        <v>408</v>
      </c>
      <c r="AH437" t="s">
        <v>408</v>
      </c>
      <c r="AI437" t="s">
        <v>408</v>
      </c>
      <c r="AJ437" t="s">
        <v>408</v>
      </c>
      <c r="AK437" t="s">
        <v>408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s="58">
        <f t="shared" si="6"/>
        <v>1</v>
      </c>
      <c r="AU437" s="79">
        <v>43340</v>
      </c>
      <c r="AV437" s="78" t="s">
        <v>410</v>
      </c>
      <c r="AW437" t="s">
        <v>408</v>
      </c>
      <c r="AX437">
        <v>2</v>
      </c>
      <c r="AY437" t="s">
        <v>412</v>
      </c>
      <c r="AZ437" t="s">
        <v>408</v>
      </c>
    </row>
    <row r="438" spans="1:52" x14ac:dyDescent="0.3">
      <c r="A438">
        <v>427</v>
      </c>
      <c r="B438" t="s">
        <v>527</v>
      </c>
      <c r="C438" t="s">
        <v>447</v>
      </c>
      <c r="D438" t="s">
        <v>528</v>
      </c>
      <c r="E438" t="s">
        <v>417</v>
      </c>
      <c r="F438" t="s">
        <v>408</v>
      </c>
      <c r="G438">
        <v>2428</v>
      </c>
      <c r="H438">
        <v>2425</v>
      </c>
      <c r="I438" t="s">
        <v>1270</v>
      </c>
      <c r="J438">
        <v>2632</v>
      </c>
      <c r="K438">
        <v>2633</v>
      </c>
      <c r="L438" t="s">
        <v>1027</v>
      </c>
      <c r="M438">
        <v>3</v>
      </c>
      <c r="N438" t="s">
        <v>167</v>
      </c>
      <c r="O438" t="s">
        <v>167</v>
      </c>
      <c r="P438" t="s">
        <v>420</v>
      </c>
      <c r="Q438" t="s">
        <v>408</v>
      </c>
      <c r="R438" t="s">
        <v>497</v>
      </c>
      <c r="S438">
        <v>2004</v>
      </c>
      <c r="T438">
        <v>9</v>
      </c>
      <c r="U438" t="s">
        <v>408</v>
      </c>
      <c r="V438" t="s">
        <v>482</v>
      </c>
      <c r="W438">
        <v>2018</v>
      </c>
      <c r="X438">
        <v>7</v>
      </c>
      <c r="Y438" t="s">
        <v>370</v>
      </c>
      <c r="Z438">
        <v>2018</v>
      </c>
      <c r="AA438">
        <v>2018</v>
      </c>
      <c r="AB438" s="5">
        <v>0.37703508145999998</v>
      </c>
      <c r="AC438" s="5">
        <v>0.75407016291999995</v>
      </c>
      <c r="AD438" t="s">
        <v>408</v>
      </c>
      <c r="AE438" t="s">
        <v>152</v>
      </c>
      <c r="AF438" t="s">
        <v>408</v>
      </c>
      <c r="AG438" t="s">
        <v>408</v>
      </c>
      <c r="AH438" t="s">
        <v>408</v>
      </c>
      <c r="AI438" t="s">
        <v>408</v>
      </c>
      <c r="AJ438" t="s">
        <v>408</v>
      </c>
      <c r="AK438" t="s">
        <v>408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 s="58">
        <f t="shared" si="6"/>
        <v>1</v>
      </c>
      <c r="AU438" s="79">
        <v>43336</v>
      </c>
      <c r="AV438" s="78" t="s">
        <v>410</v>
      </c>
      <c r="AW438" t="s">
        <v>408</v>
      </c>
      <c r="AX438">
        <v>2</v>
      </c>
      <c r="AY438" t="s">
        <v>412</v>
      </c>
      <c r="AZ438" t="s">
        <v>408</v>
      </c>
    </row>
    <row r="439" spans="1:52" x14ac:dyDescent="0.3">
      <c r="A439">
        <v>428</v>
      </c>
      <c r="B439" t="s">
        <v>527</v>
      </c>
      <c r="C439" t="s">
        <v>447</v>
      </c>
      <c r="D439" t="s">
        <v>528</v>
      </c>
      <c r="E439" t="s">
        <v>417</v>
      </c>
      <c r="F439" t="s">
        <v>408</v>
      </c>
      <c r="G439">
        <v>2958</v>
      </c>
      <c r="H439">
        <v>2959</v>
      </c>
      <c r="I439" t="s">
        <v>1028</v>
      </c>
      <c r="J439">
        <v>3026</v>
      </c>
      <c r="K439">
        <v>3027</v>
      </c>
      <c r="L439" t="s">
        <v>1061</v>
      </c>
      <c r="M439">
        <v>3</v>
      </c>
      <c r="N439" t="s">
        <v>167</v>
      </c>
      <c r="O439" t="s">
        <v>167</v>
      </c>
      <c r="P439" t="s">
        <v>420</v>
      </c>
      <c r="Q439" t="s">
        <v>408</v>
      </c>
      <c r="R439" t="s">
        <v>497</v>
      </c>
      <c r="S439">
        <v>2004</v>
      </c>
      <c r="T439">
        <v>9</v>
      </c>
      <c r="U439" t="s">
        <v>408</v>
      </c>
      <c r="V439" t="s">
        <v>482</v>
      </c>
      <c r="W439">
        <v>2018</v>
      </c>
      <c r="X439">
        <v>7</v>
      </c>
      <c r="Y439" t="s">
        <v>370</v>
      </c>
      <c r="Z439">
        <v>2018</v>
      </c>
      <c r="AA439">
        <v>2018</v>
      </c>
      <c r="AB439" s="5">
        <v>0.12595597788400001</v>
      </c>
      <c r="AC439" s="5">
        <v>0.25191195576800002</v>
      </c>
      <c r="AD439" t="s">
        <v>408</v>
      </c>
      <c r="AE439" t="s">
        <v>152</v>
      </c>
      <c r="AF439" t="s">
        <v>408</v>
      </c>
      <c r="AG439" t="s">
        <v>408</v>
      </c>
      <c r="AH439" t="s">
        <v>408</v>
      </c>
      <c r="AI439" t="s">
        <v>408</v>
      </c>
      <c r="AJ439" t="s">
        <v>408</v>
      </c>
      <c r="AK439" t="s">
        <v>408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 s="58">
        <f t="shared" si="6"/>
        <v>1</v>
      </c>
      <c r="AU439" s="79">
        <v>43336</v>
      </c>
      <c r="AV439" t="s">
        <v>410</v>
      </c>
      <c r="AW439" t="s">
        <v>408</v>
      </c>
      <c r="AX439">
        <v>2</v>
      </c>
      <c r="AY439" t="s">
        <v>412</v>
      </c>
      <c r="AZ439" t="s">
        <v>408</v>
      </c>
    </row>
    <row r="440" spans="1:52" x14ac:dyDescent="0.3">
      <c r="A440">
        <v>429</v>
      </c>
      <c r="B440" t="s">
        <v>903</v>
      </c>
      <c r="C440" t="s">
        <v>154</v>
      </c>
      <c r="D440" t="s">
        <v>904</v>
      </c>
      <c r="E440" t="s">
        <v>417</v>
      </c>
      <c r="F440" t="s">
        <v>408</v>
      </c>
      <c r="G440">
        <v>347</v>
      </c>
      <c r="H440">
        <v>332</v>
      </c>
      <c r="I440" t="s">
        <v>1401</v>
      </c>
      <c r="J440">
        <v>1</v>
      </c>
      <c r="K440">
        <v>2</v>
      </c>
      <c r="L440" t="s">
        <v>877</v>
      </c>
      <c r="M440">
        <v>4</v>
      </c>
      <c r="N440" t="s">
        <v>170</v>
      </c>
      <c r="O440" t="s">
        <v>170</v>
      </c>
      <c r="P440" t="s">
        <v>420</v>
      </c>
      <c r="Q440" t="s">
        <v>408</v>
      </c>
      <c r="R440" t="s">
        <v>493</v>
      </c>
      <c r="S440">
        <v>2007</v>
      </c>
      <c r="T440">
        <v>7</v>
      </c>
      <c r="U440" t="s">
        <v>1402</v>
      </c>
      <c r="V440" t="s">
        <v>469</v>
      </c>
      <c r="W440">
        <v>2018</v>
      </c>
      <c r="X440">
        <v>5</v>
      </c>
      <c r="Y440" t="s">
        <v>1403</v>
      </c>
      <c r="Z440">
        <v>2018</v>
      </c>
      <c r="AA440">
        <v>0</v>
      </c>
      <c r="AB440" s="5">
        <v>0.32503986228699999</v>
      </c>
      <c r="AC440" s="5">
        <v>0.65007972457399998</v>
      </c>
      <c r="AD440" t="s">
        <v>408</v>
      </c>
      <c r="AE440" t="s">
        <v>152</v>
      </c>
      <c r="AF440" t="s">
        <v>408</v>
      </c>
      <c r="AG440" t="s">
        <v>408</v>
      </c>
      <c r="AH440" t="s">
        <v>408</v>
      </c>
      <c r="AI440" t="s">
        <v>408</v>
      </c>
      <c r="AJ440" t="s">
        <v>408</v>
      </c>
      <c r="AK440" t="s">
        <v>411</v>
      </c>
      <c r="AL440">
        <v>2018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 s="58">
        <f t="shared" si="6"/>
        <v>1</v>
      </c>
      <c r="AU440" s="79">
        <v>43343</v>
      </c>
      <c r="AV440" s="78" t="s">
        <v>410</v>
      </c>
      <c r="AW440" t="s">
        <v>408</v>
      </c>
      <c r="AX440">
        <v>3</v>
      </c>
      <c r="AY440" t="s">
        <v>412</v>
      </c>
      <c r="AZ440" t="s">
        <v>408</v>
      </c>
    </row>
    <row r="441" spans="1:52" x14ac:dyDescent="0.3">
      <c r="A441">
        <v>430</v>
      </c>
      <c r="B441" t="s">
        <v>527</v>
      </c>
      <c r="C441" t="s">
        <v>447</v>
      </c>
      <c r="D441" t="s">
        <v>528</v>
      </c>
      <c r="E441" t="s">
        <v>417</v>
      </c>
      <c r="F441" t="s">
        <v>408</v>
      </c>
      <c r="G441">
        <v>500</v>
      </c>
      <c r="H441">
        <v>501</v>
      </c>
      <c r="I441" t="s">
        <v>495</v>
      </c>
      <c r="J441">
        <v>558</v>
      </c>
      <c r="K441">
        <v>559</v>
      </c>
      <c r="L441" t="s">
        <v>1060</v>
      </c>
      <c r="M441">
        <v>3</v>
      </c>
      <c r="N441" t="s">
        <v>170</v>
      </c>
      <c r="O441" t="s">
        <v>170</v>
      </c>
      <c r="P441" t="s">
        <v>420</v>
      </c>
      <c r="Q441" t="s">
        <v>408</v>
      </c>
      <c r="R441" t="s">
        <v>493</v>
      </c>
      <c r="S441">
        <v>2007</v>
      </c>
      <c r="T441">
        <v>5</v>
      </c>
      <c r="U441" t="s">
        <v>408</v>
      </c>
      <c r="V441" t="s">
        <v>662</v>
      </c>
      <c r="W441">
        <v>2016</v>
      </c>
      <c r="X441">
        <v>5</v>
      </c>
      <c r="Y441" t="s">
        <v>370</v>
      </c>
      <c r="Z441">
        <v>2016</v>
      </c>
      <c r="AA441">
        <v>2016</v>
      </c>
      <c r="AB441" s="5">
        <v>0.12543611763500001</v>
      </c>
      <c r="AC441" s="5">
        <v>0.25087223527000002</v>
      </c>
      <c r="AD441" t="s">
        <v>408</v>
      </c>
      <c r="AE441" t="s">
        <v>152</v>
      </c>
      <c r="AF441" t="s">
        <v>408</v>
      </c>
      <c r="AG441" t="s">
        <v>408</v>
      </c>
      <c r="AH441" t="s">
        <v>408</v>
      </c>
      <c r="AI441" t="s">
        <v>408</v>
      </c>
      <c r="AJ441" t="s">
        <v>408</v>
      </c>
      <c r="AK441" t="s">
        <v>408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 s="58">
        <f t="shared" si="6"/>
        <v>1</v>
      </c>
      <c r="AU441" s="79">
        <v>43336</v>
      </c>
      <c r="AV441" s="78" t="s">
        <v>410</v>
      </c>
      <c r="AW441" t="s">
        <v>408</v>
      </c>
      <c r="AX441">
        <v>2</v>
      </c>
      <c r="AY441" t="s">
        <v>412</v>
      </c>
      <c r="AZ441" t="s">
        <v>408</v>
      </c>
    </row>
    <row r="442" spans="1:52" x14ac:dyDescent="0.3">
      <c r="A442">
        <v>431</v>
      </c>
      <c r="B442" t="s">
        <v>918</v>
      </c>
      <c r="C442" t="s">
        <v>154</v>
      </c>
      <c r="D442" t="s">
        <v>919</v>
      </c>
      <c r="E442" t="s">
        <v>460</v>
      </c>
      <c r="F442" t="s">
        <v>408</v>
      </c>
      <c r="G442">
        <v>2181</v>
      </c>
      <c r="H442">
        <v>2180</v>
      </c>
      <c r="I442" t="s">
        <v>568</v>
      </c>
      <c r="J442">
        <v>2143</v>
      </c>
      <c r="K442">
        <v>2142</v>
      </c>
      <c r="L442" t="s">
        <v>1276</v>
      </c>
      <c r="M442">
        <v>4</v>
      </c>
      <c r="N442" t="s">
        <v>170</v>
      </c>
      <c r="O442" t="s">
        <v>170</v>
      </c>
      <c r="P442" t="s">
        <v>414</v>
      </c>
      <c r="Q442" t="s">
        <v>408</v>
      </c>
      <c r="R442" t="s">
        <v>815</v>
      </c>
      <c r="S442">
        <v>2008</v>
      </c>
      <c r="T442">
        <v>9</v>
      </c>
      <c r="U442" t="s">
        <v>408</v>
      </c>
      <c r="V442" t="s">
        <v>778</v>
      </c>
      <c r="W442">
        <v>2015</v>
      </c>
      <c r="X442">
        <v>10</v>
      </c>
      <c r="Y442" t="s">
        <v>370</v>
      </c>
      <c r="Z442">
        <v>2015</v>
      </c>
      <c r="AA442">
        <v>2015</v>
      </c>
      <c r="AB442" s="5">
        <v>8.3766818713100002E-2</v>
      </c>
      <c r="AC442" s="5">
        <v>0.167533637426</v>
      </c>
      <c r="AD442" t="s">
        <v>408</v>
      </c>
      <c r="AE442" t="s">
        <v>152</v>
      </c>
      <c r="AF442" t="s">
        <v>408</v>
      </c>
      <c r="AG442" t="s">
        <v>408</v>
      </c>
      <c r="AH442" t="s">
        <v>408</v>
      </c>
      <c r="AI442" t="s">
        <v>408</v>
      </c>
      <c r="AJ442" t="s">
        <v>408</v>
      </c>
      <c r="AK442" t="s">
        <v>408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s="58">
        <f t="shared" si="6"/>
        <v>1</v>
      </c>
      <c r="AU442" s="79">
        <v>43343</v>
      </c>
      <c r="AV442" s="78" t="s">
        <v>410</v>
      </c>
      <c r="AW442" t="s">
        <v>408</v>
      </c>
      <c r="AX442">
        <v>2</v>
      </c>
      <c r="AY442" t="s">
        <v>412</v>
      </c>
      <c r="AZ442" t="s">
        <v>408</v>
      </c>
    </row>
    <row r="443" spans="1:52" x14ac:dyDescent="0.3">
      <c r="A443">
        <v>432</v>
      </c>
      <c r="B443" t="s">
        <v>873</v>
      </c>
      <c r="C443" t="s">
        <v>447</v>
      </c>
      <c r="D443" t="s">
        <v>874</v>
      </c>
      <c r="E443" t="s">
        <v>417</v>
      </c>
      <c r="F443" t="s">
        <v>154</v>
      </c>
      <c r="G443">
        <v>200</v>
      </c>
      <c r="H443">
        <v>201</v>
      </c>
      <c r="I443" t="s">
        <v>1404</v>
      </c>
      <c r="J443">
        <v>248</v>
      </c>
      <c r="K443">
        <v>249</v>
      </c>
      <c r="L443" t="s">
        <v>875</v>
      </c>
      <c r="M443">
        <v>4</v>
      </c>
      <c r="N443" t="s">
        <v>167</v>
      </c>
      <c r="O443" t="s">
        <v>167</v>
      </c>
      <c r="P443" t="s">
        <v>414</v>
      </c>
      <c r="Q443" t="s">
        <v>408</v>
      </c>
      <c r="R443" t="s">
        <v>497</v>
      </c>
      <c r="S443">
        <v>2003</v>
      </c>
      <c r="T443">
        <v>7</v>
      </c>
      <c r="U443" t="s">
        <v>408</v>
      </c>
      <c r="V443" t="s">
        <v>532</v>
      </c>
      <c r="W443">
        <v>2015</v>
      </c>
      <c r="X443">
        <v>11</v>
      </c>
      <c r="Y443" t="s">
        <v>370</v>
      </c>
      <c r="Z443">
        <v>2015</v>
      </c>
      <c r="AA443">
        <v>2015</v>
      </c>
      <c r="AB443" s="5">
        <v>8.4741322169999994E-2</v>
      </c>
      <c r="AC443" s="5">
        <v>8.4741322169999994E-2</v>
      </c>
      <c r="AD443" t="s">
        <v>408</v>
      </c>
      <c r="AE443" t="s">
        <v>411</v>
      </c>
      <c r="AF443" t="s">
        <v>154</v>
      </c>
      <c r="AG443" t="s">
        <v>152</v>
      </c>
      <c r="AH443" t="s">
        <v>408</v>
      </c>
      <c r="AI443" t="s">
        <v>408</v>
      </c>
      <c r="AJ443" t="s">
        <v>408</v>
      </c>
      <c r="AK443" t="s">
        <v>408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 s="58">
        <f t="shared" si="6"/>
        <v>1</v>
      </c>
      <c r="AU443" s="79">
        <v>43362</v>
      </c>
      <c r="AV443" s="78" t="s">
        <v>410</v>
      </c>
      <c r="AW443" t="s">
        <v>408</v>
      </c>
      <c r="AX443">
        <v>2</v>
      </c>
      <c r="AY443" t="s">
        <v>412</v>
      </c>
      <c r="AZ443" t="s">
        <v>408</v>
      </c>
    </row>
    <row r="444" spans="1:52" x14ac:dyDescent="0.3">
      <c r="A444">
        <v>433</v>
      </c>
      <c r="B444" t="s">
        <v>873</v>
      </c>
      <c r="C444" t="s">
        <v>447</v>
      </c>
      <c r="D444" t="s">
        <v>874</v>
      </c>
      <c r="E444" t="s">
        <v>417</v>
      </c>
      <c r="F444" t="s">
        <v>154</v>
      </c>
      <c r="G444">
        <v>120</v>
      </c>
      <c r="H444">
        <v>121</v>
      </c>
      <c r="I444" t="s">
        <v>1405</v>
      </c>
      <c r="J444">
        <v>200</v>
      </c>
      <c r="K444">
        <v>201</v>
      </c>
      <c r="L444" t="s">
        <v>1404</v>
      </c>
      <c r="M444">
        <v>4</v>
      </c>
      <c r="N444" t="s">
        <v>165</v>
      </c>
      <c r="O444" t="s">
        <v>165</v>
      </c>
      <c r="P444" t="s">
        <v>414</v>
      </c>
      <c r="Q444" t="s">
        <v>408</v>
      </c>
      <c r="R444" t="s">
        <v>679</v>
      </c>
      <c r="S444">
        <v>2010</v>
      </c>
      <c r="T444">
        <v>0</v>
      </c>
      <c r="U444" t="s">
        <v>408</v>
      </c>
      <c r="V444" t="s">
        <v>408</v>
      </c>
      <c r="W444">
        <v>0</v>
      </c>
      <c r="X444">
        <v>0</v>
      </c>
      <c r="Y444" t="s">
        <v>408</v>
      </c>
      <c r="Z444">
        <v>2003</v>
      </c>
      <c r="AA444">
        <v>0</v>
      </c>
      <c r="AB444" s="5">
        <v>6.9766721446999996E-2</v>
      </c>
      <c r="AC444" s="5">
        <v>6.9766721446999996E-2</v>
      </c>
      <c r="AD444" t="s">
        <v>408</v>
      </c>
      <c r="AE444" t="s">
        <v>411</v>
      </c>
      <c r="AF444" t="s">
        <v>154</v>
      </c>
      <c r="AG444" t="s">
        <v>152</v>
      </c>
      <c r="AH444" t="s">
        <v>408</v>
      </c>
      <c r="AI444" t="s">
        <v>408</v>
      </c>
      <c r="AJ444" t="s">
        <v>408</v>
      </c>
      <c r="AK444" t="s">
        <v>408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 s="58">
        <f t="shared" si="6"/>
        <v>1</v>
      </c>
      <c r="AU444" s="79">
        <v>43362</v>
      </c>
      <c r="AV444" s="78" t="s">
        <v>410</v>
      </c>
      <c r="AW444" t="s">
        <v>152</v>
      </c>
      <c r="AX444">
        <v>2</v>
      </c>
      <c r="AY444" t="s">
        <v>412</v>
      </c>
      <c r="AZ444" t="s">
        <v>408</v>
      </c>
    </row>
    <row r="445" spans="1:52" x14ac:dyDescent="0.3">
      <c r="A445">
        <v>434</v>
      </c>
      <c r="B445" t="s">
        <v>873</v>
      </c>
      <c r="C445" t="s">
        <v>447</v>
      </c>
      <c r="D445" t="s">
        <v>874</v>
      </c>
      <c r="E445" t="s">
        <v>417</v>
      </c>
      <c r="F445" t="s">
        <v>447</v>
      </c>
      <c r="G445">
        <v>120</v>
      </c>
      <c r="H445">
        <v>121</v>
      </c>
      <c r="I445" t="s">
        <v>1405</v>
      </c>
      <c r="J445">
        <v>248</v>
      </c>
      <c r="K445">
        <v>249</v>
      </c>
      <c r="L445" t="s">
        <v>875</v>
      </c>
      <c r="M445">
        <v>4</v>
      </c>
      <c r="N445" t="s">
        <v>165</v>
      </c>
      <c r="O445" t="s">
        <v>165</v>
      </c>
      <c r="P445" t="s">
        <v>414</v>
      </c>
      <c r="Q445" t="s">
        <v>408</v>
      </c>
      <c r="R445" t="s">
        <v>497</v>
      </c>
      <c r="S445">
        <v>2003</v>
      </c>
      <c r="T445">
        <v>7</v>
      </c>
      <c r="U445" t="s">
        <v>408</v>
      </c>
      <c r="V445" t="s">
        <v>408</v>
      </c>
      <c r="W445">
        <v>0</v>
      </c>
      <c r="X445">
        <v>0</v>
      </c>
      <c r="Y445" t="s">
        <v>408</v>
      </c>
      <c r="Z445">
        <v>2003</v>
      </c>
      <c r="AA445">
        <v>0</v>
      </c>
      <c r="AB445" s="5">
        <v>0.15584183197900001</v>
      </c>
      <c r="AC445" s="5">
        <v>0.15584183197900001</v>
      </c>
      <c r="AD445" t="s">
        <v>408</v>
      </c>
      <c r="AE445" t="s">
        <v>411</v>
      </c>
      <c r="AF445" t="s">
        <v>447</v>
      </c>
      <c r="AG445" t="s">
        <v>152</v>
      </c>
      <c r="AH445" t="s">
        <v>408</v>
      </c>
      <c r="AI445" t="s">
        <v>408</v>
      </c>
      <c r="AJ445" t="s">
        <v>408</v>
      </c>
      <c r="AK445" t="s">
        <v>408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 s="58">
        <f t="shared" si="6"/>
        <v>1</v>
      </c>
      <c r="AU445" s="79" t="s">
        <v>1406</v>
      </c>
      <c r="AV445" s="78" t="s">
        <v>408</v>
      </c>
      <c r="AW445" t="s">
        <v>152</v>
      </c>
      <c r="AX445">
        <v>2</v>
      </c>
      <c r="AY445" t="s">
        <v>412</v>
      </c>
      <c r="AZ445" t="s">
        <v>408</v>
      </c>
    </row>
    <row r="446" spans="1:52" x14ac:dyDescent="0.3">
      <c r="A446">
        <v>435</v>
      </c>
      <c r="B446" t="s">
        <v>873</v>
      </c>
      <c r="C446" t="s">
        <v>447</v>
      </c>
      <c r="D446" t="s">
        <v>874</v>
      </c>
      <c r="E446" t="s">
        <v>417</v>
      </c>
      <c r="F446" t="s">
        <v>408</v>
      </c>
      <c r="G446">
        <v>100</v>
      </c>
      <c r="H446">
        <v>101</v>
      </c>
      <c r="I446" t="s">
        <v>1312</v>
      </c>
      <c r="J446">
        <v>118</v>
      </c>
      <c r="K446">
        <v>117</v>
      </c>
      <c r="L446" t="s">
        <v>1405</v>
      </c>
      <c r="M446">
        <v>4</v>
      </c>
      <c r="N446" t="s">
        <v>165</v>
      </c>
      <c r="O446" t="s">
        <v>165</v>
      </c>
      <c r="P446" t="s">
        <v>414</v>
      </c>
      <c r="Q446" t="s">
        <v>408</v>
      </c>
      <c r="R446" t="s">
        <v>497</v>
      </c>
      <c r="S446">
        <v>2003</v>
      </c>
      <c r="T446">
        <v>7</v>
      </c>
      <c r="U446" t="s">
        <v>408</v>
      </c>
      <c r="V446" t="s">
        <v>408</v>
      </c>
      <c r="W446">
        <v>0</v>
      </c>
      <c r="X446">
        <v>0</v>
      </c>
      <c r="Y446" t="s">
        <v>408</v>
      </c>
      <c r="Z446">
        <v>2003</v>
      </c>
      <c r="AA446">
        <v>0</v>
      </c>
      <c r="AB446" s="5">
        <v>4.2554637837499999E-2</v>
      </c>
      <c r="AC446" s="5">
        <v>8.5109275674999998E-2</v>
      </c>
      <c r="AD446" t="s">
        <v>408</v>
      </c>
      <c r="AE446" t="s">
        <v>152</v>
      </c>
      <c r="AF446" t="s">
        <v>408</v>
      </c>
      <c r="AG446" t="s">
        <v>408</v>
      </c>
      <c r="AH446" t="s">
        <v>408</v>
      </c>
      <c r="AI446" t="s">
        <v>408</v>
      </c>
      <c r="AJ446" t="s">
        <v>408</v>
      </c>
      <c r="AK446" t="s">
        <v>408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 s="58">
        <f t="shared" si="6"/>
        <v>1</v>
      </c>
      <c r="AU446" s="79" t="s">
        <v>1406</v>
      </c>
      <c r="AV446" t="s">
        <v>408</v>
      </c>
      <c r="AW446" t="s">
        <v>152</v>
      </c>
      <c r="AX446">
        <v>2</v>
      </c>
      <c r="AY446" t="s">
        <v>412</v>
      </c>
      <c r="AZ446" t="s">
        <v>408</v>
      </c>
    </row>
    <row r="447" spans="1:52" x14ac:dyDescent="0.3">
      <c r="A447">
        <v>436</v>
      </c>
      <c r="B447" t="s">
        <v>1407</v>
      </c>
      <c r="C447" t="s">
        <v>447</v>
      </c>
      <c r="D447" t="s">
        <v>1408</v>
      </c>
      <c r="E447" t="s">
        <v>417</v>
      </c>
      <c r="F447" t="s">
        <v>408</v>
      </c>
      <c r="G447">
        <v>200</v>
      </c>
      <c r="H447">
        <v>201</v>
      </c>
      <c r="I447" t="s">
        <v>1317</v>
      </c>
      <c r="J447">
        <v>358</v>
      </c>
      <c r="K447">
        <v>359</v>
      </c>
      <c r="L447" t="s">
        <v>508</v>
      </c>
      <c r="M447">
        <v>3</v>
      </c>
      <c r="N447" t="s">
        <v>167</v>
      </c>
      <c r="O447" t="s">
        <v>167</v>
      </c>
      <c r="P447" t="s">
        <v>420</v>
      </c>
      <c r="Q447" t="s">
        <v>1409</v>
      </c>
      <c r="R447" t="s">
        <v>562</v>
      </c>
      <c r="S447">
        <v>2015</v>
      </c>
      <c r="T447">
        <v>7</v>
      </c>
      <c r="U447" t="s">
        <v>370</v>
      </c>
      <c r="V447" t="s">
        <v>408</v>
      </c>
      <c r="W447">
        <v>0</v>
      </c>
      <c r="X447">
        <v>0</v>
      </c>
      <c r="Y447" t="s">
        <v>408</v>
      </c>
      <c r="Z447">
        <v>2015</v>
      </c>
      <c r="AA447">
        <v>2015</v>
      </c>
      <c r="AB447" s="5">
        <v>0.247639517488</v>
      </c>
      <c r="AC447" s="5">
        <v>0.49527903497600001</v>
      </c>
      <c r="AD447" t="s">
        <v>408</v>
      </c>
      <c r="AE447" t="s">
        <v>152</v>
      </c>
      <c r="AF447" t="s">
        <v>408</v>
      </c>
      <c r="AG447" t="s">
        <v>408</v>
      </c>
      <c r="AH447" t="s">
        <v>408</v>
      </c>
      <c r="AI447" t="s">
        <v>408</v>
      </c>
      <c r="AJ447" t="s">
        <v>408</v>
      </c>
      <c r="AK447" t="s">
        <v>408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 s="58">
        <f t="shared" si="6"/>
        <v>1</v>
      </c>
      <c r="AU447" s="79">
        <v>43348</v>
      </c>
      <c r="AV447" s="78" t="s">
        <v>410</v>
      </c>
      <c r="AW447" t="s">
        <v>408</v>
      </c>
      <c r="AX447">
        <v>2</v>
      </c>
      <c r="AY447" t="s">
        <v>412</v>
      </c>
      <c r="AZ447" t="s">
        <v>408</v>
      </c>
    </row>
    <row r="448" spans="1:52" x14ac:dyDescent="0.3">
      <c r="A448">
        <v>437</v>
      </c>
      <c r="B448" t="s">
        <v>811</v>
      </c>
      <c r="C448" t="s">
        <v>154</v>
      </c>
      <c r="D448" t="s">
        <v>812</v>
      </c>
      <c r="E448" t="s">
        <v>399</v>
      </c>
      <c r="F448" t="s">
        <v>408</v>
      </c>
      <c r="G448">
        <v>3333</v>
      </c>
      <c r="H448">
        <v>3330</v>
      </c>
      <c r="I448" t="s">
        <v>1410</v>
      </c>
      <c r="J448">
        <v>3225</v>
      </c>
      <c r="K448">
        <v>3228</v>
      </c>
      <c r="L448" t="s">
        <v>402</v>
      </c>
      <c r="M448">
        <v>2</v>
      </c>
      <c r="N448" t="s">
        <v>167</v>
      </c>
      <c r="O448" t="s">
        <v>167</v>
      </c>
      <c r="P448" t="s">
        <v>420</v>
      </c>
      <c r="Q448" t="s">
        <v>1411</v>
      </c>
      <c r="R448" t="s">
        <v>624</v>
      </c>
      <c r="S448">
        <v>2015</v>
      </c>
      <c r="T448">
        <v>5</v>
      </c>
      <c r="U448" t="s">
        <v>370</v>
      </c>
      <c r="V448" t="s">
        <v>408</v>
      </c>
      <c r="W448">
        <v>0</v>
      </c>
      <c r="X448">
        <v>0</v>
      </c>
      <c r="Y448" t="s">
        <v>408</v>
      </c>
      <c r="Z448">
        <v>2015</v>
      </c>
      <c r="AA448">
        <v>2015</v>
      </c>
      <c r="AB448" s="5">
        <v>0.25145383001900001</v>
      </c>
      <c r="AC448" s="5">
        <v>0.50290766003800003</v>
      </c>
      <c r="AD448" t="s">
        <v>408</v>
      </c>
      <c r="AE448" t="s">
        <v>152</v>
      </c>
      <c r="AF448" t="s">
        <v>408</v>
      </c>
      <c r="AG448" t="s">
        <v>408</v>
      </c>
      <c r="AH448" t="s">
        <v>408</v>
      </c>
      <c r="AI448" t="s">
        <v>408</v>
      </c>
      <c r="AJ448" t="s">
        <v>408</v>
      </c>
      <c r="AK448" t="s">
        <v>408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 s="58">
        <f t="shared" si="6"/>
        <v>1</v>
      </c>
      <c r="AU448" s="79">
        <v>43342</v>
      </c>
      <c r="AV448" t="s">
        <v>410</v>
      </c>
      <c r="AW448" t="s">
        <v>408</v>
      </c>
      <c r="AX448">
        <v>2</v>
      </c>
      <c r="AY448" t="s">
        <v>412</v>
      </c>
      <c r="AZ448" t="s">
        <v>408</v>
      </c>
    </row>
    <row r="449" spans="1:52" x14ac:dyDescent="0.3">
      <c r="A449">
        <v>438</v>
      </c>
      <c r="B449" t="s">
        <v>1407</v>
      </c>
      <c r="C449" t="s">
        <v>447</v>
      </c>
      <c r="D449" t="s">
        <v>1408</v>
      </c>
      <c r="E449" t="s">
        <v>417</v>
      </c>
      <c r="F449" t="s">
        <v>408</v>
      </c>
      <c r="G449">
        <v>2</v>
      </c>
      <c r="H449">
        <v>1</v>
      </c>
      <c r="I449" t="s">
        <v>877</v>
      </c>
      <c r="J449">
        <v>200</v>
      </c>
      <c r="K449">
        <v>201</v>
      </c>
      <c r="L449" t="s">
        <v>1317</v>
      </c>
      <c r="M449">
        <v>3</v>
      </c>
      <c r="N449" t="s">
        <v>170</v>
      </c>
      <c r="O449" t="s">
        <v>170</v>
      </c>
      <c r="P449" t="s">
        <v>420</v>
      </c>
      <c r="Q449" t="s">
        <v>1409</v>
      </c>
      <c r="R449" t="s">
        <v>562</v>
      </c>
      <c r="S449">
        <v>2015</v>
      </c>
      <c r="T449">
        <v>7</v>
      </c>
      <c r="U449" t="s">
        <v>370</v>
      </c>
      <c r="V449" t="s">
        <v>408</v>
      </c>
      <c r="W449">
        <v>0</v>
      </c>
      <c r="X449">
        <v>0</v>
      </c>
      <c r="Y449" t="s">
        <v>408</v>
      </c>
      <c r="Z449">
        <v>2015</v>
      </c>
      <c r="AA449">
        <v>2015</v>
      </c>
      <c r="AB449" s="5">
        <v>0.25198153056900002</v>
      </c>
      <c r="AC449" s="5">
        <v>0.50396306113800005</v>
      </c>
      <c r="AD449" t="s">
        <v>408</v>
      </c>
      <c r="AE449" t="s">
        <v>152</v>
      </c>
      <c r="AF449" t="s">
        <v>408</v>
      </c>
      <c r="AG449" t="s">
        <v>408</v>
      </c>
      <c r="AH449" t="s">
        <v>408</v>
      </c>
      <c r="AI449" t="s">
        <v>408</v>
      </c>
      <c r="AJ449" t="s">
        <v>408</v>
      </c>
      <c r="AK449" t="s">
        <v>408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 s="58">
        <f t="shared" si="6"/>
        <v>1</v>
      </c>
      <c r="AU449" s="79" t="s">
        <v>488</v>
      </c>
      <c r="AV449" s="78" t="s">
        <v>410</v>
      </c>
      <c r="AW449" t="s">
        <v>408</v>
      </c>
      <c r="AX449">
        <v>2</v>
      </c>
      <c r="AY449" t="s">
        <v>412</v>
      </c>
      <c r="AZ449" t="s">
        <v>408</v>
      </c>
    </row>
    <row r="450" spans="1:52" x14ac:dyDescent="0.3">
      <c r="A450">
        <v>439</v>
      </c>
      <c r="B450" t="s">
        <v>489</v>
      </c>
      <c r="C450" t="s">
        <v>152</v>
      </c>
      <c r="D450" t="s">
        <v>490</v>
      </c>
      <c r="E450" t="s">
        <v>460</v>
      </c>
      <c r="F450" t="s">
        <v>408</v>
      </c>
      <c r="G450">
        <v>100</v>
      </c>
      <c r="H450">
        <v>101</v>
      </c>
      <c r="I450" t="s">
        <v>536</v>
      </c>
      <c r="J450">
        <v>138</v>
      </c>
      <c r="K450">
        <v>141</v>
      </c>
      <c r="L450" t="s">
        <v>628</v>
      </c>
      <c r="M450">
        <v>3</v>
      </c>
      <c r="N450" t="s">
        <v>170</v>
      </c>
      <c r="O450" t="s">
        <v>170</v>
      </c>
      <c r="P450" t="s">
        <v>420</v>
      </c>
      <c r="Q450" t="s">
        <v>1412</v>
      </c>
      <c r="R450" t="s">
        <v>1221</v>
      </c>
      <c r="S450">
        <v>2015</v>
      </c>
      <c r="T450">
        <v>10</v>
      </c>
      <c r="U450" t="s">
        <v>370</v>
      </c>
      <c r="V450" t="s">
        <v>408</v>
      </c>
      <c r="W450">
        <v>0</v>
      </c>
      <c r="X450">
        <v>0</v>
      </c>
      <c r="Y450" t="s">
        <v>408</v>
      </c>
      <c r="Z450">
        <v>2015</v>
      </c>
      <c r="AA450">
        <v>2015</v>
      </c>
      <c r="AB450" s="5">
        <v>0.21869196463400001</v>
      </c>
      <c r="AC450" s="5">
        <v>0.43738392926800002</v>
      </c>
      <c r="AD450" t="s">
        <v>408</v>
      </c>
      <c r="AE450" t="s">
        <v>152</v>
      </c>
      <c r="AF450" t="s">
        <v>408</v>
      </c>
      <c r="AG450" t="s">
        <v>408</v>
      </c>
      <c r="AH450" t="s">
        <v>408</v>
      </c>
      <c r="AI450" t="s">
        <v>408</v>
      </c>
      <c r="AJ450" t="s">
        <v>408</v>
      </c>
      <c r="AK450" t="s">
        <v>408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s="58">
        <f t="shared" si="6"/>
        <v>1</v>
      </c>
      <c r="AU450" s="79">
        <v>43335</v>
      </c>
      <c r="AV450" s="78" t="s">
        <v>410</v>
      </c>
      <c r="AW450" t="s">
        <v>408</v>
      </c>
      <c r="AX450">
        <v>2</v>
      </c>
      <c r="AY450" t="s">
        <v>412</v>
      </c>
      <c r="AZ450" t="s">
        <v>408</v>
      </c>
    </row>
    <row r="451" spans="1:52" x14ac:dyDescent="0.3">
      <c r="A451">
        <v>440</v>
      </c>
      <c r="B451" t="s">
        <v>489</v>
      </c>
      <c r="C451" t="s">
        <v>152</v>
      </c>
      <c r="D451" t="s">
        <v>490</v>
      </c>
      <c r="E451" t="s">
        <v>460</v>
      </c>
      <c r="F451" t="s">
        <v>408</v>
      </c>
      <c r="G451">
        <v>7200</v>
      </c>
      <c r="H451">
        <v>7201</v>
      </c>
      <c r="I451" t="s">
        <v>1310</v>
      </c>
      <c r="J451">
        <v>7558</v>
      </c>
      <c r="K451">
        <v>7559</v>
      </c>
      <c r="L451" t="s">
        <v>1413</v>
      </c>
      <c r="M451">
        <v>3</v>
      </c>
      <c r="N451" t="s">
        <v>170</v>
      </c>
      <c r="O451" t="s">
        <v>170</v>
      </c>
      <c r="P451" t="s">
        <v>420</v>
      </c>
      <c r="Q451" t="s">
        <v>1414</v>
      </c>
      <c r="R451" t="s">
        <v>662</v>
      </c>
      <c r="S451">
        <v>2015</v>
      </c>
      <c r="T451">
        <v>11</v>
      </c>
      <c r="U451" t="s">
        <v>370</v>
      </c>
      <c r="V451" t="s">
        <v>408</v>
      </c>
      <c r="W451">
        <v>0</v>
      </c>
      <c r="X451">
        <v>0</v>
      </c>
      <c r="Y451" t="s">
        <v>408</v>
      </c>
      <c r="Z451">
        <v>2015</v>
      </c>
      <c r="AA451">
        <v>2015</v>
      </c>
      <c r="AB451" s="5">
        <v>0.501021253035</v>
      </c>
      <c r="AC451" s="5">
        <v>1.00204250607</v>
      </c>
      <c r="AD451" t="s">
        <v>408</v>
      </c>
      <c r="AE451" t="s">
        <v>152</v>
      </c>
      <c r="AF451" t="s">
        <v>408</v>
      </c>
      <c r="AG451" t="s">
        <v>408</v>
      </c>
      <c r="AH451" t="s">
        <v>408</v>
      </c>
      <c r="AI451" t="s">
        <v>408</v>
      </c>
      <c r="AJ451" t="s">
        <v>408</v>
      </c>
      <c r="AK451" t="s">
        <v>408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s="58">
        <f t="shared" si="6"/>
        <v>1</v>
      </c>
      <c r="AU451" s="79">
        <v>43335</v>
      </c>
      <c r="AV451" t="s">
        <v>410</v>
      </c>
      <c r="AW451" t="s">
        <v>408</v>
      </c>
      <c r="AX451">
        <v>2</v>
      </c>
      <c r="AY451" t="s">
        <v>412</v>
      </c>
      <c r="AZ451" t="s">
        <v>408</v>
      </c>
    </row>
    <row r="452" spans="1:52" x14ac:dyDescent="0.3">
      <c r="A452">
        <v>441</v>
      </c>
      <c r="B452" t="s">
        <v>811</v>
      </c>
      <c r="C452" t="s">
        <v>154</v>
      </c>
      <c r="D452" t="s">
        <v>812</v>
      </c>
      <c r="E452" t="s">
        <v>399</v>
      </c>
      <c r="F452" t="s">
        <v>408</v>
      </c>
      <c r="G452">
        <v>3135</v>
      </c>
      <c r="H452">
        <v>3134</v>
      </c>
      <c r="I452" t="s">
        <v>402</v>
      </c>
      <c r="J452">
        <v>3127</v>
      </c>
      <c r="K452">
        <v>3126</v>
      </c>
      <c r="L452" t="s">
        <v>661</v>
      </c>
      <c r="M452">
        <v>2</v>
      </c>
      <c r="N452" t="s">
        <v>170</v>
      </c>
      <c r="O452" t="s">
        <v>170</v>
      </c>
      <c r="P452" t="s">
        <v>420</v>
      </c>
      <c r="Q452" t="s">
        <v>1411</v>
      </c>
      <c r="R452" t="s">
        <v>624</v>
      </c>
      <c r="S452">
        <v>2015</v>
      </c>
      <c r="T452">
        <v>5</v>
      </c>
      <c r="U452" t="s">
        <v>370</v>
      </c>
      <c r="V452" t="s">
        <v>408</v>
      </c>
      <c r="W452">
        <v>0</v>
      </c>
      <c r="X452">
        <v>0</v>
      </c>
      <c r="Y452" t="s">
        <v>408</v>
      </c>
      <c r="Z452">
        <v>2015</v>
      </c>
      <c r="AA452">
        <v>2015</v>
      </c>
      <c r="AB452" s="5">
        <v>0.12743349701500001</v>
      </c>
      <c r="AC452" s="5">
        <v>0.25486699403000002</v>
      </c>
      <c r="AD452" t="s">
        <v>408</v>
      </c>
      <c r="AE452" t="s">
        <v>152</v>
      </c>
      <c r="AF452" t="s">
        <v>408</v>
      </c>
      <c r="AG452" t="s">
        <v>408</v>
      </c>
      <c r="AH452" t="s">
        <v>408</v>
      </c>
      <c r="AI452" t="s">
        <v>408</v>
      </c>
      <c r="AJ452" t="s">
        <v>408</v>
      </c>
      <c r="AK452" t="s">
        <v>408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s="58">
        <f t="shared" si="6"/>
        <v>1</v>
      </c>
      <c r="AU452" s="79">
        <v>43342</v>
      </c>
      <c r="AV452" t="s">
        <v>410</v>
      </c>
      <c r="AW452" t="s">
        <v>408</v>
      </c>
      <c r="AX452">
        <v>2</v>
      </c>
      <c r="AY452" t="s">
        <v>412</v>
      </c>
      <c r="AZ452" t="s">
        <v>408</v>
      </c>
    </row>
    <row r="453" spans="1:52" x14ac:dyDescent="0.3">
      <c r="A453">
        <v>442</v>
      </c>
      <c r="B453" t="s">
        <v>724</v>
      </c>
      <c r="C453" t="s">
        <v>154</v>
      </c>
      <c r="D453" t="s">
        <v>725</v>
      </c>
      <c r="E453" t="s">
        <v>417</v>
      </c>
      <c r="F453" t="s">
        <v>408</v>
      </c>
      <c r="G453">
        <v>1429</v>
      </c>
      <c r="H453">
        <v>1430</v>
      </c>
      <c r="I453" t="s">
        <v>970</v>
      </c>
      <c r="J453">
        <v>1379</v>
      </c>
      <c r="K453">
        <v>1380</v>
      </c>
      <c r="L453" t="s">
        <v>644</v>
      </c>
      <c r="M453">
        <v>3</v>
      </c>
      <c r="N453" t="s">
        <v>167</v>
      </c>
      <c r="O453" t="s">
        <v>167</v>
      </c>
      <c r="P453" t="s">
        <v>420</v>
      </c>
      <c r="Q453" t="s">
        <v>408</v>
      </c>
      <c r="R453" t="s">
        <v>719</v>
      </c>
      <c r="S453">
        <v>2005</v>
      </c>
      <c r="T453">
        <v>8</v>
      </c>
      <c r="U453" t="s">
        <v>408</v>
      </c>
      <c r="V453" t="s">
        <v>407</v>
      </c>
      <c r="W453">
        <v>2020</v>
      </c>
      <c r="X453">
        <v>0</v>
      </c>
      <c r="Y453" t="s">
        <v>408</v>
      </c>
      <c r="Z453">
        <v>2020</v>
      </c>
      <c r="AA453">
        <v>2015</v>
      </c>
      <c r="AB453" s="5">
        <v>6.2892115673699997E-2</v>
      </c>
      <c r="AC453" s="5">
        <v>0.12578423134700001</v>
      </c>
      <c r="AD453" t="s">
        <v>408</v>
      </c>
      <c r="AE453" t="s">
        <v>152</v>
      </c>
      <c r="AF453" t="s">
        <v>408</v>
      </c>
      <c r="AG453" t="s">
        <v>408</v>
      </c>
      <c r="AH453" t="s">
        <v>408</v>
      </c>
      <c r="AI453" t="s">
        <v>408</v>
      </c>
      <c r="AJ453" t="s">
        <v>408</v>
      </c>
      <c r="AK453" t="s">
        <v>408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s="58">
        <f t="shared" si="6"/>
        <v>1</v>
      </c>
      <c r="AU453" s="79" t="s">
        <v>431</v>
      </c>
      <c r="AV453" s="78" t="s">
        <v>410</v>
      </c>
      <c r="AW453" t="s">
        <v>408</v>
      </c>
      <c r="AX453">
        <v>2</v>
      </c>
      <c r="AY453" t="s">
        <v>412</v>
      </c>
      <c r="AZ453" t="s">
        <v>408</v>
      </c>
    </row>
    <row r="454" spans="1:52" x14ac:dyDescent="0.3">
      <c r="A454">
        <v>443</v>
      </c>
      <c r="B454" t="s">
        <v>724</v>
      </c>
      <c r="C454" t="s">
        <v>154</v>
      </c>
      <c r="D454" t="s">
        <v>725</v>
      </c>
      <c r="E454" t="s">
        <v>417</v>
      </c>
      <c r="F454" t="s">
        <v>408</v>
      </c>
      <c r="G454">
        <v>1463</v>
      </c>
      <c r="H454">
        <v>1456</v>
      </c>
      <c r="I454" t="s">
        <v>1415</v>
      </c>
      <c r="J454">
        <v>1431</v>
      </c>
      <c r="K454">
        <v>1432</v>
      </c>
      <c r="L454" t="s">
        <v>970</v>
      </c>
      <c r="M454">
        <v>3</v>
      </c>
      <c r="N454" t="s">
        <v>167</v>
      </c>
      <c r="O454" t="s">
        <v>167</v>
      </c>
      <c r="P454" t="s">
        <v>420</v>
      </c>
      <c r="Q454" t="s">
        <v>408</v>
      </c>
      <c r="R454" t="s">
        <v>671</v>
      </c>
      <c r="S454">
        <v>2002</v>
      </c>
      <c r="T454">
        <v>8</v>
      </c>
      <c r="U454" t="s">
        <v>408</v>
      </c>
      <c r="V454" t="s">
        <v>407</v>
      </c>
      <c r="W454">
        <v>2020</v>
      </c>
      <c r="X454">
        <v>0</v>
      </c>
      <c r="Y454" t="s">
        <v>408</v>
      </c>
      <c r="Z454">
        <v>2020</v>
      </c>
      <c r="AA454">
        <v>2015</v>
      </c>
      <c r="AB454" s="5">
        <v>5.8220867557100001E-2</v>
      </c>
      <c r="AC454" s="5">
        <v>0.11644173511399999</v>
      </c>
      <c r="AD454" t="s">
        <v>408</v>
      </c>
      <c r="AE454" t="s">
        <v>152</v>
      </c>
      <c r="AF454" t="s">
        <v>408</v>
      </c>
      <c r="AG454" t="s">
        <v>408</v>
      </c>
      <c r="AH454" t="s">
        <v>408</v>
      </c>
      <c r="AI454" t="s">
        <v>408</v>
      </c>
      <c r="AJ454" t="s">
        <v>408</v>
      </c>
      <c r="AK454" t="s">
        <v>408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 s="58">
        <f t="shared" si="6"/>
        <v>1</v>
      </c>
      <c r="AU454" s="79" t="s">
        <v>431</v>
      </c>
      <c r="AV454" t="s">
        <v>410</v>
      </c>
      <c r="AW454" t="s">
        <v>408</v>
      </c>
      <c r="AX454">
        <v>2</v>
      </c>
      <c r="AY454" t="s">
        <v>412</v>
      </c>
      <c r="AZ454" t="s">
        <v>408</v>
      </c>
    </row>
    <row r="455" spans="1:52" x14ac:dyDescent="0.3">
      <c r="A455">
        <v>444</v>
      </c>
      <c r="B455" t="s">
        <v>415</v>
      </c>
      <c r="C455" t="s">
        <v>154</v>
      </c>
      <c r="D455" t="s">
        <v>416</v>
      </c>
      <c r="E455" t="s">
        <v>417</v>
      </c>
      <c r="F455" t="s">
        <v>408</v>
      </c>
      <c r="G455">
        <v>1174</v>
      </c>
      <c r="H455">
        <v>1179</v>
      </c>
      <c r="I455" t="s">
        <v>983</v>
      </c>
      <c r="J455">
        <v>800</v>
      </c>
      <c r="K455">
        <v>801</v>
      </c>
      <c r="L455" t="s">
        <v>814</v>
      </c>
      <c r="M455">
        <v>3</v>
      </c>
      <c r="N455" t="s">
        <v>167</v>
      </c>
      <c r="O455" t="s">
        <v>167</v>
      </c>
      <c r="P455" t="s">
        <v>420</v>
      </c>
      <c r="Q455" t="s">
        <v>408</v>
      </c>
      <c r="R455" t="s">
        <v>493</v>
      </c>
      <c r="S455">
        <v>2007</v>
      </c>
      <c r="T455">
        <v>7</v>
      </c>
      <c r="U455" t="s">
        <v>408</v>
      </c>
      <c r="V455" t="s">
        <v>849</v>
      </c>
      <c r="W455">
        <v>2016</v>
      </c>
      <c r="X455">
        <v>6</v>
      </c>
      <c r="Y455" t="s">
        <v>408</v>
      </c>
      <c r="Z455">
        <v>2016</v>
      </c>
      <c r="AA455">
        <v>0</v>
      </c>
      <c r="AB455" s="5">
        <v>0.50472726040000004</v>
      </c>
      <c r="AC455" s="5">
        <v>1.0094545208000001</v>
      </c>
      <c r="AD455" t="s">
        <v>408</v>
      </c>
      <c r="AE455" t="s">
        <v>152</v>
      </c>
      <c r="AF455" t="s">
        <v>408</v>
      </c>
      <c r="AG455" t="s">
        <v>408</v>
      </c>
      <c r="AH455" t="s">
        <v>408</v>
      </c>
      <c r="AI455" t="s">
        <v>408</v>
      </c>
      <c r="AJ455" t="s">
        <v>408</v>
      </c>
      <c r="AK455" t="s">
        <v>408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 s="58">
        <f t="shared" si="6"/>
        <v>1</v>
      </c>
      <c r="AU455" s="79">
        <v>43328</v>
      </c>
      <c r="AV455" t="s">
        <v>410</v>
      </c>
      <c r="AW455" t="s">
        <v>408</v>
      </c>
      <c r="AX455">
        <v>2</v>
      </c>
      <c r="AY455" t="s">
        <v>412</v>
      </c>
      <c r="AZ455" t="s">
        <v>408</v>
      </c>
    </row>
    <row r="456" spans="1:52" x14ac:dyDescent="0.3">
      <c r="A456">
        <v>445</v>
      </c>
      <c r="B456" t="s">
        <v>415</v>
      </c>
      <c r="C456" t="s">
        <v>154</v>
      </c>
      <c r="D456" t="s">
        <v>416</v>
      </c>
      <c r="E456" t="s">
        <v>417</v>
      </c>
      <c r="F456" t="s">
        <v>408</v>
      </c>
      <c r="G456">
        <v>1258</v>
      </c>
      <c r="H456">
        <v>1259</v>
      </c>
      <c r="I456" t="s">
        <v>1162</v>
      </c>
      <c r="J456">
        <v>1200</v>
      </c>
      <c r="K456">
        <v>1201</v>
      </c>
      <c r="L456" t="s">
        <v>983</v>
      </c>
      <c r="M456">
        <v>3</v>
      </c>
      <c r="N456" t="s">
        <v>167</v>
      </c>
      <c r="O456" t="s">
        <v>167</v>
      </c>
      <c r="P456" t="s">
        <v>420</v>
      </c>
      <c r="Q456" t="s">
        <v>408</v>
      </c>
      <c r="R456" t="s">
        <v>493</v>
      </c>
      <c r="S456">
        <v>2007</v>
      </c>
      <c r="T456">
        <v>7</v>
      </c>
      <c r="U456" t="s">
        <v>408</v>
      </c>
      <c r="V456" t="s">
        <v>511</v>
      </c>
      <c r="W456">
        <v>2018</v>
      </c>
      <c r="X456">
        <v>7</v>
      </c>
      <c r="Y456" t="s">
        <v>408</v>
      </c>
      <c r="Z456">
        <v>2018</v>
      </c>
      <c r="AA456">
        <v>2015</v>
      </c>
      <c r="AB456" s="5">
        <v>0.12621546394200001</v>
      </c>
      <c r="AC456" s="5">
        <v>0.25243092788400001</v>
      </c>
      <c r="AD456" t="s">
        <v>408</v>
      </c>
      <c r="AE456" t="s">
        <v>152</v>
      </c>
      <c r="AF456" t="s">
        <v>408</v>
      </c>
      <c r="AG456" t="s">
        <v>408</v>
      </c>
      <c r="AH456" t="s">
        <v>408</v>
      </c>
      <c r="AI456" t="s">
        <v>408</v>
      </c>
      <c r="AJ456" t="s">
        <v>408</v>
      </c>
      <c r="AK456" t="s">
        <v>408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 s="58">
        <f t="shared" si="6"/>
        <v>1</v>
      </c>
      <c r="AU456" s="79">
        <v>43328</v>
      </c>
      <c r="AV456" t="s">
        <v>410</v>
      </c>
      <c r="AW456" t="s">
        <v>408</v>
      </c>
      <c r="AX456">
        <v>2</v>
      </c>
      <c r="AY456" t="s">
        <v>412</v>
      </c>
      <c r="AZ456" t="s">
        <v>408</v>
      </c>
    </row>
    <row r="457" spans="1:52" x14ac:dyDescent="0.3">
      <c r="A457">
        <v>446</v>
      </c>
      <c r="B457" t="s">
        <v>415</v>
      </c>
      <c r="C457" t="s">
        <v>154</v>
      </c>
      <c r="D457" t="s">
        <v>416</v>
      </c>
      <c r="E457" t="s">
        <v>417</v>
      </c>
      <c r="F457" t="s">
        <v>408</v>
      </c>
      <c r="G457">
        <v>1358</v>
      </c>
      <c r="H457">
        <v>1359</v>
      </c>
      <c r="I457" t="s">
        <v>419</v>
      </c>
      <c r="J457">
        <v>1300</v>
      </c>
      <c r="K457">
        <v>1301</v>
      </c>
      <c r="L457" t="s">
        <v>1162</v>
      </c>
      <c r="M457">
        <v>3</v>
      </c>
      <c r="N457" t="s">
        <v>167</v>
      </c>
      <c r="O457" t="s">
        <v>167</v>
      </c>
      <c r="P457" t="s">
        <v>420</v>
      </c>
      <c r="Q457" t="s">
        <v>1416</v>
      </c>
      <c r="R457" t="s">
        <v>493</v>
      </c>
      <c r="S457">
        <v>2007</v>
      </c>
      <c r="T457">
        <v>7</v>
      </c>
      <c r="U457" t="s">
        <v>408</v>
      </c>
      <c r="V457" t="s">
        <v>423</v>
      </c>
      <c r="W457">
        <v>2018</v>
      </c>
      <c r="X457">
        <v>7</v>
      </c>
      <c r="Y457" t="s">
        <v>408</v>
      </c>
      <c r="Z457">
        <v>2018</v>
      </c>
      <c r="AA457">
        <v>0</v>
      </c>
      <c r="AB457" s="5">
        <v>0.12617139684500001</v>
      </c>
      <c r="AC457" s="5">
        <v>0.25234279369000001</v>
      </c>
      <c r="AD457" t="s">
        <v>408</v>
      </c>
      <c r="AE457" t="s">
        <v>152</v>
      </c>
      <c r="AF457" t="s">
        <v>408</v>
      </c>
      <c r="AG457" t="s">
        <v>408</v>
      </c>
      <c r="AH457" t="s">
        <v>408</v>
      </c>
      <c r="AI457" t="s">
        <v>408</v>
      </c>
      <c r="AJ457" t="s">
        <v>408</v>
      </c>
      <c r="AK457" t="s">
        <v>408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 s="58">
        <f t="shared" si="6"/>
        <v>1</v>
      </c>
      <c r="AU457" s="79">
        <v>43328</v>
      </c>
      <c r="AV457" s="78" t="s">
        <v>410</v>
      </c>
      <c r="AW457" t="s">
        <v>408</v>
      </c>
      <c r="AX457">
        <v>2</v>
      </c>
      <c r="AY457" t="s">
        <v>412</v>
      </c>
      <c r="AZ457" t="s">
        <v>408</v>
      </c>
    </row>
    <row r="458" spans="1:52" x14ac:dyDescent="0.3">
      <c r="A458">
        <v>447</v>
      </c>
      <c r="B458" t="s">
        <v>1417</v>
      </c>
      <c r="C458" t="s">
        <v>152</v>
      </c>
      <c r="D458" t="s">
        <v>1418</v>
      </c>
      <c r="E458" t="s">
        <v>417</v>
      </c>
      <c r="F458" t="s">
        <v>152</v>
      </c>
      <c r="G458">
        <v>200</v>
      </c>
      <c r="H458">
        <v>201</v>
      </c>
      <c r="I458" t="s">
        <v>628</v>
      </c>
      <c r="J458">
        <v>230</v>
      </c>
      <c r="K458">
        <v>231</v>
      </c>
      <c r="L458" t="s">
        <v>972</v>
      </c>
      <c r="M458">
        <v>4</v>
      </c>
      <c r="N458" t="s">
        <v>167</v>
      </c>
      <c r="O458" t="s">
        <v>167</v>
      </c>
      <c r="P458" t="s">
        <v>420</v>
      </c>
      <c r="Q458" t="s">
        <v>408</v>
      </c>
      <c r="R458" t="s">
        <v>1419</v>
      </c>
      <c r="S458">
        <v>2007</v>
      </c>
      <c r="T458">
        <v>7</v>
      </c>
      <c r="U458" t="s">
        <v>408</v>
      </c>
      <c r="V458" t="s">
        <v>532</v>
      </c>
      <c r="W458">
        <v>2015</v>
      </c>
      <c r="X458">
        <v>10</v>
      </c>
      <c r="Y458" t="s">
        <v>370</v>
      </c>
      <c r="Z458">
        <v>2015</v>
      </c>
      <c r="AA458">
        <v>2015</v>
      </c>
      <c r="AB458" s="5">
        <v>7.6371903810800001E-2</v>
      </c>
      <c r="AC458" s="5">
        <v>7.6371903810800001E-2</v>
      </c>
      <c r="AD458" t="s">
        <v>408</v>
      </c>
      <c r="AE458" t="s">
        <v>411</v>
      </c>
      <c r="AF458" t="s">
        <v>152</v>
      </c>
      <c r="AG458" t="s">
        <v>152</v>
      </c>
      <c r="AH458" t="s">
        <v>408</v>
      </c>
      <c r="AI458" t="s">
        <v>408</v>
      </c>
      <c r="AJ458" t="s">
        <v>408</v>
      </c>
      <c r="AK458" t="s">
        <v>408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 s="58">
        <f t="shared" si="6"/>
        <v>1</v>
      </c>
      <c r="AU458" s="79">
        <v>43348</v>
      </c>
      <c r="AV458" s="78" t="s">
        <v>410</v>
      </c>
      <c r="AW458" t="s">
        <v>408</v>
      </c>
      <c r="AX458">
        <v>2</v>
      </c>
      <c r="AY458" t="s">
        <v>412</v>
      </c>
      <c r="AZ458" t="s">
        <v>408</v>
      </c>
    </row>
    <row r="459" spans="1:52" x14ac:dyDescent="0.3">
      <c r="A459">
        <v>448</v>
      </c>
      <c r="B459" t="s">
        <v>1385</v>
      </c>
      <c r="C459" t="s">
        <v>154</v>
      </c>
      <c r="D459" t="s">
        <v>1386</v>
      </c>
      <c r="E459" t="s">
        <v>417</v>
      </c>
      <c r="F459" t="s">
        <v>408</v>
      </c>
      <c r="G459">
        <v>4533</v>
      </c>
      <c r="H459">
        <v>4532</v>
      </c>
      <c r="I459" t="s">
        <v>1420</v>
      </c>
      <c r="J459">
        <v>4025</v>
      </c>
      <c r="K459">
        <v>4028</v>
      </c>
      <c r="L459" t="s">
        <v>1236</v>
      </c>
      <c r="M459">
        <v>3</v>
      </c>
      <c r="N459" t="s">
        <v>170</v>
      </c>
      <c r="O459" t="s">
        <v>170</v>
      </c>
      <c r="P459" t="s">
        <v>420</v>
      </c>
      <c r="Q459" t="s">
        <v>408</v>
      </c>
      <c r="R459" t="s">
        <v>493</v>
      </c>
      <c r="S459">
        <v>2007</v>
      </c>
      <c r="T459">
        <v>10</v>
      </c>
      <c r="U459" t="s">
        <v>408</v>
      </c>
      <c r="V459" t="s">
        <v>562</v>
      </c>
      <c r="W459">
        <v>2015</v>
      </c>
      <c r="X459">
        <v>5</v>
      </c>
      <c r="Y459" t="s">
        <v>370</v>
      </c>
      <c r="Z459">
        <v>2015</v>
      </c>
      <c r="AA459">
        <v>2015</v>
      </c>
      <c r="AB459" s="5">
        <v>0.75741144752400003</v>
      </c>
      <c r="AC459" s="5">
        <v>1.51482289505</v>
      </c>
      <c r="AD459" t="s">
        <v>408</v>
      </c>
      <c r="AE459" t="s">
        <v>152</v>
      </c>
      <c r="AF459" t="s">
        <v>408</v>
      </c>
      <c r="AG459" t="s">
        <v>408</v>
      </c>
      <c r="AH459" t="s">
        <v>408</v>
      </c>
      <c r="AI459" t="s">
        <v>408</v>
      </c>
      <c r="AJ459" t="s">
        <v>408</v>
      </c>
      <c r="AK459" t="s">
        <v>408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 s="58">
        <f t="shared" ref="AT459:AT522" si="7">SUM(AM459:AS459)</f>
        <v>1</v>
      </c>
      <c r="AU459" s="79">
        <v>43348</v>
      </c>
      <c r="AV459" t="s">
        <v>410</v>
      </c>
      <c r="AW459" t="s">
        <v>408</v>
      </c>
      <c r="AX459">
        <v>2</v>
      </c>
      <c r="AY459" t="s">
        <v>412</v>
      </c>
      <c r="AZ459" t="s">
        <v>408</v>
      </c>
    </row>
    <row r="460" spans="1:52" x14ac:dyDescent="0.3">
      <c r="A460">
        <v>449</v>
      </c>
      <c r="B460" t="s">
        <v>1385</v>
      </c>
      <c r="C460" t="s">
        <v>154</v>
      </c>
      <c r="D460" t="s">
        <v>1386</v>
      </c>
      <c r="E460" t="s">
        <v>417</v>
      </c>
      <c r="F460" t="s">
        <v>408</v>
      </c>
      <c r="G460">
        <v>3901</v>
      </c>
      <c r="H460">
        <v>3900</v>
      </c>
      <c r="I460" t="s">
        <v>1236</v>
      </c>
      <c r="J460">
        <v>3025</v>
      </c>
      <c r="K460">
        <v>3024</v>
      </c>
      <c r="L460" t="s">
        <v>413</v>
      </c>
      <c r="M460">
        <v>3</v>
      </c>
      <c r="N460" t="s">
        <v>170</v>
      </c>
      <c r="O460" t="s">
        <v>170</v>
      </c>
      <c r="P460" t="s">
        <v>420</v>
      </c>
      <c r="Q460" t="s">
        <v>408</v>
      </c>
      <c r="R460" t="s">
        <v>493</v>
      </c>
      <c r="S460">
        <v>2007</v>
      </c>
      <c r="T460">
        <v>10</v>
      </c>
      <c r="U460" t="s">
        <v>408</v>
      </c>
      <c r="V460" t="s">
        <v>692</v>
      </c>
      <c r="W460">
        <v>2015</v>
      </c>
      <c r="X460">
        <v>5</v>
      </c>
      <c r="Y460" t="s">
        <v>370</v>
      </c>
      <c r="Z460">
        <v>2015</v>
      </c>
      <c r="AA460">
        <v>2015</v>
      </c>
      <c r="AB460" s="5">
        <v>1.26528370359</v>
      </c>
      <c r="AC460" s="5">
        <v>2.53056740718</v>
      </c>
      <c r="AD460" t="s">
        <v>408</v>
      </c>
      <c r="AE460" t="s">
        <v>152</v>
      </c>
      <c r="AF460" t="s">
        <v>408</v>
      </c>
      <c r="AG460" t="s">
        <v>408</v>
      </c>
      <c r="AH460" t="s">
        <v>408</v>
      </c>
      <c r="AI460" t="s">
        <v>408</v>
      </c>
      <c r="AJ460" t="s">
        <v>408</v>
      </c>
      <c r="AK460" t="s">
        <v>408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 s="58">
        <f t="shared" si="7"/>
        <v>1</v>
      </c>
      <c r="AU460" s="79">
        <v>43348</v>
      </c>
      <c r="AV460" s="78" t="s">
        <v>410</v>
      </c>
      <c r="AW460" t="s">
        <v>408</v>
      </c>
      <c r="AX460">
        <v>2</v>
      </c>
      <c r="AY460" t="s">
        <v>412</v>
      </c>
      <c r="AZ460" t="s">
        <v>408</v>
      </c>
    </row>
    <row r="461" spans="1:52" x14ac:dyDescent="0.3">
      <c r="A461">
        <v>450</v>
      </c>
      <c r="B461" t="s">
        <v>754</v>
      </c>
      <c r="C461" t="s">
        <v>152</v>
      </c>
      <c r="D461" t="s">
        <v>755</v>
      </c>
      <c r="E461" t="s">
        <v>460</v>
      </c>
      <c r="F461" t="s">
        <v>408</v>
      </c>
      <c r="G461">
        <v>2200</v>
      </c>
      <c r="H461">
        <v>2201</v>
      </c>
      <c r="I461" t="s">
        <v>1421</v>
      </c>
      <c r="J461">
        <v>2398</v>
      </c>
      <c r="K461">
        <v>2399</v>
      </c>
      <c r="L461" t="s">
        <v>890</v>
      </c>
      <c r="M461">
        <v>3</v>
      </c>
      <c r="N461" t="s">
        <v>167</v>
      </c>
      <c r="O461" t="s">
        <v>167</v>
      </c>
      <c r="P461" t="s">
        <v>414</v>
      </c>
      <c r="Q461" t="s">
        <v>408</v>
      </c>
      <c r="R461" t="s">
        <v>748</v>
      </c>
      <c r="S461">
        <v>2004</v>
      </c>
      <c r="T461">
        <v>9</v>
      </c>
      <c r="U461" t="s">
        <v>408</v>
      </c>
      <c r="V461" t="s">
        <v>453</v>
      </c>
      <c r="W461">
        <v>2011</v>
      </c>
      <c r="X461">
        <v>10</v>
      </c>
      <c r="Y461" t="s">
        <v>408</v>
      </c>
      <c r="Z461">
        <v>2011</v>
      </c>
      <c r="AA461">
        <v>0</v>
      </c>
      <c r="AB461" s="5">
        <v>0.355393169264</v>
      </c>
      <c r="AC461" s="5">
        <v>0.71078633852799999</v>
      </c>
      <c r="AD461" t="s">
        <v>408</v>
      </c>
      <c r="AE461" t="s">
        <v>152</v>
      </c>
      <c r="AF461" t="s">
        <v>408</v>
      </c>
      <c r="AG461" t="s">
        <v>408</v>
      </c>
      <c r="AH461" t="s">
        <v>408</v>
      </c>
      <c r="AI461" t="s">
        <v>408</v>
      </c>
      <c r="AJ461" t="s">
        <v>408</v>
      </c>
      <c r="AK461" t="s">
        <v>408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s="58">
        <f t="shared" si="7"/>
        <v>1</v>
      </c>
      <c r="AU461" s="79">
        <v>43341</v>
      </c>
      <c r="AV461" s="78" t="s">
        <v>410</v>
      </c>
      <c r="AW461" t="s">
        <v>408</v>
      </c>
      <c r="AX461">
        <v>2</v>
      </c>
      <c r="AY461" t="s">
        <v>412</v>
      </c>
      <c r="AZ461" t="s">
        <v>408</v>
      </c>
    </row>
    <row r="462" spans="1:52" x14ac:dyDescent="0.3">
      <c r="A462">
        <v>451</v>
      </c>
      <c r="B462" t="s">
        <v>880</v>
      </c>
      <c r="C462" t="s">
        <v>155</v>
      </c>
      <c r="D462" t="s">
        <v>881</v>
      </c>
      <c r="E462" t="s">
        <v>466</v>
      </c>
      <c r="F462" t="s">
        <v>408</v>
      </c>
      <c r="G462">
        <v>343</v>
      </c>
      <c r="H462">
        <v>344</v>
      </c>
      <c r="I462" t="s">
        <v>1217</v>
      </c>
      <c r="J462">
        <v>300</v>
      </c>
      <c r="K462">
        <v>301</v>
      </c>
      <c r="L462" t="s">
        <v>882</v>
      </c>
      <c r="M462">
        <v>3</v>
      </c>
      <c r="N462" t="s">
        <v>165</v>
      </c>
      <c r="O462" t="s">
        <v>165</v>
      </c>
      <c r="P462" t="s">
        <v>420</v>
      </c>
      <c r="Q462" t="s">
        <v>408</v>
      </c>
      <c r="R462" t="s">
        <v>976</v>
      </c>
      <c r="S462">
        <v>2000</v>
      </c>
      <c r="T462">
        <v>7</v>
      </c>
      <c r="U462" t="s">
        <v>408</v>
      </c>
      <c r="V462" t="s">
        <v>482</v>
      </c>
      <c r="W462">
        <v>2018</v>
      </c>
      <c r="X462">
        <v>9</v>
      </c>
      <c r="Y462" t="s">
        <v>370</v>
      </c>
      <c r="Z462">
        <v>2018</v>
      </c>
      <c r="AA462">
        <v>2018</v>
      </c>
      <c r="AB462" s="5">
        <v>0.10581142572799999</v>
      </c>
      <c r="AC462" s="5">
        <v>0.21162285145599999</v>
      </c>
      <c r="AD462" t="s">
        <v>408</v>
      </c>
      <c r="AE462" t="s">
        <v>152</v>
      </c>
      <c r="AF462" t="s">
        <v>408</v>
      </c>
      <c r="AG462" t="s">
        <v>408</v>
      </c>
      <c r="AH462" t="s">
        <v>408</v>
      </c>
      <c r="AI462" t="s">
        <v>408</v>
      </c>
      <c r="AJ462" t="s">
        <v>408</v>
      </c>
      <c r="AK462" t="s">
        <v>408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s="58">
        <f t="shared" si="7"/>
        <v>1</v>
      </c>
      <c r="AU462" s="79">
        <v>43343</v>
      </c>
      <c r="AV462" s="78" t="s">
        <v>410</v>
      </c>
      <c r="AW462" t="s">
        <v>152</v>
      </c>
      <c r="AX462">
        <v>2</v>
      </c>
      <c r="AY462" t="s">
        <v>412</v>
      </c>
      <c r="AZ462" t="s">
        <v>408</v>
      </c>
    </row>
    <row r="463" spans="1:52" x14ac:dyDescent="0.3">
      <c r="A463">
        <v>452</v>
      </c>
      <c r="B463" t="s">
        <v>693</v>
      </c>
      <c r="C463" t="s">
        <v>152</v>
      </c>
      <c r="D463" t="s">
        <v>694</v>
      </c>
      <c r="E463" t="s">
        <v>460</v>
      </c>
      <c r="F463" t="s">
        <v>408</v>
      </c>
      <c r="G463">
        <v>3600</v>
      </c>
      <c r="H463">
        <v>3601</v>
      </c>
      <c r="I463" t="s">
        <v>573</v>
      </c>
      <c r="J463">
        <v>3958</v>
      </c>
      <c r="K463">
        <v>3949</v>
      </c>
      <c r="L463" t="s">
        <v>717</v>
      </c>
      <c r="M463">
        <v>3</v>
      </c>
      <c r="N463" t="s">
        <v>170</v>
      </c>
      <c r="O463" t="s">
        <v>170</v>
      </c>
      <c r="P463" t="s">
        <v>420</v>
      </c>
      <c r="Q463" t="s">
        <v>1422</v>
      </c>
      <c r="R463" t="s">
        <v>493</v>
      </c>
      <c r="S463">
        <v>2007</v>
      </c>
      <c r="T463">
        <v>6</v>
      </c>
      <c r="U463" t="s">
        <v>1423</v>
      </c>
      <c r="V463" t="s">
        <v>742</v>
      </c>
      <c r="W463">
        <v>2016</v>
      </c>
      <c r="X463">
        <v>9</v>
      </c>
      <c r="Y463" t="s">
        <v>370</v>
      </c>
      <c r="Z463">
        <v>2016</v>
      </c>
      <c r="AA463">
        <v>2016</v>
      </c>
      <c r="AB463" s="5">
        <v>0.503433646776</v>
      </c>
      <c r="AC463" s="5">
        <v>1.00686729355</v>
      </c>
      <c r="AD463" t="s">
        <v>408</v>
      </c>
      <c r="AE463" t="s">
        <v>152</v>
      </c>
      <c r="AF463" t="s">
        <v>408</v>
      </c>
      <c r="AG463" t="s">
        <v>408</v>
      </c>
      <c r="AH463" t="s">
        <v>408</v>
      </c>
      <c r="AI463" t="s">
        <v>408</v>
      </c>
      <c r="AJ463" t="s">
        <v>408</v>
      </c>
      <c r="AK463" t="s">
        <v>408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 s="58">
        <f t="shared" si="7"/>
        <v>1</v>
      </c>
      <c r="AU463" s="79">
        <v>43340</v>
      </c>
      <c r="AV463" t="s">
        <v>410</v>
      </c>
      <c r="AW463" t="s">
        <v>408</v>
      </c>
      <c r="AX463">
        <v>2</v>
      </c>
      <c r="AY463" t="s">
        <v>412</v>
      </c>
      <c r="AZ463" t="s">
        <v>408</v>
      </c>
    </row>
    <row r="464" spans="1:52" x14ac:dyDescent="0.3">
      <c r="A464">
        <v>453</v>
      </c>
      <c r="B464" t="s">
        <v>911</v>
      </c>
      <c r="C464" t="s">
        <v>154</v>
      </c>
      <c r="D464" t="s">
        <v>912</v>
      </c>
      <c r="E464" t="s">
        <v>417</v>
      </c>
      <c r="F464" t="s">
        <v>408</v>
      </c>
      <c r="G464">
        <v>1598</v>
      </c>
      <c r="H464">
        <v>1599</v>
      </c>
      <c r="I464" t="s">
        <v>813</v>
      </c>
      <c r="J464">
        <v>1300</v>
      </c>
      <c r="K464">
        <v>1301</v>
      </c>
      <c r="L464" t="s">
        <v>1162</v>
      </c>
      <c r="M464">
        <v>4</v>
      </c>
      <c r="N464" t="s">
        <v>167</v>
      </c>
      <c r="O464" t="s">
        <v>167</v>
      </c>
      <c r="P464" t="s">
        <v>420</v>
      </c>
      <c r="Q464" t="s">
        <v>408</v>
      </c>
      <c r="R464" t="s">
        <v>748</v>
      </c>
      <c r="S464">
        <v>2004</v>
      </c>
      <c r="T464">
        <v>10</v>
      </c>
      <c r="U464" t="s">
        <v>408</v>
      </c>
      <c r="V464" t="s">
        <v>487</v>
      </c>
      <c r="W464">
        <v>2020</v>
      </c>
      <c r="X464">
        <v>0</v>
      </c>
      <c r="Y464" t="s">
        <v>408</v>
      </c>
      <c r="Z464">
        <v>2020</v>
      </c>
      <c r="AA464">
        <v>2006</v>
      </c>
      <c r="AB464" s="5">
        <v>0.37485513662300002</v>
      </c>
      <c r="AC464" s="5">
        <v>0.74971027324600004</v>
      </c>
      <c r="AD464" t="s">
        <v>408</v>
      </c>
      <c r="AE464" t="s">
        <v>152</v>
      </c>
      <c r="AF464" t="s">
        <v>408</v>
      </c>
      <c r="AG464" t="s">
        <v>408</v>
      </c>
      <c r="AH464" t="s">
        <v>408</v>
      </c>
      <c r="AI464" t="s">
        <v>408</v>
      </c>
      <c r="AJ464" t="s">
        <v>408</v>
      </c>
      <c r="AK464" t="s">
        <v>408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 s="58">
        <f t="shared" si="7"/>
        <v>1</v>
      </c>
      <c r="AU464" s="79" t="s">
        <v>592</v>
      </c>
      <c r="AV464" s="78" t="s">
        <v>410</v>
      </c>
      <c r="AW464" t="s">
        <v>408</v>
      </c>
      <c r="AX464">
        <v>2</v>
      </c>
      <c r="AY464" t="s">
        <v>412</v>
      </c>
      <c r="AZ464" t="s">
        <v>408</v>
      </c>
    </row>
    <row r="465" spans="1:52" x14ac:dyDescent="0.3">
      <c r="A465">
        <v>454</v>
      </c>
      <c r="B465" t="s">
        <v>1424</v>
      </c>
      <c r="C465" t="s">
        <v>154</v>
      </c>
      <c r="D465" t="s">
        <v>1425</v>
      </c>
      <c r="E465" t="s">
        <v>417</v>
      </c>
      <c r="F465" t="s">
        <v>408</v>
      </c>
      <c r="G465">
        <v>701</v>
      </c>
      <c r="H465">
        <v>700</v>
      </c>
      <c r="I465" t="s">
        <v>1426</v>
      </c>
      <c r="J465">
        <v>223</v>
      </c>
      <c r="K465">
        <v>220</v>
      </c>
      <c r="L465" t="s">
        <v>931</v>
      </c>
      <c r="M465">
        <v>4</v>
      </c>
      <c r="N465" t="s">
        <v>167</v>
      </c>
      <c r="O465" t="s">
        <v>167</v>
      </c>
      <c r="P465" t="s">
        <v>420</v>
      </c>
      <c r="Q465" t="s">
        <v>1427</v>
      </c>
      <c r="R465" t="s">
        <v>742</v>
      </c>
      <c r="S465">
        <v>2017</v>
      </c>
      <c r="T465">
        <v>5</v>
      </c>
      <c r="U465" t="s">
        <v>370</v>
      </c>
      <c r="V465" t="s">
        <v>408</v>
      </c>
      <c r="W465">
        <v>0</v>
      </c>
      <c r="X465">
        <v>0</v>
      </c>
      <c r="Y465" t="s">
        <v>408</v>
      </c>
      <c r="Z465">
        <v>2017</v>
      </c>
      <c r="AA465">
        <v>2017</v>
      </c>
      <c r="AB465" s="5">
        <v>0.68757371190000005</v>
      </c>
      <c r="AC465" s="5">
        <v>1.3751474238000001</v>
      </c>
      <c r="AD465" t="s">
        <v>408</v>
      </c>
      <c r="AE465" t="s">
        <v>152</v>
      </c>
      <c r="AF465" t="s">
        <v>408</v>
      </c>
      <c r="AG465" t="s">
        <v>408</v>
      </c>
      <c r="AH465" t="s">
        <v>408</v>
      </c>
      <c r="AI465" t="s">
        <v>408</v>
      </c>
      <c r="AJ465" t="s">
        <v>408</v>
      </c>
      <c r="AK465" t="s">
        <v>408</v>
      </c>
      <c r="AL465">
        <v>0</v>
      </c>
      <c r="AM465">
        <v>0</v>
      </c>
      <c r="AN465">
        <v>0</v>
      </c>
      <c r="AO465">
        <v>0</v>
      </c>
      <c r="AP465">
        <v>0.35</v>
      </c>
      <c r="AQ465">
        <v>0.65</v>
      </c>
      <c r="AR465">
        <v>0</v>
      </c>
      <c r="AS465">
        <v>0</v>
      </c>
      <c r="AT465" s="58">
        <f t="shared" si="7"/>
        <v>1</v>
      </c>
      <c r="AU465" s="79">
        <v>43348</v>
      </c>
      <c r="AV465" s="78" t="s">
        <v>410</v>
      </c>
      <c r="AW465" t="s">
        <v>408</v>
      </c>
      <c r="AX465">
        <v>3</v>
      </c>
      <c r="AY465" t="s">
        <v>412</v>
      </c>
      <c r="AZ465" t="s">
        <v>408</v>
      </c>
    </row>
    <row r="466" spans="1:52" x14ac:dyDescent="0.3">
      <c r="A466">
        <v>455</v>
      </c>
      <c r="B466" t="s">
        <v>477</v>
      </c>
      <c r="C466" t="s">
        <v>155</v>
      </c>
      <c r="D466" t="s">
        <v>478</v>
      </c>
      <c r="E466" t="s">
        <v>417</v>
      </c>
      <c r="F466" t="s">
        <v>408</v>
      </c>
      <c r="G466">
        <v>4049</v>
      </c>
      <c r="H466">
        <v>4050</v>
      </c>
      <c r="I466" t="s">
        <v>1144</v>
      </c>
      <c r="J466">
        <v>3901</v>
      </c>
      <c r="K466">
        <v>3900</v>
      </c>
      <c r="L466" t="s">
        <v>1005</v>
      </c>
      <c r="M466">
        <v>2</v>
      </c>
      <c r="N466" t="s">
        <v>165</v>
      </c>
      <c r="O466" t="s">
        <v>165</v>
      </c>
      <c r="P466" t="s">
        <v>420</v>
      </c>
      <c r="Q466" t="s">
        <v>1428</v>
      </c>
      <c r="R466" t="s">
        <v>662</v>
      </c>
      <c r="S466">
        <v>2016</v>
      </c>
      <c r="T466">
        <v>6</v>
      </c>
      <c r="U466" t="s">
        <v>370</v>
      </c>
      <c r="V466" t="s">
        <v>408</v>
      </c>
      <c r="W466">
        <v>0</v>
      </c>
      <c r="X466">
        <v>0</v>
      </c>
      <c r="Y466" t="s">
        <v>408</v>
      </c>
      <c r="Z466">
        <v>2016</v>
      </c>
      <c r="AA466">
        <v>2016</v>
      </c>
      <c r="AB466" s="5">
        <v>0.21907100334900001</v>
      </c>
      <c r="AC466" s="5">
        <v>0.43814200669800002</v>
      </c>
      <c r="AD466" t="s">
        <v>408</v>
      </c>
      <c r="AE466" t="s">
        <v>152</v>
      </c>
      <c r="AF466" t="s">
        <v>408</v>
      </c>
      <c r="AG466" t="s">
        <v>408</v>
      </c>
      <c r="AH466" t="s">
        <v>408</v>
      </c>
      <c r="AI466" t="s">
        <v>408</v>
      </c>
      <c r="AJ466" t="s">
        <v>408</v>
      </c>
      <c r="AK466" t="s">
        <v>408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 s="58">
        <f t="shared" si="7"/>
        <v>1</v>
      </c>
      <c r="AU466" s="79">
        <v>43333</v>
      </c>
      <c r="AV466" t="s">
        <v>410</v>
      </c>
      <c r="AW466" t="s">
        <v>411</v>
      </c>
      <c r="AX466">
        <v>2</v>
      </c>
      <c r="AY466" t="s">
        <v>412</v>
      </c>
      <c r="AZ466" t="s">
        <v>408</v>
      </c>
    </row>
    <row r="467" spans="1:52" x14ac:dyDescent="0.3">
      <c r="A467">
        <v>456</v>
      </c>
      <c r="B467" t="s">
        <v>720</v>
      </c>
      <c r="C467" t="s">
        <v>152</v>
      </c>
      <c r="D467" t="s">
        <v>721</v>
      </c>
      <c r="E467" t="s">
        <v>460</v>
      </c>
      <c r="F467" t="s">
        <v>408</v>
      </c>
      <c r="G467">
        <v>6400</v>
      </c>
      <c r="H467">
        <v>6401</v>
      </c>
      <c r="I467" t="s">
        <v>613</v>
      </c>
      <c r="J467">
        <v>6758</v>
      </c>
      <c r="K467">
        <v>6759</v>
      </c>
      <c r="L467" t="s">
        <v>1216</v>
      </c>
      <c r="M467">
        <v>2</v>
      </c>
      <c r="N467" t="s">
        <v>167</v>
      </c>
      <c r="O467" t="s">
        <v>167</v>
      </c>
      <c r="P467" t="s">
        <v>420</v>
      </c>
      <c r="Q467" t="s">
        <v>1311</v>
      </c>
      <c r="R467" t="s">
        <v>742</v>
      </c>
      <c r="S467">
        <v>2016</v>
      </c>
      <c r="T467">
        <v>9</v>
      </c>
      <c r="U467" t="s">
        <v>370</v>
      </c>
      <c r="V467" t="s">
        <v>408</v>
      </c>
      <c r="W467">
        <v>0</v>
      </c>
      <c r="X467">
        <v>0</v>
      </c>
      <c r="Y467" t="s">
        <v>408</v>
      </c>
      <c r="Z467">
        <v>2016</v>
      </c>
      <c r="AA467">
        <v>2016</v>
      </c>
      <c r="AB467" s="5">
        <v>0.50171075830599998</v>
      </c>
      <c r="AC467" s="5">
        <v>1.00342151661</v>
      </c>
      <c r="AD467" t="s">
        <v>408</v>
      </c>
      <c r="AE467" t="s">
        <v>152</v>
      </c>
      <c r="AF467" t="s">
        <v>408</v>
      </c>
      <c r="AG467" t="s">
        <v>408</v>
      </c>
      <c r="AH467" t="s">
        <v>408</v>
      </c>
      <c r="AI467" t="s">
        <v>408</v>
      </c>
      <c r="AJ467" t="s">
        <v>408</v>
      </c>
      <c r="AK467" t="s">
        <v>408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s="58">
        <f t="shared" si="7"/>
        <v>1</v>
      </c>
      <c r="AU467" s="79">
        <v>43341</v>
      </c>
      <c r="AV467" t="s">
        <v>410</v>
      </c>
      <c r="AW467" t="s">
        <v>408</v>
      </c>
      <c r="AX467">
        <v>2</v>
      </c>
      <c r="AY467" t="s">
        <v>412</v>
      </c>
      <c r="AZ467" t="s">
        <v>408</v>
      </c>
    </row>
    <row r="468" spans="1:52" x14ac:dyDescent="0.3">
      <c r="A468">
        <v>457</v>
      </c>
      <c r="B468" t="s">
        <v>1183</v>
      </c>
      <c r="C468" t="s">
        <v>154</v>
      </c>
      <c r="D468" t="s">
        <v>1184</v>
      </c>
      <c r="E468" t="s">
        <v>417</v>
      </c>
      <c r="F468" t="s">
        <v>408</v>
      </c>
      <c r="G468">
        <v>779</v>
      </c>
      <c r="H468">
        <v>778</v>
      </c>
      <c r="I468" t="s">
        <v>814</v>
      </c>
      <c r="J468">
        <v>700</v>
      </c>
      <c r="K468">
        <v>701</v>
      </c>
      <c r="L468" t="s">
        <v>1262</v>
      </c>
      <c r="M468">
        <v>3</v>
      </c>
      <c r="N468" t="s">
        <v>165</v>
      </c>
      <c r="O468" t="s">
        <v>165</v>
      </c>
      <c r="P468" t="s">
        <v>420</v>
      </c>
      <c r="Q468" t="s">
        <v>1429</v>
      </c>
      <c r="R468" t="s">
        <v>1128</v>
      </c>
      <c r="S468">
        <v>2016</v>
      </c>
      <c r="T468">
        <v>4</v>
      </c>
      <c r="U468" t="s">
        <v>553</v>
      </c>
      <c r="V468" t="s">
        <v>408</v>
      </c>
      <c r="W468">
        <v>0</v>
      </c>
      <c r="X468">
        <v>0</v>
      </c>
      <c r="Y468" t="s">
        <v>408</v>
      </c>
      <c r="Z468">
        <v>2016</v>
      </c>
      <c r="AA468">
        <v>2016</v>
      </c>
      <c r="AB468" s="5">
        <v>0.167160162689</v>
      </c>
      <c r="AC468" s="5">
        <v>0.33432032537799999</v>
      </c>
      <c r="AD468" t="s">
        <v>408</v>
      </c>
      <c r="AE468" t="s">
        <v>152</v>
      </c>
      <c r="AF468" t="s">
        <v>408</v>
      </c>
      <c r="AG468" t="s">
        <v>408</v>
      </c>
      <c r="AH468" t="s">
        <v>408</v>
      </c>
      <c r="AI468" t="s">
        <v>408</v>
      </c>
      <c r="AJ468" t="s">
        <v>408</v>
      </c>
      <c r="AK468" t="s">
        <v>411</v>
      </c>
      <c r="AL468">
        <v>2016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 s="58">
        <f t="shared" si="7"/>
        <v>1</v>
      </c>
      <c r="AU468" s="79">
        <v>43347</v>
      </c>
      <c r="AV468" s="78" t="s">
        <v>410</v>
      </c>
      <c r="AW468" t="s">
        <v>411</v>
      </c>
      <c r="AX468">
        <v>2</v>
      </c>
      <c r="AY468" t="s">
        <v>412</v>
      </c>
      <c r="AZ468" t="s">
        <v>408</v>
      </c>
    </row>
    <row r="469" spans="1:52" x14ac:dyDescent="0.3">
      <c r="A469">
        <v>458</v>
      </c>
      <c r="B469" t="s">
        <v>981</v>
      </c>
      <c r="C469" t="s">
        <v>155</v>
      </c>
      <c r="D469" t="s">
        <v>982</v>
      </c>
      <c r="E469" t="s">
        <v>460</v>
      </c>
      <c r="F469" t="s">
        <v>408</v>
      </c>
      <c r="G469">
        <v>2599</v>
      </c>
      <c r="H469">
        <v>2598</v>
      </c>
      <c r="I469" t="s">
        <v>576</v>
      </c>
      <c r="J469">
        <v>2355</v>
      </c>
      <c r="K469">
        <v>2354</v>
      </c>
      <c r="L469" t="s">
        <v>1165</v>
      </c>
      <c r="M469">
        <v>3</v>
      </c>
      <c r="N469" t="s">
        <v>167</v>
      </c>
      <c r="O469" t="s">
        <v>167</v>
      </c>
      <c r="P469" t="s">
        <v>420</v>
      </c>
      <c r="Q469" t="s">
        <v>1430</v>
      </c>
      <c r="R469" t="s">
        <v>624</v>
      </c>
      <c r="S469">
        <v>2016</v>
      </c>
      <c r="T469">
        <v>10</v>
      </c>
      <c r="U469" t="s">
        <v>370</v>
      </c>
      <c r="V469" t="s">
        <v>407</v>
      </c>
      <c r="W469">
        <v>2020</v>
      </c>
      <c r="X469">
        <v>0</v>
      </c>
      <c r="Y469" t="s">
        <v>408</v>
      </c>
      <c r="Z469">
        <v>2020</v>
      </c>
      <c r="AA469">
        <v>2016</v>
      </c>
      <c r="AB469" s="5">
        <v>0.70275527378500002</v>
      </c>
      <c r="AC469" s="5">
        <v>1.40551054757</v>
      </c>
      <c r="AD469" t="s">
        <v>408</v>
      </c>
      <c r="AE469" t="s">
        <v>152</v>
      </c>
      <c r="AF469" t="s">
        <v>408</v>
      </c>
      <c r="AG469" t="s">
        <v>408</v>
      </c>
      <c r="AH469" t="s">
        <v>408</v>
      </c>
      <c r="AI469" t="s">
        <v>408</v>
      </c>
      <c r="AJ469" t="s">
        <v>408</v>
      </c>
      <c r="AK469" t="s">
        <v>408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 s="58">
        <f t="shared" si="7"/>
        <v>1</v>
      </c>
      <c r="AU469" s="79" t="s">
        <v>431</v>
      </c>
      <c r="AV469" t="s">
        <v>410</v>
      </c>
      <c r="AW469" t="s">
        <v>408</v>
      </c>
      <c r="AX469">
        <v>2</v>
      </c>
      <c r="AY469" t="s">
        <v>412</v>
      </c>
      <c r="AZ469" t="s">
        <v>408</v>
      </c>
    </row>
    <row r="470" spans="1:52" x14ac:dyDescent="0.3">
      <c r="A470">
        <v>459</v>
      </c>
      <c r="B470" t="s">
        <v>926</v>
      </c>
      <c r="C470" t="s">
        <v>154</v>
      </c>
      <c r="D470" t="s">
        <v>927</v>
      </c>
      <c r="E470" t="s">
        <v>460</v>
      </c>
      <c r="F470" t="s">
        <v>408</v>
      </c>
      <c r="G470">
        <v>1559</v>
      </c>
      <c r="H470">
        <v>1558</v>
      </c>
      <c r="I470" t="s">
        <v>545</v>
      </c>
      <c r="J470">
        <v>1501</v>
      </c>
      <c r="K470">
        <v>1500</v>
      </c>
      <c r="L470" t="s">
        <v>928</v>
      </c>
      <c r="M470">
        <v>2</v>
      </c>
      <c r="N470" t="s">
        <v>167</v>
      </c>
      <c r="O470" t="s">
        <v>167</v>
      </c>
      <c r="P470" t="s">
        <v>420</v>
      </c>
      <c r="Q470" t="s">
        <v>1431</v>
      </c>
      <c r="R470" t="s">
        <v>624</v>
      </c>
      <c r="S470">
        <v>2016</v>
      </c>
      <c r="T470">
        <v>11</v>
      </c>
      <c r="U470" t="s">
        <v>370</v>
      </c>
      <c r="V470" t="s">
        <v>408</v>
      </c>
      <c r="W470">
        <v>0</v>
      </c>
      <c r="X470">
        <v>0</v>
      </c>
      <c r="Y470" t="s">
        <v>408</v>
      </c>
      <c r="Z470">
        <v>2016</v>
      </c>
      <c r="AA470">
        <v>2016</v>
      </c>
      <c r="AB470" s="5">
        <v>0.122548683746</v>
      </c>
      <c r="AC470" s="5">
        <v>0.24509736749200001</v>
      </c>
      <c r="AD470" t="s">
        <v>408</v>
      </c>
      <c r="AE470" t="s">
        <v>152</v>
      </c>
      <c r="AF470" t="s">
        <v>408</v>
      </c>
      <c r="AG470" t="s">
        <v>408</v>
      </c>
      <c r="AH470" t="s">
        <v>408</v>
      </c>
      <c r="AI470" t="s">
        <v>408</v>
      </c>
      <c r="AJ470" t="s">
        <v>408</v>
      </c>
      <c r="AK470" t="s">
        <v>408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s="58">
        <f t="shared" si="7"/>
        <v>1</v>
      </c>
      <c r="AU470" s="79">
        <v>43343</v>
      </c>
      <c r="AV470" s="78" t="s">
        <v>410</v>
      </c>
      <c r="AW470" t="s">
        <v>408</v>
      </c>
      <c r="AX470">
        <v>2</v>
      </c>
      <c r="AY470" t="s">
        <v>412</v>
      </c>
      <c r="AZ470" t="s">
        <v>408</v>
      </c>
    </row>
    <row r="471" spans="1:52" x14ac:dyDescent="0.3">
      <c r="A471">
        <v>460</v>
      </c>
      <c r="B471" t="s">
        <v>1026</v>
      </c>
      <c r="C471" t="s">
        <v>155</v>
      </c>
      <c r="D471" t="s">
        <v>881</v>
      </c>
      <c r="E471" t="s">
        <v>460</v>
      </c>
      <c r="F471" t="s">
        <v>408</v>
      </c>
      <c r="G471">
        <v>2458</v>
      </c>
      <c r="H471">
        <v>2459</v>
      </c>
      <c r="I471" t="s">
        <v>1123</v>
      </c>
      <c r="J471">
        <v>2200</v>
      </c>
      <c r="K471">
        <v>2201</v>
      </c>
      <c r="L471" t="s">
        <v>492</v>
      </c>
      <c r="M471">
        <v>3</v>
      </c>
      <c r="N471" t="s">
        <v>167</v>
      </c>
      <c r="O471" t="s">
        <v>167</v>
      </c>
      <c r="P471" t="s">
        <v>420</v>
      </c>
      <c r="Q471" t="s">
        <v>408</v>
      </c>
      <c r="R471" t="s">
        <v>497</v>
      </c>
      <c r="S471">
        <v>2003</v>
      </c>
      <c r="T471">
        <v>9</v>
      </c>
      <c r="U471" t="s">
        <v>408</v>
      </c>
      <c r="V471" t="s">
        <v>482</v>
      </c>
      <c r="W471">
        <v>2018</v>
      </c>
      <c r="X471">
        <v>7</v>
      </c>
      <c r="Y471" t="s">
        <v>370</v>
      </c>
      <c r="Z471">
        <v>2018</v>
      </c>
      <c r="AA471">
        <v>2018</v>
      </c>
      <c r="AB471" s="5">
        <v>0.37572347802099998</v>
      </c>
      <c r="AC471" s="5">
        <v>0.75144695604199996</v>
      </c>
      <c r="AD471" t="s">
        <v>408</v>
      </c>
      <c r="AE471" t="s">
        <v>152</v>
      </c>
      <c r="AF471" t="s">
        <v>408</v>
      </c>
      <c r="AG471" t="s">
        <v>408</v>
      </c>
      <c r="AH471" t="s">
        <v>408</v>
      </c>
      <c r="AI471" t="s">
        <v>408</v>
      </c>
      <c r="AJ471" t="s">
        <v>408</v>
      </c>
      <c r="AK471" t="s">
        <v>408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 s="58">
        <f t="shared" si="7"/>
        <v>1</v>
      </c>
      <c r="AU471" s="79">
        <v>43343</v>
      </c>
      <c r="AV471" s="78" t="s">
        <v>410</v>
      </c>
      <c r="AW471" t="s">
        <v>408</v>
      </c>
      <c r="AX471">
        <v>2</v>
      </c>
      <c r="AY471" t="s">
        <v>412</v>
      </c>
      <c r="AZ471" t="s">
        <v>408</v>
      </c>
    </row>
    <row r="472" spans="1:52" x14ac:dyDescent="0.3">
      <c r="A472">
        <v>461</v>
      </c>
      <c r="B472" t="s">
        <v>538</v>
      </c>
      <c r="C472" t="s">
        <v>152</v>
      </c>
      <c r="D472" t="s">
        <v>539</v>
      </c>
      <c r="E472" t="s">
        <v>417</v>
      </c>
      <c r="F472" t="s">
        <v>408</v>
      </c>
      <c r="G472">
        <v>4801</v>
      </c>
      <c r="H472">
        <v>4800</v>
      </c>
      <c r="I472" t="s">
        <v>826</v>
      </c>
      <c r="J472">
        <v>4898</v>
      </c>
      <c r="K472">
        <v>4899</v>
      </c>
      <c r="L472" t="s">
        <v>1432</v>
      </c>
      <c r="M472">
        <v>3</v>
      </c>
      <c r="N472" t="s">
        <v>167</v>
      </c>
      <c r="O472" t="s">
        <v>569</v>
      </c>
      <c r="P472" t="s">
        <v>403</v>
      </c>
      <c r="Q472" t="s">
        <v>408</v>
      </c>
      <c r="R472" t="s">
        <v>1078</v>
      </c>
      <c r="S472">
        <v>2019</v>
      </c>
      <c r="T472">
        <v>8</v>
      </c>
      <c r="U472" t="s">
        <v>757</v>
      </c>
      <c r="V472" t="s">
        <v>866</v>
      </c>
      <c r="W472">
        <v>2021</v>
      </c>
      <c r="X472">
        <v>10</v>
      </c>
      <c r="Y472" t="s">
        <v>408</v>
      </c>
      <c r="Z472">
        <v>2021</v>
      </c>
      <c r="AA472">
        <v>2021</v>
      </c>
      <c r="AB472" s="5">
        <v>0.20603343053299999</v>
      </c>
      <c r="AC472" s="5">
        <v>0.41206686106599999</v>
      </c>
      <c r="AD472" t="s">
        <v>408</v>
      </c>
      <c r="AE472" t="s">
        <v>152</v>
      </c>
      <c r="AF472" t="s">
        <v>408</v>
      </c>
      <c r="AG472" t="s">
        <v>408</v>
      </c>
      <c r="AH472" t="s">
        <v>408</v>
      </c>
      <c r="AI472" t="s">
        <v>408</v>
      </c>
      <c r="AJ472" t="s">
        <v>408</v>
      </c>
      <c r="AK472" t="s">
        <v>408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s="58">
        <f t="shared" si="7"/>
        <v>1</v>
      </c>
      <c r="AU472" s="79" t="s">
        <v>768</v>
      </c>
      <c r="AV472" s="78" t="s">
        <v>410</v>
      </c>
      <c r="AW472" t="s">
        <v>400</v>
      </c>
      <c r="AX472">
        <v>2</v>
      </c>
      <c r="AY472" t="s">
        <v>412</v>
      </c>
      <c r="AZ472">
        <v>20</v>
      </c>
    </row>
    <row r="473" spans="1:52" x14ac:dyDescent="0.3">
      <c r="A473">
        <v>462</v>
      </c>
      <c r="B473" t="s">
        <v>693</v>
      </c>
      <c r="C473" t="s">
        <v>152</v>
      </c>
      <c r="D473" t="s">
        <v>694</v>
      </c>
      <c r="E473" t="s">
        <v>460</v>
      </c>
      <c r="F473" t="s">
        <v>408</v>
      </c>
      <c r="G473">
        <v>1501</v>
      </c>
      <c r="H473">
        <v>1500</v>
      </c>
      <c r="I473" t="s">
        <v>770</v>
      </c>
      <c r="J473">
        <v>1600</v>
      </c>
      <c r="K473">
        <v>1601</v>
      </c>
      <c r="L473" t="s">
        <v>541</v>
      </c>
      <c r="M473">
        <v>3</v>
      </c>
      <c r="N473" t="s">
        <v>167</v>
      </c>
      <c r="O473" t="s">
        <v>167</v>
      </c>
      <c r="P473" t="s">
        <v>420</v>
      </c>
      <c r="Q473" t="s">
        <v>1433</v>
      </c>
      <c r="R473" t="s">
        <v>510</v>
      </c>
      <c r="S473">
        <v>2002</v>
      </c>
      <c r="T473">
        <v>8</v>
      </c>
      <c r="U473" t="s">
        <v>408</v>
      </c>
      <c r="V473" t="s">
        <v>695</v>
      </c>
      <c r="W473">
        <v>2020</v>
      </c>
      <c r="X473">
        <v>0</v>
      </c>
      <c r="Y473" t="s">
        <v>370</v>
      </c>
      <c r="Z473">
        <v>2020</v>
      </c>
      <c r="AA473">
        <v>2020</v>
      </c>
      <c r="AB473" s="5">
        <v>0.15457171710500001</v>
      </c>
      <c r="AC473" s="5">
        <v>0.30914343421000001</v>
      </c>
      <c r="AD473" t="s">
        <v>408</v>
      </c>
      <c r="AE473" t="s">
        <v>152</v>
      </c>
      <c r="AF473" t="s">
        <v>408</v>
      </c>
      <c r="AG473" t="s">
        <v>408</v>
      </c>
      <c r="AH473" t="s">
        <v>408</v>
      </c>
      <c r="AI473" t="s">
        <v>408</v>
      </c>
      <c r="AJ473" t="s">
        <v>408</v>
      </c>
      <c r="AK473" t="s">
        <v>408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 s="58">
        <f t="shared" si="7"/>
        <v>1</v>
      </c>
      <c r="AU473" s="79" t="s">
        <v>431</v>
      </c>
      <c r="AV473" s="78" t="s">
        <v>410</v>
      </c>
      <c r="AW473" t="s">
        <v>408</v>
      </c>
      <c r="AX473">
        <v>2</v>
      </c>
      <c r="AY473" t="s">
        <v>412</v>
      </c>
      <c r="AZ473" t="s">
        <v>408</v>
      </c>
    </row>
    <row r="474" spans="1:52" x14ac:dyDescent="0.3">
      <c r="A474">
        <v>463</v>
      </c>
      <c r="B474" t="s">
        <v>1037</v>
      </c>
      <c r="C474" t="s">
        <v>152</v>
      </c>
      <c r="D474" t="s">
        <v>1038</v>
      </c>
      <c r="E474" t="s">
        <v>417</v>
      </c>
      <c r="F474" t="s">
        <v>152</v>
      </c>
      <c r="G474">
        <v>240</v>
      </c>
      <c r="H474">
        <v>241</v>
      </c>
      <c r="I474" t="s">
        <v>753</v>
      </c>
      <c r="J474">
        <v>358</v>
      </c>
      <c r="K474">
        <v>359</v>
      </c>
      <c r="L474" t="s">
        <v>663</v>
      </c>
      <c r="M474">
        <v>4</v>
      </c>
      <c r="N474" t="s">
        <v>163</v>
      </c>
      <c r="O474" t="s">
        <v>163</v>
      </c>
      <c r="P474" t="s">
        <v>403</v>
      </c>
      <c r="Q474" t="s">
        <v>408</v>
      </c>
      <c r="R474" t="s">
        <v>648</v>
      </c>
      <c r="S474">
        <v>2018</v>
      </c>
      <c r="T474">
        <v>10</v>
      </c>
      <c r="U474" t="s">
        <v>1163</v>
      </c>
      <c r="V474" t="s">
        <v>695</v>
      </c>
      <c r="W474">
        <v>2020</v>
      </c>
      <c r="X474">
        <v>0</v>
      </c>
      <c r="Y474" t="s">
        <v>1164</v>
      </c>
      <c r="Z474">
        <v>2020</v>
      </c>
      <c r="AA474">
        <v>2017</v>
      </c>
      <c r="AB474" s="5">
        <v>0.168543581385</v>
      </c>
      <c r="AC474" s="5">
        <v>0.33708716277</v>
      </c>
      <c r="AD474" t="s">
        <v>400</v>
      </c>
      <c r="AE474" t="s">
        <v>152</v>
      </c>
      <c r="AF474" t="s">
        <v>400</v>
      </c>
      <c r="AG474" t="s">
        <v>400</v>
      </c>
      <c r="AH474" t="s">
        <v>411</v>
      </c>
      <c r="AI474" t="s">
        <v>470</v>
      </c>
      <c r="AJ474" t="s">
        <v>400</v>
      </c>
      <c r="AK474" t="s">
        <v>411</v>
      </c>
      <c r="AL474">
        <v>2013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 s="58">
        <f t="shared" si="7"/>
        <v>1</v>
      </c>
      <c r="AU474" s="79" t="s">
        <v>471</v>
      </c>
      <c r="AV474" s="78" t="s">
        <v>410</v>
      </c>
      <c r="AW474" t="s">
        <v>411</v>
      </c>
      <c r="AX474">
        <v>1</v>
      </c>
      <c r="AY474" t="s">
        <v>412</v>
      </c>
      <c r="AZ474" t="s">
        <v>408</v>
      </c>
    </row>
    <row r="475" spans="1:52" x14ac:dyDescent="0.3">
      <c r="A475">
        <v>464</v>
      </c>
      <c r="B475" t="s">
        <v>888</v>
      </c>
      <c r="C475" t="s">
        <v>152</v>
      </c>
      <c r="D475" t="s">
        <v>889</v>
      </c>
      <c r="E475" t="s">
        <v>460</v>
      </c>
      <c r="F475" t="s">
        <v>408</v>
      </c>
      <c r="G475">
        <v>3428</v>
      </c>
      <c r="H475">
        <v>3429</v>
      </c>
      <c r="I475" t="s">
        <v>804</v>
      </c>
      <c r="J475">
        <v>3558</v>
      </c>
      <c r="K475">
        <v>3559</v>
      </c>
      <c r="L475" t="s">
        <v>573</v>
      </c>
      <c r="M475">
        <v>2</v>
      </c>
      <c r="N475" t="s">
        <v>170</v>
      </c>
      <c r="O475" t="s">
        <v>170</v>
      </c>
      <c r="P475" t="s">
        <v>420</v>
      </c>
      <c r="Q475" t="s">
        <v>408</v>
      </c>
      <c r="R475" t="s">
        <v>1074</v>
      </c>
      <c r="S475">
        <v>2010</v>
      </c>
      <c r="T475">
        <v>4</v>
      </c>
      <c r="U475" t="s">
        <v>408</v>
      </c>
      <c r="V475" t="s">
        <v>513</v>
      </c>
      <c r="W475">
        <v>2016</v>
      </c>
      <c r="X475">
        <v>4</v>
      </c>
      <c r="Y475" t="s">
        <v>370</v>
      </c>
      <c r="Z475">
        <v>2016</v>
      </c>
      <c r="AA475">
        <v>2016</v>
      </c>
      <c r="AB475" s="5">
        <v>0.25358144956400003</v>
      </c>
      <c r="AC475" s="5">
        <v>0.50716289912800006</v>
      </c>
      <c r="AD475" t="s">
        <v>408</v>
      </c>
      <c r="AE475" t="s">
        <v>152</v>
      </c>
      <c r="AF475" t="s">
        <v>408</v>
      </c>
      <c r="AG475" t="s">
        <v>408</v>
      </c>
      <c r="AH475" t="s">
        <v>408</v>
      </c>
      <c r="AI475" t="s">
        <v>408</v>
      </c>
      <c r="AJ475" t="s">
        <v>408</v>
      </c>
      <c r="AK475" t="s">
        <v>408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 s="58">
        <f t="shared" si="7"/>
        <v>1</v>
      </c>
      <c r="AU475" s="79">
        <v>43343</v>
      </c>
      <c r="AV475" s="78" t="s">
        <v>410</v>
      </c>
      <c r="AW475" t="s">
        <v>408</v>
      </c>
      <c r="AX475">
        <v>2</v>
      </c>
      <c r="AY475" t="s">
        <v>412</v>
      </c>
      <c r="AZ475" t="s">
        <v>408</v>
      </c>
    </row>
    <row r="476" spans="1:52" x14ac:dyDescent="0.3">
      <c r="A476">
        <v>465</v>
      </c>
      <c r="B476" t="s">
        <v>1434</v>
      </c>
      <c r="C476" t="s">
        <v>152</v>
      </c>
      <c r="D476" t="s">
        <v>1435</v>
      </c>
      <c r="E476" t="s">
        <v>460</v>
      </c>
      <c r="F476" t="s">
        <v>408</v>
      </c>
      <c r="G476">
        <v>4000</v>
      </c>
      <c r="H476">
        <v>4001</v>
      </c>
      <c r="I476" t="s">
        <v>717</v>
      </c>
      <c r="J476">
        <v>4258</v>
      </c>
      <c r="K476">
        <v>4259</v>
      </c>
      <c r="L476" t="s">
        <v>1436</v>
      </c>
      <c r="M476">
        <v>3</v>
      </c>
      <c r="N476" t="s">
        <v>165</v>
      </c>
      <c r="O476" t="s">
        <v>165</v>
      </c>
      <c r="P476" t="s">
        <v>420</v>
      </c>
      <c r="Q476" t="s">
        <v>1437</v>
      </c>
      <c r="R476" t="s">
        <v>950</v>
      </c>
      <c r="S476">
        <v>2016</v>
      </c>
      <c r="T476">
        <v>11</v>
      </c>
      <c r="U476" t="s">
        <v>370</v>
      </c>
      <c r="V476" t="s">
        <v>408</v>
      </c>
      <c r="W476">
        <v>0</v>
      </c>
      <c r="X476">
        <v>0</v>
      </c>
      <c r="Y476" t="s">
        <v>408</v>
      </c>
      <c r="Z476">
        <v>2016</v>
      </c>
      <c r="AA476">
        <v>2016</v>
      </c>
      <c r="AB476" s="5">
        <v>0.40280067548800003</v>
      </c>
      <c r="AC476" s="5">
        <v>0.80560135097600005</v>
      </c>
      <c r="AD476" t="s">
        <v>408</v>
      </c>
      <c r="AE476" t="s">
        <v>152</v>
      </c>
      <c r="AF476" t="s">
        <v>408</v>
      </c>
      <c r="AG476" t="s">
        <v>408</v>
      </c>
      <c r="AH476" t="s">
        <v>408</v>
      </c>
      <c r="AI476" t="s">
        <v>408</v>
      </c>
      <c r="AJ476" t="s">
        <v>408</v>
      </c>
      <c r="AK476" t="s">
        <v>408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 s="58">
        <f t="shared" si="7"/>
        <v>1</v>
      </c>
      <c r="AU476" s="79">
        <v>43348</v>
      </c>
      <c r="AV476" t="s">
        <v>410</v>
      </c>
      <c r="AW476" t="s">
        <v>411</v>
      </c>
      <c r="AX476">
        <v>2</v>
      </c>
      <c r="AY476" t="s">
        <v>412</v>
      </c>
      <c r="AZ476" t="s">
        <v>408</v>
      </c>
    </row>
    <row r="477" spans="1:52" x14ac:dyDescent="0.3">
      <c r="A477">
        <v>466</v>
      </c>
      <c r="B477" t="s">
        <v>1296</v>
      </c>
      <c r="C477" t="s">
        <v>154</v>
      </c>
      <c r="D477" t="s">
        <v>1297</v>
      </c>
      <c r="E477" t="s">
        <v>466</v>
      </c>
      <c r="F477" t="s">
        <v>408</v>
      </c>
      <c r="G477">
        <v>2201</v>
      </c>
      <c r="H477">
        <v>2200</v>
      </c>
      <c r="I477" t="s">
        <v>1298</v>
      </c>
      <c r="J477">
        <v>3201</v>
      </c>
      <c r="K477">
        <v>3200</v>
      </c>
      <c r="L477" t="s">
        <v>434</v>
      </c>
      <c r="M477">
        <v>3</v>
      </c>
      <c r="N477" t="s">
        <v>167</v>
      </c>
      <c r="O477" t="s">
        <v>167</v>
      </c>
      <c r="P477" t="s">
        <v>420</v>
      </c>
      <c r="Q477" t="s">
        <v>408</v>
      </c>
      <c r="R477" t="s">
        <v>510</v>
      </c>
      <c r="S477">
        <v>2002</v>
      </c>
      <c r="T477">
        <v>7</v>
      </c>
      <c r="U477" t="s">
        <v>408</v>
      </c>
      <c r="V477" t="s">
        <v>487</v>
      </c>
      <c r="W477">
        <v>2020</v>
      </c>
      <c r="X477">
        <v>0</v>
      </c>
      <c r="Y477" t="s">
        <v>1438</v>
      </c>
      <c r="Z477">
        <v>2020</v>
      </c>
      <c r="AA477">
        <v>2008</v>
      </c>
      <c r="AB477" s="5">
        <v>1.2070029847799999</v>
      </c>
      <c r="AC477" s="5">
        <v>2.4140059695599998</v>
      </c>
      <c r="AD477" t="s">
        <v>408</v>
      </c>
      <c r="AE477" t="s">
        <v>152</v>
      </c>
      <c r="AF477" t="s">
        <v>408</v>
      </c>
      <c r="AG477" t="s">
        <v>408</v>
      </c>
      <c r="AH477" t="s">
        <v>408</v>
      </c>
      <c r="AI477" t="s">
        <v>408</v>
      </c>
      <c r="AJ477" t="s">
        <v>408</v>
      </c>
      <c r="AK477" t="s">
        <v>408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 s="58">
        <f t="shared" si="7"/>
        <v>1</v>
      </c>
      <c r="AU477" s="79" t="s">
        <v>592</v>
      </c>
      <c r="AV477" t="s">
        <v>410</v>
      </c>
      <c r="AW477" t="s">
        <v>408</v>
      </c>
      <c r="AX477">
        <v>2</v>
      </c>
      <c r="AY477" t="s">
        <v>412</v>
      </c>
      <c r="AZ477" t="s">
        <v>408</v>
      </c>
    </row>
    <row r="478" spans="1:52" x14ac:dyDescent="0.3">
      <c r="A478">
        <v>467</v>
      </c>
      <c r="B478" t="s">
        <v>557</v>
      </c>
      <c r="C478" t="s">
        <v>152</v>
      </c>
      <c r="D478" t="s">
        <v>558</v>
      </c>
      <c r="E478" t="s">
        <v>460</v>
      </c>
      <c r="F478" t="s">
        <v>408</v>
      </c>
      <c r="G478">
        <v>4000</v>
      </c>
      <c r="H478">
        <v>4001</v>
      </c>
      <c r="I478" t="s">
        <v>717</v>
      </c>
      <c r="J478">
        <v>4790</v>
      </c>
      <c r="K478">
        <v>4789</v>
      </c>
      <c r="L478" t="s">
        <v>826</v>
      </c>
      <c r="M478">
        <v>3</v>
      </c>
      <c r="N478" t="s">
        <v>170</v>
      </c>
      <c r="O478" t="s">
        <v>170</v>
      </c>
      <c r="P478" t="s">
        <v>420</v>
      </c>
      <c r="Q478" t="s">
        <v>1439</v>
      </c>
      <c r="R478" t="s">
        <v>547</v>
      </c>
      <c r="S478">
        <v>2017</v>
      </c>
      <c r="T478">
        <v>6</v>
      </c>
      <c r="U478" t="s">
        <v>1423</v>
      </c>
      <c r="V478" t="s">
        <v>408</v>
      </c>
      <c r="W478">
        <v>0</v>
      </c>
      <c r="X478">
        <v>0</v>
      </c>
      <c r="Y478" t="s">
        <v>408</v>
      </c>
      <c r="Z478">
        <v>2017</v>
      </c>
      <c r="AA478">
        <v>0</v>
      </c>
      <c r="AB478" s="5">
        <v>1.2203754230599999</v>
      </c>
      <c r="AC478" s="5">
        <v>2.4407508461199998</v>
      </c>
      <c r="AD478" t="s">
        <v>408</v>
      </c>
      <c r="AE478" t="s">
        <v>152</v>
      </c>
      <c r="AF478" t="s">
        <v>408</v>
      </c>
      <c r="AG478" t="s">
        <v>408</v>
      </c>
      <c r="AH478" t="s">
        <v>408</v>
      </c>
      <c r="AI478" t="s">
        <v>408</v>
      </c>
      <c r="AJ478" t="s">
        <v>408</v>
      </c>
      <c r="AK478" t="s">
        <v>408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 s="58">
        <f t="shared" si="7"/>
        <v>1</v>
      </c>
      <c r="AU478" s="79">
        <v>43347</v>
      </c>
      <c r="AV478" t="s">
        <v>410</v>
      </c>
      <c r="AW478" t="s">
        <v>408</v>
      </c>
      <c r="AX478">
        <v>2</v>
      </c>
      <c r="AY478" t="s">
        <v>412</v>
      </c>
      <c r="AZ478" t="s">
        <v>408</v>
      </c>
    </row>
    <row r="479" spans="1:52" x14ac:dyDescent="0.3">
      <c r="A479">
        <v>468</v>
      </c>
      <c r="B479" t="s">
        <v>1440</v>
      </c>
      <c r="C479" t="s">
        <v>154</v>
      </c>
      <c r="D479" t="s">
        <v>1441</v>
      </c>
      <c r="E479" t="s">
        <v>417</v>
      </c>
      <c r="F479" t="s">
        <v>408</v>
      </c>
      <c r="G479">
        <v>4900</v>
      </c>
      <c r="H479">
        <v>4901</v>
      </c>
      <c r="I479" t="s">
        <v>517</v>
      </c>
      <c r="J479">
        <v>4956</v>
      </c>
      <c r="K479">
        <v>4957</v>
      </c>
      <c r="L479" t="s">
        <v>711</v>
      </c>
      <c r="M479">
        <v>4</v>
      </c>
      <c r="N479" t="s">
        <v>167</v>
      </c>
      <c r="O479" t="s">
        <v>1442</v>
      </c>
      <c r="P479" t="s">
        <v>420</v>
      </c>
      <c r="Q479" t="s">
        <v>1309</v>
      </c>
      <c r="R479" t="s">
        <v>547</v>
      </c>
      <c r="S479">
        <v>2017</v>
      </c>
      <c r="T479">
        <v>9</v>
      </c>
      <c r="U479" t="s">
        <v>408</v>
      </c>
      <c r="V479" t="s">
        <v>408</v>
      </c>
      <c r="W479">
        <v>0</v>
      </c>
      <c r="X479">
        <v>0</v>
      </c>
      <c r="Y479" t="s">
        <v>408</v>
      </c>
      <c r="Z479">
        <v>2017</v>
      </c>
      <c r="AA479">
        <v>0</v>
      </c>
      <c r="AB479" s="5">
        <v>0.20189596816800001</v>
      </c>
      <c r="AC479" s="5">
        <v>0.40379193633600002</v>
      </c>
      <c r="AD479" t="s">
        <v>408</v>
      </c>
      <c r="AE479" t="s">
        <v>152</v>
      </c>
      <c r="AF479" t="s">
        <v>408</v>
      </c>
      <c r="AG479" t="s">
        <v>408</v>
      </c>
      <c r="AH479" t="s">
        <v>408</v>
      </c>
      <c r="AI479" t="s">
        <v>408</v>
      </c>
      <c r="AJ479" t="s">
        <v>408</v>
      </c>
      <c r="AK479" t="s">
        <v>408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s="58">
        <f t="shared" si="7"/>
        <v>1</v>
      </c>
      <c r="AU479" s="79">
        <v>43348</v>
      </c>
      <c r="AV479" s="78" t="s">
        <v>410</v>
      </c>
      <c r="AW479" t="s">
        <v>408</v>
      </c>
      <c r="AX479">
        <v>3</v>
      </c>
      <c r="AY479" t="s">
        <v>17</v>
      </c>
      <c r="AZ479">
        <v>20</v>
      </c>
    </row>
    <row r="480" spans="1:52" x14ac:dyDescent="0.3">
      <c r="A480">
        <v>469</v>
      </c>
      <c r="B480" t="s">
        <v>522</v>
      </c>
      <c r="C480" t="s">
        <v>152</v>
      </c>
      <c r="D480" t="s">
        <v>523</v>
      </c>
      <c r="E480" t="s">
        <v>460</v>
      </c>
      <c r="F480" t="s">
        <v>152</v>
      </c>
      <c r="G480">
        <v>6250</v>
      </c>
      <c r="H480">
        <v>6251</v>
      </c>
      <c r="I480" t="s">
        <v>1244</v>
      </c>
      <c r="J480">
        <v>6340</v>
      </c>
      <c r="K480">
        <v>6341</v>
      </c>
      <c r="L480" t="s">
        <v>1443</v>
      </c>
      <c r="M480">
        <v>4</v>
      </c>
      <c r="N480" t="s">
        <v>167</v>
      </c>
      <c r="O480" t="s">
        <v>167</v>
      </c>
      <c r="P480" t="s">
        <v>420</v>
      </c>
      <c r="Q480" t="s">
        <v>408</v>
      </c>
      <c r="R480" t="s">
        <v>497</v>
      </c>
      <c r="S480">
        <v>2003</v>
      </c>
      <c r="T480">
        <v>6</v>
      </c>
      <c r="U480" t="s">
        <v>1444</v>
      </c>
      <c r="V480" t="s">
        <v>1445</v>
      </c>
      <c r="W480">
        <v>2014</v>
      </c>
      <c r="X480">
        <v>4</v>
      </c>
      <c r="Y480" t="s">
        <v>370</v>
      </c>
      <c r="Z480">
        <v>2014</v>
      </c>
      <c r="AA480">
        <v>2014</v>
      </c>
      <c r="AB480" s="5">
        <v>0.12557957123399999</v>
      </c>
      <c r="AC480" s="5">
        <v>0.25115914246799997</v>
      </c>
      <c r="AD480" t="s">
        <v>408</v>
      </c>
      <c r="AE480" t="s">
        <v>152</v>
      </c>
      <c r="AF480" t="s">
        <v>408</v>
      </c>
      <c r="AG480" t="s">
        <v>408</v>
      </c>
      <c r="AH480" t="s">
        <v>408</v>
      </c>
      <c r="AI480" t="s">
        <v>408</v>
      </c>
      <c r="AJ480" t="s">
        <v>408</v>
      </c>
      <c r="AK480" t="s">
        <v>408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s="58">
        <f t="shared" si="7"/>
        <v>1</v>
      </c>
      <c r="AU480" s="79">
        <v>43335</v>
      </c>
      <c r="AV480" s="78" t="s">
        <v>410</v>
      </c>
      <c r="AW480" t="s">
        <v>408</v>
      </c>
      <c r="AX480">
        <v>3</v>
      </c>
      <c r="AY480" t="s">
        <v>17</v>
      </c>
      <c r="AZ480">
        <v>20</v>
      </c>
    </row>
    <row r="481" spans="1:52" x14ac:dyDescent="0.3">
      <c r="A481">
        <v>470</v>
      </c>
      <c r="B481" t="s">
        <v>693</v>
      </c>
      <c r="C481" t="s">
        <v>155</v>
      </c>
      <c r="D481" t="s">
        <v>694</v>
      </c>
      <c r="E481" t="s">
        <v>460</v>
      </c>
      <c r="F481" t="s">
        <v>408</v>
      </c>
      <c r="G481">
        <v>1800</v>
      </c>
      <c r="H481">
        <v>1801</v>
      </c>
      <c r="I481" t="s">
        <v>590</v>
      </c>
      <c r="J481">
        <v>1700</v>
      </c>
      <c r="K481">
        <v>1701</v>
      </c>
      <c r="L481" t="s">
        <v>1277</v>
      </c>
      <c r="M481">
        <v>3</v>
      </c>
      <c r="N481" t="s">
        <v>167</v>
      </c>
      <c r="O481" t="s">
        <v>167</v>
      </c>
      <c r="P481" t="s">
        <v>420</v>
      </c>
      <c r="Q481" t="s">
        <v>1397</v>
      </c>
      <c r="R481" t="s">
        <v>1221</v>
      </c>
      <c r="S481">
        <v>2015</v>
      </c>
      <c r="T481">
        <v>11</v>
      </c>
      <c r="U481" t="s">
        <v>370</v>
      </c>
      <c r="V481" t="s">
        <v>408</v>
      </c>
      <c r="W481">
        <v>0</v>
      </c>
      <c r="X481">
        <v>0</v>
      </c>
      <c r="Y481" t="s">
        <v>408</v>
      </c>
      <c r="Z481">
        <v>2021</v>
      </c>
      <c r="AA481">
        <v>2015</v>
      </c>
      <c r="AB481" s="5">
        <v>6.2762358643800004E-2</v>
      </c>
      <c r="AC481" s="5">
        <v>0.12552471728799999</v>
      </c>
      <c r="AD481" t="s">
        <v>408</v>
      </c>
      <c r="AE481" t="s">
        <v>152</v>
      </c>
      <c r="AF481" t="s">
        <v>408</v>
      </c>
      <c r="AG481" t="s">
        <v>408</v>
      </c>
      <c r="AH481" t="s">
        <v>408</v>
      </c>
      <c r="AI481" t="s">
        <v>408</v>
      </c>
      <c r="AJ481" t="s">
        <v>408</v>
      </c>
      <c r="AK481" t="s">
        <v>408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 s="58">
        <f t="shared" si="7"/>
        <v>1</v>
      </c>
      <c r="AU481" s="79" t="s">
        <v>768</v>
      </c>
      <c r="AV481" s="78" t="s">
        <v>410</v>
      </c>
      <c r="AW481" t="s">
        <v>400</v>
      </c>
      <c r="AX481">
        <v>2</v>
      </c>
      <c r="AY481" t="s">
        <v>412</v>
      </c>
      <c r="AZ481" t="s">
        <v>408</v>
      </c>
    </row>
    <row r="482" spans="1:52" x14ac:dyDescent="0.3">
      <c r="A482">
        <v>471</v>
      </c>
      <c r="B482" t="s">
        <v>1446</v>
      </c>
      <c r="C482" t="s">
        <v>447</v>
      </c>
      <c r="D482" t="s">
        <v>1447</v>
      </c>
      <c r="E482" t="s">
        <v>417</v>
      </c>
      <c r="F482" t="s">
        <v>408</v>
      </c>
      <c r="G482">
        <v>7101</v>
      </c>
      <c r="H482">
        <v>7100</v>
      </c>
      <c r="I482" t="s">
        <v>877</v>
      </c>
      <c r="J482">
        <v>628</v>
      </c>
      <c r="K482">
        <v>627</v>
      </c>
      <c r="L482" t="s">
        <v>1448</v>
      </c>
      <c r="M482">
        <v>2</v>
      </c>
      <c r="N482" t="s">
        <v>167</v>
      </c>
      <c r="O482" t="s">
        <v>167</v>
      </c>
      <c r="P482" t="s">
        <v>414</v>
      </c>
      <c r="Q482" t="s">
        <v>408</v>
      </c>
      <c r="R482" t="s">
        <v>748</v>
      </c>
      <c r="S482">
        <v>2003</v>
      </c>
      <c r="T482">
        <v>9</v>
      </c>
      <c r="U482" t="s">
        <v>408</v>
      </c>
      <c r="V482" t="s">
        <v>645</v>
      </c>
      <c r="W482">
        <v>2017</v>
      </c>
      <c r="X482">
        <v>6</v>
      </c>
      <c r="Y482" t="s">
        <v>408</v>
      </c>
      <c r="Z482">
        <v>2017</v>
      </c>
      <c r="AA482">
        <v>2001</v>
      </c>
      <c r="AB482" s="5">
        <v>0.81071082589200005</v>
      </c>
      <c r="AC482" s="5">
        <v>1.62142165178</v>
      </c>
      <c r="AD482" t="s">
        <v>408</v>
      </c>
      <c r="AE482" t="s">
        <v>152</v>
      </c>
      <c r="AF482" t="s">
        <v>408</v>
      </c>
      <c r="AG482" t="s">
        <v>408</v>
      </c>
      <c r="AH482" t="s">
        <v>408</v>
      </c>
      <c r="AI482" t="s">
        <v>408</v>
      </c>
      <c r="AJ482" t="s">
        <v>408</v>
      </c>
      <c r="AK482" t="s">
        <v>408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 s="58">
        <f t="shared" si="7"/>
        <v>1</v>
      </c>
      <c r="AU482" s="79">
        <v>43348</v>
      </c>
      <c r="AV482" s="78" t="s">
        <v>410</v>
      </c>
      <c r="AW482" t="s">
        <v>408</v>
      </c>
      <c r="AX482">
        <v>2</v>
      </c>
      <c r="AY482" t="s">
        <v>412</v>
      </c>
      <c r="AZ482" t="s">
        <v>408</v>
      </c>
    </row>
    <row r="483" spans="1:52" x14ac:dyDescent="0.3">
      <c r="A483">
        <v>472</v>
      </c>
      <c r="B483" t="s">
        <v>1446</v>
      </c>
      <c r="C483" t="s">
        <v>447</v>
      </c>
      <c r="D483" t="s">
        <v>1447</v>
      </c>
      <c r="E483" t="s">
        <v>417</v>
      </c>
      <c r="F483" t="s">
        <v>408</v>
      </c>
      <c r="G483">
        <v>7101</v>
      </c>
      <c r="H483">
        <v>7100</v>
      </c>
      <c r="I483" t="s">
        <v>512</v>
      </c>
      <c r="J483">
        <v>7167</v>
      </c>
      <c r="K483">
        <v>7168</v>
      </c>
      <c r="L483" t="s">
        <v>1449</v>
      </c>
      <c r="M483">
        <v>2</v>
      </c>
      <c r="N483" t="s">
        <v>167</v>
      </c>
      <c r="O483" t="s">
        <v>167</v>
      </c>
      <c r="P483" t="s">
        <v>414</v>
      </c>
      <c r="Q483" t="s">
        <v>408</v>
      </c>
      <c r="R483" t="s">
        <v>748</v>
      </c>
      <c r="S483">
        <v>2003</v>
      </c>
      <c r="T483">
        <v>9</v>
      </c>
      <c r="U483" t="s">
        <v>408</v>
      </c>
      <c r="V483" t="s">
        <v>1450</v>
      </c>
      <c r="W483">
        <v>2012</v>
      </c>
      <c r="X483">
        <v>8</v>
      </c>
      <c r="Y483" t="s">
        <v>370</v>
      </c>
      <c r="Z483">
        <v>2012</v>
      </c>
      <c r="AA483">
        <v>2012</v>
      </c>
      <c r="AB483" s="5">
        <v>0.15624067281000001</v>
      </c>
      <c r="AC483" s="5">
        <v>0.31248134562000002</v>
      </c>
      <c r="AD483" t="s">
        <v>408</v>
      </c>
      <c r="AE483" t="s">
        <v>152</v>
      </c>
      <c r="AF483" t="s">
        <v>408</v>
      </c>
      <c r="AG483" t="s">
        <v>408</v>
      </c>
      <c r="AH483" t="s">
        <v>408</v>
      </c>
      <c r="AI483" t="s">
        <v>408</v>
      </c>
      <c r="AJ483" t="s">
        <v>408</v>
      </c>
      <c r="AK483" t="s">
        <v>408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 s="58">
        <f t="shared" si="7"/>
        <v>1</v>
      </c>
      <c r="AU483" s="79">
        <v>43348</v>
      </c>
      <c r="AV483" s="78" t="s">
        <v>410</v>
      </c>
      <c r="AW483" t="s">
        <v>408</v>
      </c>
      <c r="AX483">
        <v>2</v>
      </c>
      <c r="AY483" t="s">
        <v>412</v>
      </c>
      <c r="AZ483" t="s">
        <v>408</v>
      </c>
    </row>
    <row r="484" spans="1:52" x14ac:dyDescent="0.3">
      <c r="A484">
        <v>473</v>
      </c>
      <c r="B484" t="s">
        <v>415</v>
      </c>
      <c r="C484" t="s">
        <v>154</v>
      </c>
      <c r="D484" t="s">
        <v>416</v>
      </c>
      <c r="E484" t="s">
        <v>417</v>
      </c>
      <c r="F484" t="s">
        <v>408</v>
      </c>
      <c r="G484">
        <v>551</v>
      </c>
      <c r="H484">
        <v>552</v>
      </c>
      <c r="I484" t="s">
        <v>865</v>
      </c>
      <c r="J484">
        <v>573</v>
      </c>
      <c r="K484">
        <v>572</v>
      </c>
      <c r="L484" t="s">
        <v>1451</v>
      </c>
      <c r="M484">
        <v>3</v>
      </c>
      <c r="N484" t="s">
        <v>167</v>
      </c>
      <c r="O484" t="s">
        <v>167</v>
      </c>
      <c r="P484" t="s">
        <v>414</v>
      </c>
      <c r="Q484" t="s">
        <v>408</v>
      </c>
      <c r="R484" t="s">
        <v>845</v>
      </c>
      <c r="S484">
        <v>2011</v>
      </c>
      <c r="T484">
        <v>11</v>
      </c>
      <c r="U484" t="s">
        <v>408</v>
      </c>
      <c r="V484" t="s">
        <v>866</v>
      </c>
      <c r="W484">
        <v>2021</v>
      </c>
      <c r="X484">
        <v>7</v>
      </c>
      <c r="Y484" t="s">
        <v>408</v>
      </c>
      <c r="Z484">
        <v>2021</v>
      </c>
      <c r="AA484">
        <v>2021</v>
      </c>
      <c r="AB484" s="5">
        <v>5.1319402047099998E-2</v>
      </c>
      <c r="AC484" s="5">
        <v>0.102638804094</v>
      </c>
      <c r="AD484" t="s">
        <v>400</v>
      </c>
      <c r="AE484" t="s">
        <v>152</v>
      </c>
      <c r="AF484" t="s">
        <v>400</v>
      </c>
      <c r="AG484" t="s">
        <v>400</v>
      </c>
      <c r="AH484" t="s">
        <v>400</v>
      </c>
      <c r="AI484" t="s">
        <v>400</v>
      </c>
      <c r="AJ484" t="s">
        <v>400</v>
      </c>
      <c r="AK484" t="s">
        <v>400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 s="58">
        <f t="shared" si="7"/>
        <v>1</v>
      </c>
      <c r="AU484" s="79" t="s">
        <v>768</v>
      </c>
      <c r="AV484" s="78" t="s">
        <v>410</v>
      </c>
      <c r="AW484" t="s">
        <v>408</v>
      </c>
      <c r="AX484">
        <v>2</v>
      </c>
      <c r="AY484" t="s">
        <v>412</v>
      </c>
      <c r="AZ484" t="s">
        <v>408</v>
      </c>
    </row>
    <row r="485" spans="1:52" x14ac:dyDescent="0.3">
      <c r="A485">
        <v>474</v>
      </c>
      <c r="B485" t="s">
        <v>415</v>
      </c>
      <c r="C485" t="s">
        <v>154</v>
      </c>
      <c r="D485" t="s">
        <v>416</v>
      </c>
      <c r="E485" t="s">
        <v>417</v>
      </c>
      <c r="F485" t="s">
        <v>408</v>
      </c>
      <c r="G485">
        <v>449</v>
      </c>
      <c r="H485">
        <v>446</v>
      </c>
      <c r="I485" t="s">
        <v>1451</v>
      </c>
      <c r="J485">
        <v>501</v>
      </c>
      <c r="K485">
        <v>500</v>
      </c>
      <c r="L485" t="s">
        <v>808</v>
      </c>
      <c r="M485">
        <v>3</v>
      </c>
      <c r="N485" t="s">
        <v>167</v>
      </c>
      <c r="O485" t="s">
        <v>167</v>
      </c>
      <c r="P485" t="s">
        <v>420</v>
      </c>
      <c r="Q485" t="s">
        <v>408</v>
      </c>
      <c r="R485" t="s">
        <v>845</v>
      </c>
      <c r="S485">
        <v>2011</v>
      </c>
      <c r="T485">
        <v>11</v>
      </c>
      <c r="U485" t="s">
        <v>408</v>
      </c>
      <c r="V485" t="s">
        <v>866</v>
      </c>
      <c r="W485">
        <v>2021</v>
      </c>
      <c r="X485">
        <v>7</v>
      </c>
      <c r="Y485" t="s">
        <v>408</v>
      </c>
      <c r="Z485">
        <v>2021</v>
      </c>
      <c r="AA485">
        <v>2021</v>
      </c>
      <c r="AB485" s="5">
        <v>9.9778035708899995E-2</v>
      </c>
      <c r="AC485" s="5">
        <v>0.199556071418</v>
      </c>
      <c r="AD485" t="s">
        <v>400</v>
      </c>
      <c r="AE485" t="s">
        <v>152</v>
      </c>
      <c r="AF485" t="s">
        <v>400</v>
      </c>
      <c r="AG485" t="s">
        <v>400</v>
      </c>
      <c r="AH485" t="s">
        <v>400</v>
      </c>
      <c r="AI485" t="s">
        <v>400</v>
      </c>
      <c r="AJ485" t="s">
        <v>400</v>
      </c>
      <c r="AK485" t="s">
        <v>400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 s="58">
        <f t="shared" si="7"/>
        <v>1</v>
      </c>
      <c r="AU485" s="79" t="s">
        <v>768</v>
      </c>
      <c r="AV485" t="s">
        <v>410</v>
      </c>
      <c r="AW485" t="s">
        <v>408</v>
      </c>
      <c r="AX485">
        <v>2</v>
      </c>
      <c r="AY485" t="s">
        <v>412</v>
      </c>
      <c r="AZ485" t="s">
        <v>408</v>
      </c>
    </row>
    <row r="486" spans="1:52" x14ac:dyDescent="0.3">
      <c r="A486">
        <v>475</v>
      </c>
      <c r="B486" t="s">
        <v>415</v>
      </c>
      <c r="C486" t="s">
        <v>447</v>
      </c>
      <c r="D486" t="s">
        <v>416</v>
      </c>
      <c r="E486" t="s">
        <v>417</v>
      </c>
      <c r="F486" t="s">
        <v>408</v>
      </c>
      <c r="G486">
        <v>100</v>
      </c>
      <c r="H486">
        <v>101</v>
      </c>
      <c r="I486" t="s">
        <v>905</v>
      </c>
      <c r="J486">
        <v>134</v>
      </c>
      <c r="K486">
        <v>135</v>
      </c>
      <c r="L486" t="s">
        <v>1317</v>
      </c>
      <c r="M486">
        <v>3</v>
      </c>
      <c r="N486" t="s">
        <v>165</v>
      </c>
      <c r="O486" t="s">
        <v>165</v>
      </c>
      <c r="P486" t="s">
        <v>403</v>
      </c>
      <c r="Q486" t="s">
        <v>1452</v>
      </c>
      <c r="R486" t="s">
        <v>645</v>
      </c>
      <c r="S486">
        <v>2017</v>
      </c>
      <c r="T486">
        <v>6</v>
      </c>
      <c r="U486" t="s">
        <v>1453</v>
      </c>
      <c r="V486" t="s">
        <v>408</v>
      </c>
      <c r="W486">
        <v>0</v>
      </c>
      <c r="X486">
        <v>0</v>
      </c>
      <c r="Y486" t="s">
        <v>408</v>
      </c>
      <c r="Z486">
        <v>2017</v>
      </c>
      <c r="AA486">
        <v>2015</v>
      </c>
      <c r="AB486" s="5">
        <v>8.2627757246099998E-2</v>
      </c>
      <c r="AC486" s="5">
        <v>0.16525551449199999</v>
      </c>
      <c r="AD486" t="s">
        <v>408</v>
      </c>
      <c r="AE486" t="s">
        <v>152</v>
      </c>
      <c r="AF486" t="s">
        <v>408</v>
      </c>
      <c r="AG486" t="s">
        <v>408</v>
      </c>
      <c r="AH486" t="s">
        <v>408</v>
      </c>
      <c r="AI486" t="s">
        <v>408</v>
      </c>
      <c r="AJ486" t="s">
        <v>408</v>
      </c>
      <c r="AK486" t="s">
        <v>408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 s="58">
        <f t="shared" si="7"/>
        <v>1</v>
      </c>
      <c r="AU486" s="79">
        <v>43328</v>
      </c>
      <c r="AV486" s="78" t="s">
        <v>410</v>
      </c>
      <c r="AW486" t="s">
        <v>152</v>
      </c>
      <c r="AX486">
        <v>2</v>
      </c>
      <c r="AY486" t="s">
        <v>412</v>
      </c>
      <c r="AZ486" t="s">
        <v>408</v>
      </c>
    </row>
    <row r="487" spans="1:52" x14ac:dyDescent="0.3">
      <c r="A487">
        <v>476</v>
      </c>
      <c r="B487" t="s">
        <v>693</v>
      </c>
      <c r="C487" t="s">
        <v>155</v>
      </c>
      <c r="D487" t="s">
        <v>694</v>
      </c>
      <c r="E487" t="s">
        <v>460</v>
      </c>
      <c r="F487" t="s">
        <v>408</v>
      </c>
      <c r="G487">
        <v>7600</v>
      </c>
      <c r="H487">
        <v>7601</v>
      </c>
      <c r="I487" t="s">
        <v>600</v>
      </c>
      <c r="J487">
        <v>7100</v>
      </c>
      <c r="K487">
        <v>7101</v>
      </c>
      <c r="L487" t="s">
        <v>1454</v>
      </c>
      <c r="M487">
        <v>3</v>
      </c>
      <c r="N487" t="s">
        <v>165</v>
      </c>
      <c r="O487" t="s">
        <v>165</v>
      </c>
      <c r="P487" t="s">
        <v>420</v>
      </c>
      <c r="Q487" t="s">
        <v>1455</v>
      </c>
      <c r="R487" t="s">
        <v>703</v>
      </c>
      <c r="S487">
        <v>2014</v>
      </c>
      <c r="T487">
        <v>9</v>
      </c>
      <c r="U487" t="s">
        <v>408</v>
      </c>
      <c r="V487" t="s">
        <v>866</v>
      </c>
      <c r="W487">
        <v>2021</v>
      </c>
      <c r="X487">
        <v>6</v>
      </c>
      <c r="Y487" t="s">
        <v>408</v>
      </c>
      <c r="Z487">
        <v>2021</v>
      </c>
      <c r="AA487">
        <v>2021</v>
      </c>
      <c r="AB487" s="5">
        <v>0.62913098259900002</v>
      </c>
      <c r="AC487" s="5">
        <v>1.2582619652</v>
      </c>
      <c r="AD487" t="s">
        <v>408</v>
      </c>
      <c r="AE487" t="s">
        <v>152</v>
      </c>
      <c r="AF487" t="s">
        <v>408</v>
      </c>
      <c r="AG487" t="s">
        <v>408</v>
      </c>
      <c r="AH487" t="s">
        <v>408</v>
      </c>
      <c r="AI487" t="s">
        <v>408</v>
      </c>
      <c r="AJ487" t="s">
        <v>408</v>
      </c>
      <c r="AK487" t="s">
        <v>408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0.75</v>
      </c>
      <c r="AR487">
        <v>0.25</v>
      </c>
      <c r="AS487">
        <v>0</v>
      </c>
      <c r="AT487" s="58">
        <f t="shared" si="7"/>
        <v>1</v>
      </c>
      <c r="AU487" s="79" t="s">
        <v>768</v>
      </c>
      <c r="AV487" s="78" t="s">
        <v>410</v>
      </c>
      <c r="AW487" t="s">
        <v>152</v>
      </c>
      <c r="AX487">
        <v>2</v>
      </c>
      <c r="AY487" t="s">
        <v>412</v>
      </c>
      <c r="AZ487" t="s">
        <v>408</v>
      </c>
    </row>
    <row r="488" spans="1:52" x14ac:dyDescent="0.3">
      <c r="A488">
        <v>477</v>
      </c>
      <c r="B488" t="s">
        <v>693</v>
      </c>
      <c r="C488" t="s">
        <v>155</v>
      </c>
      <c r="D488" t="s">
        <v>694</v>
      </c>
      <c r="E488" t="s">
        <v>460</v>
      </c>
      <c r="F488" t="s">
        <v>408</v>
      </c>
      <c r="G488">
        <v>6900</v>
      </c>
      <c r="H488">
        <v>6901</v>
      </c>
      <c r="I488" t="s">
        <v>520</v>
      </c>
      <c r="J488">
        <v>6300</v>
      </c>
      <c r="K488">
        <v>6301</v>
      </c>
      <c r="L488" t="s">
        <v>1035</v>
      </c>
      <c r="M488">
        <v>3</v>
      </c>
      <c r="N488" t="s">
        <v>165</v>
      </c>
      <c r="O488" t="s">
        <v>165</v>
      </c>
      <c r="P488" t="s">
        <v>403</v>
      </c>
      <c r="Q488" t="s">
        <v>1456</v>
      </c>
      <c r="R488" t="s">
        <v>703</v>
      </c>
      <c r="S488">
        <v>2014</v>
      </c>
      <c r="T488">
        <v>9</v>
      </c>
      <c r="U488" t="s">
        <v>408</v>
      </c>
      <c r="V488" t="s">
        <v>511</v>
      </c>
      <c r="W488">
        <v>2018</v>
      </c>
      <c r="X488">
        <v>8</v>
      </c>
      <c r="Y488" t="s">
        <v>408</v>
      </c>
      <c r="Z488">
        <v>2018</v>
      </c>
      <c r="AA488">
        <v>2002</v>
      </c>
      <c r="AB488" s="5">
        <v>0.813339014902</v>
      </c>
      <c r="AC488" s="5">
        <v>1.6266780298000001</v>
      </c>
      <c r="AD488" t="s">
        <v>408</v>
      </c>
      <c r="AE488" t="s">
        <v>152</v>
      </c>
      <c r="AF488" t="s">
        <v>408</v>
      </c>
      <c r="AG488" t="s">
        <v>408</v>
      </c>
      <c r="AH488" t="s">
        <v>408</v>
      </c>
      <c r="AI488" t="s">
        <v>408</v>
      </c>
      <c r="AJ488" t="s">
        <v>408</v>
      </c>
      <c r="AK488" t="s">
        <v>408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 s="58">
        <f t="shared" si="7"/>
        <v>1</v>
      </c>
      <c r="AU488" s="79">
        <v>43340</v>
      </c>
      <c r="AV488" s="78" t="s">
        <v>410</v>
      </c>
      <c r="AW488" t="s">
        <v>152</v>
      </c>
      <c r="AX488">
        <v>2</v>
      </c>
      <c r="AY488" t="s">
        <v>412</v>
      </c>
      <c r="AZ488" t="s">
        <v>408</v>
      </c>
    </row>
    <row r="489" spans="1:52" x14ac:dyDescent="0.3">
      <c r="A489">
        <v>478</v>
      </c>
      <c r="B489" t="s">
        <v>693</v>
      </c>
      <c r="C489" t="s">
        <v>152</v>
      </c>
      <c r="D489" t="s">
        <v>694</v>
      </c>
      <c r="E489" t="s">
        <v>460</v>
      </c>
      <c r="F489" t="s">
        <v>408</v>
      </c>
      <c r="G489">
        <v>1941</v>
      </c>
      <c r="H489">
        <v>1940</v>
      </c>
      <c r="I489" t="s">
        <v>685</v>
      </c>
      <c r="J489">
        <v>4958</v>
      </c>
      <c r="K489">
        <v>4959</v>
      </c>
      <c r="L489" t="s">
        <v>1457</v>
      </c>
      <c r="M489">
        <v>3</v>
      </c>
      <c r="N489" t="s">
        <v>167</v>
      </c>
      <c r="O489" t="s">
        <v>167</v>
      </c>
      <c r="P489" t="s">
        <v>420</v>
      </c>
      <c r="Q489" t="s">
        <v>408</v>
      </c>
      <c r="R489" t="s">
        <v>1399</v>
      </c>
      <c r="S489">
        <v>2000</v>
      </c>
      <c r="T489">
        <v>10</v>
      </c>
      <c r="U489" t="s">
        <v>408</v>
      </c>
      <c r="V489" t="s">
        <v>513</v>
      </c>
      <c r="W489">
        <v>2017</v>
      </c>
      <c r="X489">
        <v>10</v>
      </c>
      <c r="Y489" t="s">
        <v>370</v>
      </c>
      <c r="Z489">
        <v>2017</v>
      </c>
      <c r="AA489">
        <v>2017</v>
      </c>
      <c r="AB489" s="5">
        <v>0.75523290199600002</v>
      </c>
      <c r="AC489" s="5">
        <v>1.5104658039900001</v>
      </c>
      <c r="AD489" t="s">
        <v>408</v>
      </c>
      <c r="AE489" t="s">
        <v>152</v>
      </c>
      <c r="AF489" t="s">
        <v>408</v>
      </c>
      <c r="AG489" t="s">
        <v>408</v>
      </c>
      <c r="AH489" t="s">
        <v>408</v>
      </c>
      <c r="AI489" t="s">
        <v>408</v>
      </c>
      <c r="AJ489" t="s">
        <v>408</v>
      </c>
      <c r="AK489" t="s">
        <v>408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s="58">
        <f t="shared" si="7"/>
        <v>1</v>
      </c>
      <c r="AU489" s="79">
        <v>43340</v>
      </c>
      <c r="AV489" t="s">
        <v>410</v>
      </c>
      <c r="AW489" t="s">
        <v>408</v>
      </c>
      <c r="AX489">
        <v>2</v>
      </c>
      <c r="AY489" t="s">
        <v>412</v>
      </c>
      <c r="AZ489" t="s">
        <v>408</v>
      </c>
    </row>
    <row r="490" spans="1:52" x14ac:dyDescent="0.3">
      <c r="A490">
        <v>479</v>
      </c>
      <c r="B490" t="s">
        <v>693</v>
      </c>
      <c r="C490" t="s">
        <v>152</v>
      </c>
      <c r="D490" t="s">
        <v>694</v>
      </c>
      <c r="E490" t="s">
        <v>460</v>
      </c>
      <c r="F490" t="s">
        <v>408</v>
      </c>
      <c r="G490">
        <v>1939</v>
      </c>
      <c r="H490">
        <v>1938</v>
      </c>
      <c r="I490" t="s">
        <v>1019</v>
      </c>
      <c r="J490">
        <v>1973</v>
      </c>
      <c r="K490">
        <v>1974</v>
      </c>
      <c r="L490" t="s">
        <v>1458</v>
      </c>
      <c r="M490">
        <v>4</v>
      </c>
      <c r="N490" t="s">
        <v>167</v>
      </c>
      <c r="O490" t="s">
        <v>167</v>
      </c>
      <c r="P490" t="s">
        <v>420</v>
      </c>
      <c r="Q490" t="s">
        <v>408</v>
      </c>
      <c r="R490" t="s">
        <v>1399</v>
      </c>
      <c r="S490">
        <v>2000</v>
      </c>
      <c r="T490">
        <v>10</v>
      </c>
      <c r="U490" t="s">
        <v>408</v>
      </c>
      <c r="V490" t="s">
        <v>1126</v>
      </c>
      <c r="W490">
        <v>2001</v>
      </c>
      <c r="X490">
        <v>9</v>
      </c>
      <c r="Y490" t="s">
        <v>370</v>
      </c>
      <c r="Z490">
        <v>2001</v>
      </c>
      <c r="AA490">
        <v>2001</v>
      </c>
      <c r="AB490" s="5">
        <v>0.25108817677099998</v>
      </c>
      <c r="AC490" s="5">
        <v>0.50217635354199996</v>
      </c>
      <c r="AD490" t="s">
        <v>408</v>
      </c>
      <c r="AE490" t="s">
        <v>152</v>
      </c>
      <c r="AF490" t="s">
        <v>408</v>
      </c>
      <c r="AG490" t="s">
        <v>408</v>
      </c>
      <c r="AH490" t="s">
        <v>408</v>
      </c>
      <c r="AI490" t="s">
        <v>408</v>
      </c>
      <c r="AJ490" t="s">
        <v>408</v>
      </c>
      <c r="AK490" t="s">
        <v>408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s="58">
        <f t="shared" si="7"/>
        <v>1</v>
      </c>
      <c r="AU490" s="79">
        <v>43340</v>
      </c>
      <c r="AV490" s="78" t="s">
        <v>410</v>
      </c>
      <c r="AW490" t="s">
        <v>408</v>
      </c>
      <c r="AX490">
        <v>2</v>
      </c>
      <c r="AY490" t="s">
        <v>412</v>
      </c>
      <c r="AZ490" t="s">
        <v>408</v>
      </c>
    </row>
    <row r="491" spans="1:52" x14ac:dyDescent="0.3">
      <c r="A491">
        <v>480</v>
      </c>
      <c r="B491" t="s">
        <v>693</v>
      </c>
      <c r="C491" t="s">
        <v>152</v>
      </c>
      <c r="D491" t="s">
        <v>694</v>
      </c>
      <c r="E491" t="s">
        <v>460</v>
      </c>
      <c r="F491" t="s">
        <v>408</v>
      </c>
      <c r="G491">
        <v>1901</v>
      </c>
      <c r="H491">
        <v>1900</v>
      </c>
      <c r="I491" t="s">
        <v>628</v>
      </c>
      <c r="J491">
        <v>1959</v>
      </c>
      <c r="K491">
        <v>1958</v>
      </c>
      <c r="L491" t="s">
        <v>870</v>
      </c>
      <c r="M491">
        <v>3</v>
      </c>
      <c r="N491" t="s">
        <v>167</v>
      </c>
      <c r="O491" t="s">
        <v>167</v>
      </c>
      <c r="P491" t="s">
        <v>420</v>
      </c>
      <c r="Q491" t="s">
        <v>408</v>
      </c>
      <c r="R491" t="s">
        <v>1126</v>
      </c>
      <c r="S491">
        <v>2001</v>
      </c>
      <c r="T491">
        <v>9</v>
      </c>
      <c r="U491" t="s">
        <v>408</v>
      </c>
      <c r="V491" t="s">
        <v>556</v>
      </c>
      <c r="W491">
        <v>2012</v>
      </c>
      <c r="X491">
        <v>10</v>
      </c>
      <c r="Y491" t="s">
        <v>370</v>
      </c>
      <c r="Z491">
        <v>2012</v>
      </c>
      <c r="AA491">
        <v>2012</v>
      </c>
      <c r="AB491" s="5">
        <v>0.40325475315499998</v>
      </c>
      <c r="AC491" s="5">
        <v>0.80650950630999996</v>
      </c>
      <c r="AD491" t="s">
        <v>408</v>
      </c>
      <c r="AE491" t="s">
        <v>152</v>
      </c>
      <c r="AF491" t="s">
        <v>408</v>
      </c>
      <c r="AG491" t="s">
        <v>408</v>
      </c>
      <c r="AH491" t="s">
        <v>408</v>
      </c>
      <c r="AI491" t="s">
        <v>408</v>
      </c>
      <c r="AJ491" t="s">
        <v>408</v>
      </c>
      <c r="AK491" t="s">
        <v>408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 s="58">
        <f t="shared" si="7"/>
        <v>1</v>
      </c>
      <c r="AU491" s="79">
        <v>43340</v>
      </c>
      <c r="AV491" s="78" t="s">
        <v>410</v>
      </c>
      <c r="AW491" t="s">
        <v>408</v>
      </c>
      <c r="AX491">
        <v>2</v>
      </c>
      <c r="AY491" t="s">
        <v>412</v>
      </c>
      <c r="AZ491" t="s">
        <v>408</v>
      </c>
    </row>
    <row r="492" spans="1:52" x14ac:dyDescent="0.3">
      <c r="A492">
        <v>481</v>
      </c>
      <c r="B492" t="s">
        <v>693</v>
      </c>
      <c r="C492" t="s">
        <v>152</v>
      </c>
      <c r="D492" t="s">
        <v>694</v>
      </c>
      <c r="E492" t="s">
        <v>460</v>
      </c>
      <c r="F492" t="s">
        <v>408</v>
      </c>
      <c r="G492">
        <v>1200</v>
      </c>
      <c r="H492">
        <v>1201</v>
      </c>
      <c r="I492" t="s">
        <v>699</v>
      </c>
      <c r="J492">
        <v>500</v>
      </c>
      <c r="K492">
        <v>501</v>
      </c>
      <c r="L492" t="s">
        <v>870</v>
      </c>
      <c r="M492">
        <v>3</v>
      </c>
      <c r="N492" t="s">
        <v>167</v>
      </c>
      <c r="O492" t="s">
        <v>167</v>
      </c>
      <c r="P492" t="s">
        <v>420</v>
      </c>
      <c r="Q492" t="s">
        <v>408</v>
      </c>
      <c r="R492" t="s">
        <v>510</v>
      </c>
      <c r="S492">
        <v>2002</v>
      </c>
      <c r="T492">
        <v>8</v>
      </c>
      <c r="U492" t="s">
        <v>408</v>
      </c>
      <c r="V492" t="s">
        <v>556</v>
      </c>
      <c r="W492">
        <v>2012</v>
      </c>
      <c r="X492">
        <v>10</v>
      </c>
      <c r="Y492" t="s">
        <v>370</v>
      </c>
      <c r="Z492">
        <v>2012</v>
      </c>
      <c r="AA492">
        <v>2012</v>
      </c>
      <c r="AB492" s="5">
        <v>0.85374267799000003</v>
      </c>
      <c r="AC492" s="5">
        <v>1.7074853559800001</v>
      </c>
      <c r="AD492" t="s">
        <v>408</v>
      </c>
      <c r="AE492" t="s">
        <v>152</v>
      </c>
      <c r="AF492" t="s">
        <v>408</v>
      </c>
      <c r="AG492" t="s">
        <v>408</v>
      </c>
      <c r="AH492" t="s">
        <v>408</v>
      </c>
      <c r="AI492" t="s">
        <v>408</v>
      </c>
      <c r="AJ492" t="s">
        <v>408</v>
      </c>
      <c r="AK492" t="s">
        <v>408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 s="58">
        <f t="shared" si="7"/>
        <v>1</v>
      </c>
      <c r="AU492" s="79" t="s">
        <v>431</v>
      </c>
      <c r="AV492" t="s">
        <v>410</v>
      </c>
      <c r="AW492" t="s">
        <v>408</v>
      </c>
      <c r="AX492">
        <v>2</v>
      </c>
      <c r="AY492" t="s">
        <v>412</v>
      </c>
      <c r="AZ492" t="s">
        <v>408</v>
      </c>
    </row>
    <row r="493" spans="1:52" x14ac:dyDescent="0.3">
      <c r="A493">
        <v>482</v>
      </c>
      <c r="B493" t="s">
        <v>667</v>
      </c>
      <c r="C493" t="s">
        <v>154</v>
      </c>
      <c r="D493" t="s">
        <v>668</v>
      </c>
      <c r="E493" t="s">
        <v>460</v>
      </c>
      <c r="F493" t="s">
        <v>408</v>
      </c>
      <c r="G493">
        <v>2700</v>
      </c>
      <c r="H493">
        <v>2701</v>
      </c>
      <c r="I493" t="s">
        <v>1052</v>
      </c>
      <c r="J493">
        <v>2758</v>
      </c>
      <c r="K493">
        <v>2759</v>
      </c>
      <c r="L493" t="s">
        <v>1046</v>
      </c>
      <c r="M493">
        <v>3</v>
      </c>
      <c r="N493" t="s">
        <v>167</v>
      </c>
      <c r="O493" t="s">
        <v>167</v>
      </c>
      <c r="P493" t="s">
        <v>420</v>
      </c>
      <c r="Q493" t="s">
        <v>408</v>
      </c>
      <c r="R493" t="s">
        <v>910</v>
      </c>
      <c r="S493">
        <v>2002</v>
      </c>
      <c r="T493">
        <v>9</v>
      </c>
      <c r="U493" t="s">
        <v>408</v>
      </c>
      <c r="V493" t="s">
        <v>469</v>
      </c>
      <c r="W493">
        <v>2018</v>
      </c>
      <c r="X493">
        <v>5</v>
      </c>
      <c r="Y493" t="s">
        <v>408</v>
      </c>
      <c r="Z493">
        <v>2018</v>
      </c>
      <c r="AA493">
        <v>2002</v>
      </c>
      <c r="AB493" s="5">
        <v>0.25475608307399999</v>
      </c>
      <c r="AC493" s="5">
        <v>0.50951216614799999</v>
      </c>
      <c r="AD493" t="s">
        <v>408</v>
      </c>
      <c r="AE493" t="s">
        <v>152</v>
      </c>
      <c r="AF493" t="s">
        <v>408</v>
      </c>
      <c r="AG493" t="s">
        <v>408</v>
      </c>
      <c r="AH493" t="s">
        <v>408</v>
      </c>
      <c r="AI493" t="s">
        <v>408</v>
      </c>
      <c r="AJ493" t="s">
        <v>408</v>
      </c>
      <c r="AK493" t="s">
        <v>408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s="58">
        <f t="shared" si="7"/>
        <v>1</v>
      </c>
      <c r="AU493" s="79">
        <v>43339</v>
      </c>
      <c r="AV493" s="78" t="s">
        <v>410</v>
      </c>
      <c r="AW493" t="s">
        <v>408</v>
      </c>
      <c r="AX493">
        <v>2</v>
      </c>
      <c r="AY493" t="s">
        <v>412</v>
      </c>
      <c r="AZ493" t="s">
        <v>408</v>
      </c>
    </row>
    <row r="494" spans="1:52" x14ac:dyDescent="0.3">
      <c r="A494">
        <v>483</v>
      </c>
      <c r="B494" t="s">
        <v>477</v>
      </c>
      <c r="C494" t="s">
        <v>152</v>
      </c>
      <c r="D494" t="s">
        <v>478</v>
      </c>
      <c r="E494" t="s">
        <v>417</v>
      </c>
      <c r="F494" t="s">
        <v>408</v>
      </c>
      <c r="G494">
        <v>717</v>
      </c>
      <c r="H494">
        <v>716</v>
      </c>
      <c r="I494" t="s">
        <v>628</v>
      </c>
      <c r="J494">
        <v>741</v>
      </c>
      <c r="K494">
        <v>740</v>
      </c>
      <c r="L494" t="s">
        <v>1459</v>
      </c>
      <c r="M494">
        <v>2</v>
      </c>
      <c r="N494" t="s">
        <v>170</v>
      </c>
      <c r="O494" t="s">
        <v>170</v>
      </c>
      <c r="P494" t="s">
        <v>403</v>
      </c>
      <c r="Q494" t="s">
        <v>408</v>
      </c>
      <c r="R494" t="s">
        <v>408</v>
      </c>
      <c r="S494">
        <v>1999</v>
      </c>
      <c r="T494">
        <v>10</v>
      </c>
      <c r="U494" t="s">
        <v>408</v>
      </c>
      <c r="V494" t="s">
        <v>692</v>
      </c>
      <c r="W494">
        <v>2014</v>
      </c>
      <c r="X494">
        <v>12</v>
      </c>
      <c r="Y494" t="s">
        <v>408</v>
      </c>
      <c r="Z494">
        <v>2014</v>
      </c>
      <c r="AA494">
        <v>2014</v>
      </c>
      <c r="AB494" s="5">
        <v>7.8195727223699996E-2</v>
      </c>
      <c r="AC494" s="5">
        <v>0.15639145444700001</v>
      </c>
      <c r="AD494" t="s">
        <v>408</v>
      </c>
      <c r="AE494" t="s">
        <v>152</v>
      </c>
      <c r="AF494" t="s">
        <v>408</v>
      </c>
      <c r="AG494" t="s">
        <v>408</v>
      </c>
      <c r="AH494" t="s">
        <v>408</v>
      </c>
      <c r="AI494" t="s">
        <v>408</v>
      </c>
      <c r="AJ494" t="s">
        <v>408</v>
      </c>
      <c r="AK494" t="s">
        <v>408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</v>
      </c>
      <c r="AT494" s="58">
        <f t="shared" si="7"/>
        <v>1</v>
      </c>
      <c r="AU494" s="79" t="s">
        <v>784</v>
      </c>
      <c r="AV494" s="78" t="s">
        <v>410</v>
      </c>
      <c r="AW494" t="s">
        <v>152</v>
      </c>
      <c r="AX494">
        <v>2</v>
      </c>
      <c r="AY494" t="s">
        <v>412</v>
      </c>
      <c r="AZ494" t="s">
        <v>408</v>
      </c>
    </row>
    <row r="495" spans="1:52" x14ac:dyDescent="0.3">
      <c r="A495">
        <v>484</v>
      </c>
      <c r="B495" t="s">
        <v>477</v>
      </c>
      <c r="C495" t="s">
        <v>152</v>
      </c>
      <c r="D495" t="s">
        <v>478</v>
      </c>
      <c r="E495" t="s">
        <v>417</v>
      </c>
      <c r="F495" t="s">
        <v>408</v>
      </c>
      <c r="G495">
        <v>431</v>
      </c>
      <c r="H495">
        <v>430</v>
      </c>
      <c r="I495" t="s">
        <v>947</v>
      </c>
      <c r="J495">
        <v>741</v>
      </c>
      <c r="K495">
        <v>740</v>
      </c>
      <c r="L495" t="s">
        <v>1460</v>
      </c>
      <c r="M495">
        <v>2</v>
      </c>
      <c r="N495" t="s">
        <v>165</v>
      </c>
      <c r="O495" t="s">
        <v>165</v>
      </c>
      <c r="P495" t="s">
        <v>403</v>
      </c>
      <c r="Q495" t="s">
        <v>1461</v>
      </c>
      <c r="R495" t="s">
        <v>692</v>
      </c>
      <c r="S495">
        <v>2014</v>
      </c>
      <c r="T495">
        <v>12</v>
      </c>
      <c r="U495" t="s">
        <v>1462</v>
      </c>
      <c r="V495" t="s">
        <v>511</v>
      </c>
      <c r="W495">
        <v>2018</v>
      </c>
      <c r="X495">
        <v>8</v>
      </c>
      <c r="Y495" t="s">
        <v>408</v>
      </c>
      <c r="Z495">
        <v>2018</v>
      </c>
      <c r="AA495">
        <v>2014</v>
      </c>
      <c r="AB495" s="5">
        <v>0.22747684370599999</v>
      </c>
      <c r="AC495" s="5">
        <v>0.45495368741199999</v>
      </c>
      <c r="AD495" t="s">
        <v>408</v>
      </c>
      <c r="AE495" t="s">
        <v>152</v>
      </c>
      <c r="AF495" t="s">
        <v>408</v>
      </c>
      <c r="AG495" t="s">
        <v>408</v>
      </c>
      <c r="AH495" t="s">
        <v>408</v>
      </c>
      <c r="AI495" t="s">
        <v>408</v>
      </c>
      <c r="AJ495" t="s">
        <v>408</v>
      </c>
      <c r="AK495" t="s">
        <v>411</v>
      </c>
      <c r="AL495">
        <v>2017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 s="58">
        <f t="shared" si="7"/>
        <v>1</v>
      </c>
      <c r="AU495" s="79">
        <v>43334</v>
      </c>
      <c r="AV495" t="s">
        <v>410</v>
      </c>
      <c r="AW495" t="s">
        <v>152</v>
      </c>
      <c r="AX495">
        <v>2</v>
      </c>
      <c r="AY495" t="s">
        <v>412</v>
      </c>
      <c r="AZ495" t="s">
        <v>408</v>
      </c>
    </row>
    <row r="496" spans="1:52" x14ac:dyDescent="0.3">
      <c r="A496">
        <v>485</v>
      </c>
      <c r="B496" t="s">
        <v>563</v>
      </c>
      <c r="C496" t="s">
        <v>447</v>
      </c>
      <c r="D496" t="s">
        <v>564</v>
      </c>
      <c r="E496" t="s">
        <v>460</v>
      </c>
      <c r="F496" t="s">
        <v>154</v>
      </c>
      <c r="G496">
        <v>500</v>
      </c>
      <c r="H496">
        <v>501</v>
      </c>
      <c r="I496" t="s">
        <v>751</v>
      </c>
      <c r="J496">
        <v>520</v>
      </c>
      <c r="K496">
        <v>521</v>
      </c>
      <c r="L496" t="s">
        <v>930</v>
      </c>
      <c r="M496">
        <v>3</v>
      </c>
      <c r="N496" t="s">
        <v>167</v>
      </c>
      <c r="O496" t="s">
        <v>167</v>
      </c>
      <c r="P496" t="s">
        <v>414</v>
      </c>
      <c r="Q496" t="s">
        <v>408</v>
      </c>
      <c r="R496" t="s">
        <v>547</v>
      </c>
      <c r="S496">
        <v>2010</v>
      </c>
      <c r="T496">
        <v>11</v>
      </c>
      <c r="U496" t="s">
        <v>408</v>
      </c>
      <c r="V496" t="s">
        <v>487</v>
      </c>
      <c r="W496">
        <v>2020</v>
      </c>
      <c r="X496">
        <v>0</v>
      </c>
      <c r="Y496" t="s">
        <v>408</v>
      </c>
      <c r="Z496">
        <v>2020</v>
      </c>
      <c r="AA496">
        <v>2012</v>
      </c>
      <c r="AB496" s="5">
        <v>0.46563726592600002</v>
      </c>
      <c r="AC496" s="5">
        <v>0.46563726592600002</v>
      </c>
      <c r="AD496" t="s">
        <v>408</v>
      </c>
      <c r="AE496" t="s">
        <v>411</v>
      </c>
      <c r="AF496" t="s">
        <v>154</v>
      </c>
      <c r="AG496" t="s">
        <v>152</v>
      </c>
      <c r="AH496" t="s">
        <v>408</v>
      </c>
      <c r="AI496" t="s">
        <v>408</v>
      </c>
      <c r="AJ496" t="s">
        <v>408</v>
      </c>
      <c r="AK496" t="s">
        <v>408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 s="58">
        <f t="shared" si="7"/>
        <v>1</v>
      </c>
      <c r="AU496" s="79" t="s">
        <v>488</v>
      </c>
      <c r="AV496" s="78" t="s">
        <v>410</v>
      </c>
      <c r="AW496" t="s">
        <v>408</v>
      </c>
      <c r="AX496">
        <v>2</v>
      </c>
      <c r="AY496" t="s">
        <v>412</v>
      </c>
      <c r="AZ496" t="s">
        <v>408</v>
      </c>
    </row>
    <row r="497" spans="1:52" x14ac:dyDescent="0.3">
      <c r="A497">
        <v>486</v>
      </c>
      <c r="B497" t="s">
        <v>563</v>
      </c>
      <c r="C497" t="s">
        <v>447</v>
      </c>
      <c r="D497" t="s">
        <v>564</v>
      </c>
      <c r="E497" t="s">
        <v>460</v>
      </c>
      <c r="F497" t="s">
        <v>154</v>
      </c>
      <c r="G497">
        <v>500</v>
      </c>
      <c r="H497">
        <v>501</v>
      </c>
      <c r="I497" t="s">
        <v>930</v>
      </c>
      <c r="J497">
        <v>520</v>
      </c>
      <c r="K497">
        <v>521</v>
      </c>
      <c r="L497" t="s">
        <v>1463</v>
      </c>
      <c r="M497">
        <v>3</v>
      </c>
      <c r="N497" t="s">
        <v>167</v>
      </c>
      <c r="O497" t="s">
        <v>167</v>
      </c>
      <c r="P497" t="s">
        <v>414</v>
      </c>
      <c r="Q497" t="s">
        <v>408</v>
      </c>
      <c r="R497" t="s">
        <v>547</v>
      </c>
      <c r="S497">
        <v>2010</v>
      </c>
      <c r="T497">
        <v>11</v>
      </c>
      <c r="U497" t="s">
        <v>408</v>
      </c>
      <c r="V497" t="s">
        <v>487</v>
      </c>
      <c r="W497">
        <v>2020</v>
      </c>
      <c r="X497">
        <v>0</v>
      </c>
      <c r="Y497" t="s">
        <v>408</v>
      </c>
      <c r="Z497">
        <v>2020</v>
      </c>
      <c r="AA497">
        <v>2013</v>
      </c>
      <c r="AB497" s="5">
        <v>0.17933287853900001</v>
      </c>
      <c r="AC497" s="5">
        <v>0.17933287853900001</v>
      </c>
      <c r="AD497" t="s">
        <v>408</v>
      </c>
      <c r="AE497" t="s">
        <v>411</v>
      </c>
      <c r="AF497" t="s">
        <v>154</v>
      </c>
      <c r="AG497" t="s">
        <v>152</v>
      </c>
      <c r="AH497" t="s">
        <v>408</v>
      </c>
      <c r="AI497" t="s">
        <v>408</v>
      </c>
      <c r="AJ497" t="s">
        <v>408</v>
      </c>
      <c r="AK497" t="s">
        <v>408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 s="58">
        <f t="shared" si="7"/>
        <v>1</v>
      </c>
      <c r="AU497" s="79" t="s">
        <v>488</v>
      </c>
      <c r="AV497" s="78" t="s">
        <v>410</v>
      </c>
      <c r="AW497" t="s">
        <v>408</v>
      </c>
      <c r="AX497">
        <v>2</v>
      </c>
      <c r="AY497" t="s">
        <v>412</v>
      </c>
      <c r="AZ497" t="s">
        <v>408</v>
      </c>
    </row>
    <row r="498" spans="1:52" x14ac:dyDescent="0.3">
      <c r="A498">
        <v>487</v>
      </c>
      <c r="B498" t="s">
        <v>477</v>
      </c>
      <c r="C498" t="s">
        <v>155</v>
      </c>
      <c r="D498" t="s">
        <v>478</v>
      </c>
      <c r="E498" t="s">
        <v>417</v>
      </c>
      <c r="F498" t="s">
        <v>408</v>
      </c>
      <c r="G498">
        <v>753</v>
      </c>
      <c r="H498">
        <v>758</v>
      </c>
      <c r="I498" t="s">
        <v>961</v>
      </c>
      <c r="J498">
        <v>2499</v>
      </c>
      <c r="K498">
        <v>2498</v>
      </c>
      <c r="L498" t="s">
        <v>1464</v>
      </c>
      <c r="M498">
        <v>2</v>
      </c>
      <c r="N498" t="s">
        <v>163</v>
      </c>
      <c r="O498" t="s">
        <v>163</v>
      </c>
      <c r="P498" t="s">
        <v>403</v>
      </c>
      <c r="Q498" t="s">
        <v>1465</v>
      </c>
      <c r="R498" t="s">
        <v>885</v>
      </c>
      <c r="S498">
        <v>2013</v>
      </c>
      <c r="T498">
        <v>10</v>
      </c>
      <c r="U498" t="s">
        <v>408</v>
      </c>
      <c r="V498" t="s">
        <v>662</v>
      </c>
      <c r="W498">
        <v>2016</v>
      </c>
      <c r="X498">
        <v>6</v>
      </c>
      <c r="Y498" t="s">
        <v>370</v>
      </c>
      <c r="Z498">
        <v>2016</v>
      </c>
      <c r="AA498">
        <v>2016</v>
      </c>
      <c r="AB498" s="5">
        <v>0.129134286573</v>
      </c>
      <c r="AC498" s="5">
        <v>0.25826857314599999</v>
      </c>
      <c r="AD498" t="s">
        <v>400</v>
      </c>
      <c r="AE498" t="s">
        <v>152</v>
      </c>
      <c r="AF498" t="s">
        <v>400</v>
      </c>
      <c r="AG498" t="s">
        <v>400</v>
      </c>
      <c r="AH498" t="s">
        <v>408</v>
      </c>
      <c r="AI498" t="s">
        <v>470</v>
      </c>
      <c r="AJ498" t="s">
        <v>400</v>
      </c>
      <c r="AK498" t="s">
        <v>408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 s="58">
        <f t="shared" si="7"/>
        <v>1</v>
      </c>
      <c r="AU498" s="79" t="s">
        <v>602</v>
      </c>
      <c r="AV498" s="78" t="s">
        <v>410</v>
      </c>
      <c r="AW498" t="s">
        <v>411</v>
      </c>
      <c r="AX498">
        <v>1</v>
      </c>
      <c r="AY498" t="s">
        <v>412</v>
      </c>
      <c r="AZ498" t="s">
        <v>408</v>
      </c>
    </row>
    <row r="499" spans="1:52" x14ac:dyDescent="0.3">
      <c r="A499">
        <v>488</v>
      </c>
      <c r="B499" t="s">
        <v>477</v>
      </c>
      <c r="C499" t="s">
        <v>155</v>
      </c>
      <c r="D499" t="s">
        <v>478</v>
      </c>
      <c r="E499" t="s">
        <v>417</v>
      </c>
      <c r="F499" t="s">
        <v>408</v>
      </c>
      <c r="G499">
        <v>2475</v>
      </c>
      <c r="H499">
        <v>2476</v>
      </c>
      <c r="I499" t="s">
        <v>1464</v>
      </c>
      <c r="J499">
        <v>2373</v>
      </c>
      <c r="K499">
        <v>2372</v>
      </c>
      <c r="L499" t="s">
        <v>1466</v>
      </c>
      <c r="M499">
        <v>2</v>
      </c>
      <c r="N499" t="s">
        <v>163</v>
      </c>
      <c r="O499" t="s">
        <v>163</v>
      </c>
      <c r="P499" t="s">
        <v>420</v>
      </c>
      <c r="Q499" t="s">
        <v>1467</v>
      </c>
      <c r="R499" t="s">
        <v>885</v>
      </c>
      <c r="S499">
        <v>2013</v>
      </c>
      <c r="T499">
        <v>10</v>
      </c>
      <c r="U499" t="s">
        <v>1468</v>
      </c>
      <c r="V499" t="s">
        <v>695</v>
      </c>
      <c r="W499">
        <v>2020</v>
      </c>
      <c r="X499">
        <v>0</v>
      </c>
      <c r="Y499" t="s">
        <v>370</v>
      </c>
      <c r="Z499">
        <v>2020</v>
      </c>
      <c r="AA499">
        <v>2020</v>
      </c>
      <c r="AB499" s="5">
        <v>0.213800214702</v>
      </c>
      <c r="AC499" s="5">
        <v>0.427600429404</v>
      </c>
      <c r="AD499" t="s">
        <v>408</v>
      </c>
      <c r="AE499" t="s">
        <v>152</v>
      </c>
      <c r="AF499" t="s">
        <v>408</v>
      </c>
      <c r="AG499" t="s">
        <v>408</v>
      </c>
      <c r="AH499" t="s">
        <v>408</v>
      </c>
      <c r="AI499" t="s">
        <v>470</v>
      </c>
      <c r="AJ499" t="s">
        <v>400</v>
      </c>
      <c r="AK499" t="s">
        <v>411</v>
      </c>
      <c r="AL499">
        <v>2013</v>
      </c>
      <c r="AM499">
        <v>0</v>
      </c>
      <c r="AN499">
        <v>0</v>
      </c>
      <c r="AO499">
        <v>0</v>
      </c>
      <c r="AP499">
        <v>0</v>
      </c>
      <c r="AQ499">
        <v>0.67</v>
      </c>
      <c r="AR499">
        <v>0</v>
      </c>
      <c r="AS499">
        <v>0.33</v>
      </c>
      <c r="AT499" s="58">
        <f t="shared" si="7"/>
        <v>1</v>
      </c>
      <c r="AU499" s="79" t="s">
        <v>602</v>
      </c>
      <c r="AV499" s="78" t="s">
        <v>410</v>
      </c>
      <c r="AW499" t="s">
        <v>411</v>
      </c>
      <c r="AX499">
        <v>1</v>
      </c>
      <c r="AY499" t="s">
        <v>412</v>
      </c>
      <c r="AZ499" t="s">
        <v>408</v>
      </c>
    </row>
    <row r="500" spans="1:52" x14ac:dyDescent="0.3">
      <c r="A500">
        <v>489</v>
      </c>
      <c r="B500" t="s">
        <v>477</v>
      </c>
      <c r="C500" t="s">
        <v>155</v>
      </c>
      <c r="D500" t="s">
        <v>478</v>
      </c>
      <c r="E500" t="s">
        <v>417</v>
      </c>
      <c r="F500" t="s">
        <v>408</v>
      </c>
      <c r="G500">
        <v>2200</v>
      </c>
      <c r="H500">
        <v>2201</v>
      </c>
      <c r="I500" t="s">
        <v>492</v>
      </c>
      <c r="J500">
        <v>2350</v>
      </c>
      <c r="K500">
        <v>2351</v>
      </c>
      <c r="L500" t="s">
        <v>1469</v>
      </c>
      <c r="M500">
        <v>2</v>
      </c>
      <c r="N500" t="s">
        <v>167</v>
      </c>
      <c r="O500" t="s">
        <v>167</v>
      </c>
      <c r="P500" t="s">
        <v>414</v>
      </c>
      <c r="Q500" t="s">
        <v>408</v>
      </c>
      <c r="R500" t="s">
        <v>885</v>
      </c>
      <c r="S500">
        <v>2013</v>
      </c>
      <c r="T500">
        <v>10</v>
      </c>
      <c r="U500" t="s">
        <v>408</v>
      </c>
      <c r="V500" t="s">
        <v>695</v>
      </c>
      <c r="W500">
        <v>2020</v>
      </c>
      <c r="X500">
        <v>0</v>
      </c>
      <c r="Y500" t="s">
        <v>370</v>
      </c>
      <c r="Z500">
        <v>2020</v>
      </c>
      <c r="AA500">
        <v>2020</v>
      </c>
      <c r="AB500" s="5">
        <v>0.16242020344700001</v>
      </c>
      <c r="AC500" s="5">
        <v>0.32484040689400001</v>
      </c>
      <c r="AD500" t="s">
        <v>408</v>
      </c>
      <c r="AE500" t="s">
        <v>152</v>
      </c>
      <c r="AF500" t="s">
        <v>408</v>
      </c>
      <c r="AG500" t="s">
        <v>408</v>
      </c>
      <c r="AH500" t="s">
        <v>408</v>
      </c>
      <c r="AI500" t="s">
        <v>408</v>
      </c>
      <c r="AJ500" t="s">
        <v>408</v>
      </c>
      <c r="AK500" t="s">
        <v>408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 s="58">
        <f t="shared" si="7"/>
        <v>1</v>
      </c>
      <c r="AU500" s="79" t="s">
        <v>431</v>
      </c>
      <c r="AV500" s="78" t="s">
        <v>410</v>
      </c>
      <c r="AW500" t="s">
        <v>408</v>
      </c>
      <c r="AX500">
        <v>2</v>
      </c>
      <c r="AY500" t="s">
        <v>412</v>
      </c>
      <c r="AZ500" t="s">
        <v>408</v>
      </c>
    </row>
    <row r="501" spans="1:52" x14ac:dyDescent="0.3">
      <c r="A501">
        <v>490</v>
      </c>
      <c r="B501" t="s">
        <v>477</v>
      </c>
      <c r="C501" t="s">
        <v>155</v>
      </c>
      <c r="D501" t="s">
        <v>478</v>
      </c>
      <c r="E501" t="s">
        <v>417</v>
      </c>
      <c r="F501" t="s">
        <v>408</v>
      </c>
      <c r="G501">
        <v>1600</v>
      </c>
      <c r="H501">
        <v>1601</v>
      </c>
      <c r="I501" t="s">
        <v>1278</v>
      </c>
      <c r="J501">
        <v>2200</v>
      </c>
      <c r="K501">
        <v>2201</v>
      </c>
      <c r="L501" t="s">
        <v>492</v>
      </c>
      <c r="M501">
        <v>2</v>
      </c>
      <c r="N501" t="s">
        <v>167</v>
      </c>
      <c r="O501" t="s">
        <v>167</v>
      </c>
      <c r="P501" t="s">
        <v>403</v>
      </c>
      <c r="Q501" t="s">
        <v>1470</v>
      </c>
      <c r="R501" t="s">
        <v>885</v>
      </c>
      <c r="S501">
        <v>2013</v>
      </c>
      <c r="T501">
        <v>10</v>
      </c>
      <c r="U501" t="s">
        <v>1471</v>
      </c>
      <c r="V501" t="s">
        <v>695</v>
      </c>
      <c r="W501">
        <v>2020</v>
      </c>
      <c r="X501">
        <v>0</v>
      </c>
      <c r="Y501" t="s">
        <v>370</v>
      </c>
      <c r="Z501">
        <v>2020</v>
      </c>
      <c r="AA501">
        <v>2020</v>
      </c>
      <c r="AB501" s="5">
        <v>0.50151727669900004</v>
      </c>
      <c r="AC501" s="5">
        <v>1.0030345534</v>
      </c>
      <c r="AD501" t="s">
        <v>408</v>
      </c>
      <c r="AE501" t="s">
        <v>152</v>
      </c>
      <c r="AF501" t="s">
        <v>408</v>
      </c>
      <c r="AG501" t="s">
        <v>408</v>
      </c>
      <c r="AH501" t="s">
        <v>408</v>
      </c>
      <c r="AI501" t="s">
        <v>408</v>
      </c>
      <c r="AJ501" t="s">
        <v>408</v>
      </c>
      <c r="AK501" t="s">
        <v>411</v>
      </c>
      <c r="AL501">
        <v>2013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 s="58">
        <f t="shared" si="7"/>
        <v>1</v>
      </c>
      <c r="AU501" s="79" t="s">
        <v>431</v>
      </c>
      <c r="AV501" s="78" t="s">
        <v>410</v>
      </c>
      <c r="AW501" t="s">
        <v>408</v>
      </c>
      <c r="AX501">
        <v>2</v>
      </c>
      <c r="AY501" t="s">
        <v>412</v>
      </c>
      <c r="AZ501" t="s">
        <v>408</v>
      </c>
    </row>
    <row r="502" spans="1:52" x14ac:dyDescent="0.3">
      <c r="A502">
        <v>491</v>
      </c>
      <c r="B502" t="s">
        <v>464</v>
      </c>
      <c r="C502" t="s">
        <v>154</v>
      </c>
      <c r="D502" t="s">
        <v>465</v>
      </c>
      <c r="E502" t="s">
        <v>466</v>
      </c>
      <c r="F502" t="s">
        <v>447</v>
      </c>
      <c r="G502">
        <v>1757</v>
      </c>
      <c r="H502">
        <v>1760</v>
      </c>
      <c r="I502" t="s">
        <v>583</v>
      </c>
      <c r="J502">
        <v>1601</v>
      </c>
      <c r="K502">
        <v>1600</v>
      </c>
      <c r="L502" t="s">
        <v>813</v>
      </c>
      <c r="M502">
        <v>4</v>
      </c>
      <c r="N502" t="s">
        <v>165</v>
      </c>
      <c r="O502" t="s">
        <v>165</v>
      </c>
      <c r="P502" t="s">
        <v>420</v>
      </c>
      <c r="Q502" t="s">
        <v>1472</v>
      </c>
      <c r="R502" t="s">
        <v>445</v>
      </c>
      <c r="S502">
        <v>2012</v>
      </c>
      <c r="T502">
        <v>12</v>
      </c>
      <c r="U502" t="s">
        <v>452</v>
      </c>
      <c r="V502" t="s">
        <v>408</v>
      </c>
      <c r="W502">
        <v>0</v>
      </c>
      <c r="X502">
        <v>0</v>
      </c>
      <c r="Y502" t="s">
        <v>408</v>
      </c>
      <c r="Z502">
        <v>2012</v>
      </c>
      <c r="AA502">
        <v>0</v>
      </c>
      <c r="AB502" s="5">
        <v>0.206699267238</v>
      </c>
      <c r="AC502" s="5">
        <v>0.206699267238</v>
      </c>
      <c r="AD502" t="s">
        <v>408</v>
      </c>
      <c r="AE502" t="s">
        <v>411</v>
      </c>
      <c r="AF502" t="s">
        <v>447</v>
      </c>
      <c r="AG502" t="s">
        <v>152</v>
      </c>
      <c r="AH502" t="s">
        <v>408</v>
      </c>
      <c r="AI502" t="s">
        <v>408</v>
      </c>
      <c r="AJ502" t="s">
        <v>408</v>
      </c>
      <c r="AK502" t="s">
        <v>408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 s="58">
        <f t="shared" si="7"/>
        <v>1</v>
      </c>
      <c r="AU502" s="79" t="s">
        <v>488</v>
      </c>
      <c r="AV502" s="78" t="s">
        <v>410</v>
      </c>
      <c r="AW502" t="s">
        <v>152</v>
      </c>
      <c r="AX502">
        <v>2</v>
      </c>
      <c r="AY502" t="s">
        <v>412</v>
      </c>
      <c r="AZ502" t="s">
        <v>408</v>
      </c>
    </row>
    <row r="503" spans="1:52" x14ac:dyDescent="0.3">
      <c r="A503">
        <v>492</v>
      </c>
      <c r="B503" t="s">
        <v>464</v>
      </c>
      <c r="C503" t="s">
        <v>154</v>
      </c>
      <c r="D503" t="s">
        <v>465</v>
      </c>
      <c r="E503" t="s">
        <v>466</v>
      </c>
      <c r="F503" t="s">
        <v>447</v>
      </c>
      <c r="G503">
        <v>1501</v>
      </c>
      <c r="H503">
        <v>1500</v>
      </c>
      <c r="I503" t="s">
        <v>1473</v>
      </c>
      <c r="J503">
        <v>801</v>
      </c>
      <c r="K503">
        <v>800</v>
      </c>
      <c r="L503" t="s">
        <v>814</v>
      </c>
      <c r="M503">
        <v>4</v>
      </c>
      <c r="N503" t="s">
        <v>165</v>
      </c>
      <c r="O503" t="s">
        <v>165</v>
      </c>
      <c r="P503" t="s">
        <v>414</v>
      </c>
      <c r="Q503" t="s">
        <v>408</v>
      </c>
      <c r="R503" t="s">
        <v>445</v>
      </c>
      <c r="S503">
        <v>2012</v>
      </c>
      <c r="T503">
        <v>12</v>
      </c>
      <c r="U503" t="s">
        <v>408</v>
      </c>
      <c r="V503" t="s">
        <v>487</v>
      </c>
      <c r="W503">
        <v>2020</v>
      </c>
      <c r="X503">
        <v>0</v>
      </c>
      <c r="Y503" t="s">
        <v>1474</v>
      </c>
      <c r="Z503">
        <v>2020</v>
      </c>
      <c r="AA503">
        <v>2015</v>
      </c>
      <c r="AB503" s="5">
        <v>0.88121641565999997</v>
      </c>
      <c r="AC503" s="5">
        <v>0.88121641565999997</v>
      </c>
      <c r="AD503" t="s">
        <v>408</v>
      </c>
      <c r="AE503" t="s">
        <v>411</v>
      </c>
      <c r="AF503" t="s">
        <v>447</v>
      </c>
      <c r="AG503" t="s">
        <v>152</v>
      </c>
      <c r="AH503" t="s">
        <v>408</v>
      </c>
      <c r="AI503" t="s">
        <v>408</v>
      </c>
      <c r="AJ503" t="s">
        <v>408</v>
      </c>
      <c r="AK503" t="s">
        <v>408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 s="58">
        <f t="shared" si="7"/>
        <v>1</v>
      </c>
      <c r="AU503" s="79" t="s">
        <v>488</v>
      </c>
      <c r="AV503" s="78" t="s">
        <v>410</v>
      </c>
      <c r="AW503" t="s">
        <v>152</v>
      </c>
      <c r="AX503">
        <v>2</v>
      </c>
      <c r="AY503" t="s">
        <v>412</v>
      </c>
      <c r="AZ503" t="s">
        <v>408</v>
      </c>
    </row>
    <row r="504" spans="1:52" x14ac:dyDescent="0.3">
      <c r="A504">
        <v>493</v>
      </c>
      <c r="B504" t="s">
        <v>432</v>
      </c>
      <c r="C504" t="s">
        <v>154</v>
      </c>
      <c r="D504" t="s">
        <v>433</v>
      </c>
      <c r="E504" t="s">
        <v>417</v>
      </c>
      <c r="F504" t="s">
        <v>408</v>
      </c>
      <c r="G504">
        <v>300</v>
      </c>
      <c r="H504">
        <v>301</v>
      </c>
      <c r="I504" t="s">
        <v>1303</v>
      </c>
      <c r="J504">
        <v>348</v>
      </c>
      <c r="K504">
        <v>347</v>
      </c>
      <c r="L504" t="s">
        <v>1069</v>
      </c>
      <c r="M504">
        <v>3</v>
      </c>
      <c r="N504" t="s">
        <v>163</v>
      </c>
      <c r="O504" t="s">
        <v>163</v>
      </c>
      <c r="P504" t="s">
        <v>420</v>
      </c>
      <c r="Q504" t="s">
        <v>1302</v>
      </c>
      <c r="R504" t="s">
        <v>1194</v>
      </c>
      <c r="S504">
        <v>2014</v>
      </c>
      <c r="T504">
        <v>10</v>
      </c>
      <c r="U504" t="s">
        <v>1475</v>
      </c>
      <c r="V504" t="s">
        <v>408</v>
      </c>
      <c r="W504">
        <v>0</v>
      </c>
      <c r="X504">
        <v>0</v>
      </c>
      <c r="Y504" t="s">
        <v>408</v>
      </c>
      <c r="Z504">
        <v>2014</v>
      </c>
      <c r="AA504">
        <v>2014</v>
      </c>
      <c r="AB504" s="5">
        <v>0.410724000348</v>
      </c>
      <c r="AC504" s="5">
        <v>0.82144800069599999</v>
      </c>
      <c r="AD504" t="s">
        <v>400</v>
      </c>
      <c r="AE504" t="s">
        <v>152</v>
      </c>
      <c r="AF504" t="s">
        <v>400</v>
      </c>
      <c r="AG504" t="s">
        <v>400</v>
      </c>
      <c r="AH504" t="s">
        <v>408</v>
      </c>
      <c r="AI504" t="s">
        <v>456</v>
      </c>
      <c r="AJ504" t="s">
        <v>400</v>
      </c>
      <c r="AK504" t="s">
        <v>408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 s="58">
        <f t="shared" si="7"/>
        <v>1</v>
      </c>
      <c r="AU504" s="79" t="s">
        <v>457</v>
      </c>
      <c r="AV504" t="s">
        <v>410</v>
      </c>
      <c r="AW504" t="s">
        <v>411</v>
      </c>
      <c r="AX504">
        <v>1</v>
      </c>
      <c r="AY504" t="s">
        <v>412</v>
      </c>
      <c r="AZ504" t="s">
        <v>408</v>
      </c>
    </row>
    <row r="505" spans="1:52" x14ac:dyDescent="0.3">
      <c r="A505">
        <v>494</v>
      </c>
      <c r="B505" t="s">
        <v>432</v>
      </c>
      <c r="C505" t="s">
        <v>154</v>
      </c>
      <c r="D505" t="s">
        <v>433</v>
      </c>
      <c r="E505" t="s">
        <v>417</v>
      </c>
      <c r="F505" t="s">
        <v>408</v>
      </c>
      <c r="G505">
        <v>300</v>
      </c>
      <c r="H505">
        <v>301</v>
      </c>
      <c r="I505" t="s">
        <v>1069</v>
      </c>
      <c r="J505">
        <v>0</v>
      </c>
      <c r="K505">
        <v>0</v>
      </c>
      <c r="L505" t="s">
        <v>669</v>
      </c>
      <c r="M505">
        <v>3</v>
      </c>
      <c r="N505" t="s">
        <v>163</v>
      </c>
      <c r="O505" t="s">
        <v>163</v>
      </c>
      <c r="P505" t="s">
        <v>420</v>
      </c>
      <c r="Q505" t="s">
        <v>1476</v>
      </c>
      <c r="R505" t="s">
        <v>692</v>
      </c>
      <c r="S505">
        <v>2014</v>
      </c>
      <c r="T505">
        <v>9</v>
      </c>
      <c r="U505" t="s">
        <v>1477</v>
      </c>
      <c r="V505" t="s">
        <v>408</v>
      </c>
      <c r="W505">
        <v>0</v>
      </c>
      <c r="X505">
        <v>0</v>
      </c>
      <c r="Y505" t="s">
        <v>408</v>
      </c>
      <c r="Z505">
        <v>2014</v>
      </c>
      <c r="AA505">
        <v>2014</v>
      </c>
      <c r="AB505" s="5">
        <v>1.5269479421200001</v>
      </c>
      <c r="AC505" s="5">
        <v>3.0538958842300001</v>
      </c>
      <c r="AD505" t="s">
        <v>400</v>
      </c>
      <c r="AE505" t="s">
        <v>152</v>
      </c>
      <c r="AF505" t="s">
        <v>400</v>
      </c>
      <c r="AG505" t="s">
        <v>400</v>
      </c>
      <c r="AH505" t="s">
        <v>408</v>
      </c>
      <c r="AI505" t="s">
        <v>470</v>
      </c>
      <c r="AJ505" t="s">
        <v>400</v>
      </c>
      <c r="AK505" t="s">
        <v>408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s="58">
        <f t="shared" si="7"/>
        <v>1</v>
      </c>
      <c r="AU505" s="79" t="s">
        <v>457</v>
      </c>
      <c r="AV505" s="78" t="s">
        <v>410</v>
      </c>
      <c r="AW505" t="s">
        <v>411</v>
      </c>
      <c r="AX505">
        <v>1</v>
      </c>
      <c r="AY505" t="s">
        <v>412</v>
      </c>
      <c r="AZ505" t="s">
        <v>408</v>
      </c>
    </row>
    <row r="506" spans="1:52" x14ac:dyDescent="0.3">
      <c r="A506">
        <v>495</v>
      </c>
      <c r="B506" t="s">
        <v>709</v>
      </c>
      <c r="C506" t="s">
        <v>154</v>
      </c>
      <c r="D506" t="s">
        <v>710</v>
      </c>
      <c r="E506" t="s">
        <v>460</v>
      </c>
      <c r="F506" t="s">
        <v>408</v>
      </c>
      <c r="G506">
        <v>4450</v>
      </c>
      <c r="H506">
        <v>4451</v>
      </c>
      <c r="I506" t="s">
        <v>1478</v>
      </c>
      <c r="J506">
        <v>3600</v>
      </c>
      <c r="K506">
        <v>3601</v>
      </c>
      <c r="L506" t="s">
        <v>1052</v>
      </c>
      <c r="M506">
        <v>2</v>
      </c>
      <c r="N506" t="s">
        <v>165</v>
      </c>
      <c r="O506" t="s">
        <v>165</v>
      </c>
      <c r="P506" t="s">
        <v>403</v>
      </c>
      <c r="Q506" t="s">
        <v>1479</v>
      </c>
      <c r="R506" t="s">
        <v>942</v>
      </c>
      <c r="S506">
        <v>2015</v>
      </c>
      <c r="T506">
        <v>7</v>
      </c>
      <c r="U506" t="s">
        <v>1480</v>
      </c>
      <c r="V506" t="s">
        <v>408</v>
      </c>
      <c r="W506">
        <v>0</v>
      </c>
      <c r="X506">
        <v>0</v>
      </c>
      <c r="Y506" t="s">
        <v>408</v>
      </c>
      <c r="Z506">
        <v>2015</v>
      </c>
      <c r="AA506">
        <v>2007</v>
      </c>
      <c r="AB506" s="5">
        <v>1.1223661945200001</v>
      </c>
      <c r="AC506" s="5">
        <v>2.2447323890400002</v>
      </c>
      <c r="AD506" t="s">
        <v>408</v>
      </c>
      <c r="AE506" t="s">
        <v>152</v>
      </c>
      <c r="AF506" t="s">
        <v>408</v>
      </c>
      <c r="AG506" t="s">
        <v>408</v>
      </c>
      <c r="AH506" t="s">
        <v>408</v>
      </c>
      <c r="AI506" t="s">
        <v>408</v>
      </c>
      <c r="AJ506" t="s">
        <v>408</v>
      </c>
      <c r="AK506" t="s">
        <v>411</v>
      </c>
      <c r="AL506">
        <v>2015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 s="58">
        <f t="shared" si="7"/>
        <v>1</v>
      </c>
      <c r="AU506" s="79" t="s">
        <v>431</v>
      </c>
      <c r="AV506" t="s">
        <v>410</v>
      </c>
      <c r="AW506" t="s">
        <v>152</v>
      </c>
      <c r="AX506">
        <v>2</v>
      </c>
      <c r="AY506" t="s">
        <v>412</v>
      </c>
      <c r="AZ506" t="s">
        <v>408</v>
      </c>
    </row>
    <row r="507" spans="1:52" x14ac:dyDescent="0.3">
      <c r="A507">
        <v>496</v>
      </c>
      <c r="B507" t="s">
        <v>397</v>
      </c>
      <c r="C507" t="s">
        <v>154</v>
      </c>
      <c r="D507" t="s">
        <v>398</v>
      </c>
      <c r="E507" t="s">
        <v>399</v>
      </c>
      <c r="F507" t="s">
        <v>408</v>
      </c>
      <c r="G507">
        <v>6701</v>
      </c>
      <c r="H507">
        <v>6700</v>
      </c>
      <c r="I507" t="s">
        <v>418</v>
      </c>
      <c r="J507">
        <v>6759</v>
      </c>
      <c r="K507">
        <v>6758</v>
      </c>
      <c r="L507" t="s">
        <v>813</v>
      </c>
      <c r="M507">
        <v>3</v>
      </c>
      <c r="N507" t="s">
        <v>167</v>
      </c>
      <c r="O507" t="s">
        <v>167</v>
      </c>
      <c r="P507" t="s">
        <v>420</v>
      </c>
      <c r="Q507" t="s">
        <v>408</v>
      </c>
      <c r="R507" t="s">
        <v>497</v>
      </c>
      <c r="S507">
        <v>2003</v>
      </c>
      <c r="T507">
        <v>7</v>
      </c>
      <c r="U507" t="s">
        <v>408</v>
      </c>
      <c r="V507" t="s">
        <v>778</v>
      </c>
      <c r="W507">
        <v>2015</v>
      </c>
      <c r="X507">
        <v>11</v>
      </c>
      <c r="Y507" t="s">
        <v>370</v>
      </c>
      <c r="Z507">
        <v>2015</v>
      </c>
      <c r="AA507">
        <v>2015</v>
      </c>
      <c r="AB507" s="5">
        <v>0.50079402704800002</v>
      </c>
      <c r="AC507" s="5">
        <v>1.0015880541</v>
      </c>
      <c r="AD507" t="s">
        <v>408</v>
      </c>
      <c r="AE507" t="s">
        <v>152</v>
      </c>
      <c r="AF507" t="s">
        <v>408</v>
      </c>
      <c r="AG507" t="s">
        <v>408</v>
      </c>
      <c r="AH507" t="s">
        <v>408</v>
      </c>
      <c r="AI507" t="s">
        <v>408</v>
      </c>
      <c r="AJ507" t="s">
        <v>408</v>
      </c>
      <c r="AK507" t="s">
        <v>408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 s="58">
        <f t="shared" si="7"/>
        <v>1</v>
      </c>
      <c r="AU507" s="79">
        <v>43320</v>
      </c>
      <c r="AV507" t="s">
        <v>410</v>
      </c>
      <c r="AW507" t="s">
        <v>408</v>
      </c>
      <c r="AX507">
        <v>2</v>
      </c>
      <c r="AY507" t="s">
        <v>412</v>
      </c>
      <c r="AZ507" t="s">
        <v>408</v>
      </c>
    </row>
    <row r="508" spans="1:52" x14ac:dyDescent="0.3">
      <c r="A508">
        <v>497</v>
      </c>
      <c r="B508" t="s">
        <v>1293</v>
      </c>
      <c r="C508" t="s">
        <v>447</v>
      </c>
      <c r="D508" t="s">
        <v>1294</v>
      </c>
      <c r="E508" t="s">
        <v>399</v>
      </c>
      <c r="F508" t="s">
        <v>408</v>
      </c>
      <c r="G508">
        <v>3901</v>
      </c>
      <c r="H508">
        <v>3900</v>
      </c>
      <c r="I508" t="s">
        <v>1481</v>
      </c>
      <c r="J508">
        <v>3937</v>
      </c>
      <c r="K508">
        <v>3936</v>
      </c>
      <c r="L508" t="s">
        <v>496</v>
      </c>
      <c r="M508">
        <v>2</v>
      </c>
      <c r="N508" t="s">
        <v>165</v>
      </c>
      <c r="O508" t="s">
        <v>165</v>
      </c>
      <c r="P508" t="s">
        <v>420</v>
      </c>
      <c r="Q508" t="s">
        <v>408</v>
      </c>
      <c r="R508" t="s">
        <v>1482</v>
      </c>
      <c r="S508">
        <v>2014</v>
      </c>
      <c r="T508">
        <v>9</v>
      </c>
      <c r="U508" t="s">
        <v>408</v>
      </c>
      <c r="V508" t="s">
        <v>742</v>
      </c>
      <c r="W508">
        <v>2016</v>
      </c>
      <c r="X508">
        <v>11</v>
      </c>
      <c r="Y508" t="s">
        <v>370</v>
      </c>
      <c r="Z508">
        <v>2016</v>
      </c>
      <c r="AA508">
        <v>2016</v>
      </c>
      <c r="AB508" s="5">
        <v>0.52273480333599998</v>
      </c>
      <c r="AC508" s="5">
        <v>1.04546960667</v>
      </c>
      <c r="AD508" t="s">
        <v>408</v>
      </c>
      <c r="AE508" t="s">
        <v>152</v>
      </c>
      <c r="AF508" t="s">
        <v>408</v>
      </c>
      <c r="AG508" t="s">
        <v>408</v>
      </c>
      <c r="AH508" t="s">
        <v>408</v>
      </c>
      <c r="AI508" t="s">
        <v>408</v>
      </c>
      <c r="AJ508" t="s">
        <v>408</v>
      </c>
      <c r="AK508" t="s">
        <v>408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 s="58">
        <f t="shared" si="7"/>
        <v>1</v>
      </c>
      <c r="AU508" s="79">
        <v>43348</v>
      </c>
      <c r="AV508" t="s">
        <v>410</v>
      </c>
      <c r="AW508" t="s">
        <v>152</v>
      </c>
      <c r="AX508">
        <v>2</v>
      </c>
      <c r="AY508" t="s">
        <v>412</v>
      </c>
      <c r="AZ508" t="s">
        <v>408</v>
      </c>
    </row>
    <row r="509" spans="1:52" x14ac:dyDescent="0.3">
      <c r="A509">
        <v>498</v>
      </c>
      <c r="B509" t="s">
        <v>1293</v>
      </c>
      <c r="C509" t="s">
        <v>447</v>
      </c>
      <c r="D509" t="s">
        <v>1294</v>
      </c>
      <c r="E509" t="s">
        <v>399</v>
      </c>
      <c r="F509" t="s">
        <v>408</v>
      </c>
      <c r="G509">
        <v>3901</v>
      </c>
      <c r="H509">
        <v>3900</v>
      </c>
      <c r="I509" t="s">
        <v>496</v>
      </c>
      <c r="J509">
        <v>882</v>
      </c>
      <c r="K509">
        <v>881</v>
      </c>
      <c r="L509" t="s">
        <v>863</v>
      </c>
      <c r="M509">
        <v>2</v>
      </c>
      <c r="N509" t="s">
        <v>165</v>
      </c>
      <c r="O509" t="s">
        <v>165</v>
      </c>
      <c r="P509" t="s">
        <v>420</v>
      </c>
      <c r="Q509" t="s">
        <v>1483</v>
      </c>
      <c r="R509" t="s">
        <v>1482</v>
      </c>
      <c r="S509">
        <v>2014</v>
      </c>
      <c r="T509">
        <v>9</v>
      </c>
      <c r="U509" t="s">
        <v>408</v>
      </c>
      <c r="V509" t="s">
        <v>408</v>
      </c>
      <c r="W509">
        <v>0</v>
      </c>
      <c r="X509">
        <v>0</v>
      </c>
      <c r="Y509" t="s">
        <v>408</v>
      </c>
      <c r="Z509">
        <v>2014</v>
      </c>
      <c r="AA509">
        <v>0</v>
      </c>
      <c r="AB509" s="5">
        <v>0.13553345726499999</v>
      </c>
      <c r="AC509" s="5">
        <v>0.27106691452999998</v>
      </c>
      <c r="AD509" t="s">
        <v>408</v>
      </c>
      <c r="AE509" t="s">
        <v>152</v>
      </c>
      <c r="AF509" t="s">
        <v>408</v>
      </c>
      <c r="AG509" t="s">
        <v>408</v>
      </c>
      <c r="AH509" t="s">
        <v>408</v>
      </c>
      <c r="AI509" t="s">
        <v>408</v>
      </c>
      <c r="AJ509" t="s">
        <v>408</v>
      </c>
      <c r="AK509" t="s">
        <v>408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 s="58">
        <f t="shared" si="7"/>
        <v>1</v>
      </c>
      <c r="AU509" s="79">
        <v>43354</v>
      </c>
      <c r="AV509" t="s">
        <v>410</v>
      </c>
      <c r="AW509" t="s">
        <v>411</v>
      </c>
      <c r="AX509">
        <v>2</v>
      </c>
      <c r="AY509" t="s">
        <v>412</v>
      </c>
      <c r="AZ509" t="s">
        <v>408</v>
      </c>
    </row>
    <row r="510" spans="1:52" x14ac:dyDescent="0.3">
      <c r="A510">
        <v>499</v>
      </c>
      <c r="B510" t="s">
        <v>715</v>
      </c>
      <c r="C510" t="s">
        <v>152</v>
      </c>
      <c r="D510" t="s">
        <v>716</v>
      </c>
      <c r="E510" t="s">
        <v>460</v>
      </c>
      <c r="F510" t="s">
        <v>408</v>
      </c>
      <c r="G510">
        <v>3000</v>
      </c>
      <c r="H510">
        <v>3001</v>
      </c>
      <c r="I510" t="s">
        <v>484</v>
      </c>
      <c r="J510">
        <v>2400</v>
      </c>
      <c r="K510">
        <v>2401</v>
      </c>
      <c r="L510" t="s">
        <v>890</v>
      </c>
      <c r="M510">
        <v>3</v>
      </c>
      <c r="N510" t="s">
        <v>167</v>
      </c>
      <c r="O510" t="s">
        <v>167</v>
      </c>
      <c r="P510" t="s">
        <v>420</v>
      </c>
      <c r="Q510" t="s">
        <v>408</v>
      </c>
      <c r="R510" t="s">
        <v>510</v>
      </c>
      <c r="S510">
        <v>2002</v>
      </c>
      <c r="T510">
        <v>8</v>
      </c>
      <c r="U510" t="s">
        <v>408</v>
      </c>
      <c r="V510" t="s">
        <v>645</v>
      </c>
      <c r="W510">
        <v>2017</v>
      </c>
      <c r="X510">
        <v>7</v>
      </c>
      <c r="Y510" t="s">
        <v>408</v>
      </c>
      <c r="Z510">
        <v>2017</v>
      </c>
      <c r="AA510">
        <v>0</v>
      </c>
      <c r="AB510" s="5">
        <v>0.75222563108899998</v>
      </c>
      <c r="AC510" s="5">
        <v>1.5044512621799999</v>
      </c>
      <c r="AD510" t="s">
        <v>408</v>
      </c>
      <c r="AE510" t="s">
        <v>152</v>
      </c>
      <c r="AF510" t="s">
        <v>408</v>
      </c>
      <c r="AG510" t="s">
        <v>408</v>
      </c>
      <c r="AH510" t="s">
        <v>408</v>
      </c>
      <c r="AI510" t="s">
        <v>408</v>
      </c>
      <c r="AJ510" t="s">
        <v>408</v>
      </c>
      <c r="AK510" t="s">
        <v>408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s="58">
        <f t="shared" si="7"/>
        <v>1</v>
      </c>
      <c r="AU510" s="79" t="s">
        <v>1484</v>
      </c>
      <c r="AV510" t="s">
        <v>410</v>
      </c>
      <c r="AW510" t="s">
        <v>408</v>
      </c>
      <c r="AX510">
        <v>2</v>
      </c>
      <c r="AY510" t="s">
        <v>412</v>
      </c>
      <c r="AZ510" t="s">
        <v>408</v>
      </c>
    </row>
    <row r="511" spans="1:52" x14ac:dyDescent="0.3">
      <c r="A511">
        <v>500</v>
      </c>
      <c r="B511" t="s">
        <v>715</v>
      </c>
      <c r="C511" t="s">
        <v>152</v>
      </c>
      <c r="D511" t="s">
        <v>716</v>
      </c>
      <c r="E511" t="s">
        <v>460</v>
      </c>
      <c r="F511" t="s">
        <v>408</v>
      </c>
      <c r="G511">
        <v>1305</v>
      </c>
      <c r="H511">
        <v>1304</v>
      </c>
      <c r="I511" t="s">
        <v>803</v>
      </c>
      <c r="J511">
        <v>1347</v>
      </c>
      <c r="K511">
        <v>1346</v>
      </c>
      <c r="L511" t="s">
        <v>717</v>
      </c>
      <c r="M511">
        <v>3</v>
      </c>
      <c r="N511" t="s">
        <v>167</v>
      </c>
      <c r="O511" t="s">
        <v>167</v>
      </c>
      <c r="P511" t="s">
        <v>420</v>
      </c>
      <c r="Q511" t="s">
        <v>408</v>
      </c>
      <c r="R511" t="s">
        <v>719</v>
      </c>
      <c r="S511">
        <v>2005</v>
      </c>
      <c r="T511">
        <v>5</v>
      </c>
      <c r="U511" t="s">
        <v>408</v>
      </c>
      <c r="V511" t="s">
        <v>1485</v>
      </c>
      <c r="W511">
        <v>2017</v>
      </c>
      <c r="X511">
        <v>8</v>
      </c>
      <c r="Y511" t="s">
        <v>370</v>
      </c>
      <c r="Z511">
        <v>2017</v>
      </c>
      <c r="AA511">
        <v>2017</v>
      </c>
      <c r="AB511" s="5">
        <v>1.0071799424700001</v>
      </c>
      <c r="AC511" s="5">
        <v>2.0143598849400002</v>
      </c>
      <c r="AD511" t="s">
        <v>408</v>
      </c>
      <c r="AE511" t="s">
        <v>152</v>
      </c>
      <c r="AF511" t="s">
        <v>408</v>
      </c>
      <c r="AG511" t="s">
        <v>408</v>
      </c>
      <c r="AH511" t="s">
        <v>408</v>
      </c>
      <c r="AI511" t="s">
        <v>408</v>
      </c>
      <c r="AJ511" t="s">
        <v>408</v>
      </c>
      <c r="AK511" t="s">
        <v>408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s="58">
        <f t="shared" si="7"/>
        <v>1</v>
      </c>
      <c r="AU511" s="79">
        <v>43341</v>
      </c>
      <c r="AV511" t="s">
        <v>410</v>
      </c>
      <c r="AW511" t="s">
        <v>408</v>
      </c>
      <c r="AX511">
        <v>2</v>
      </c>
      <c r="AY511" t="s">
        <v>412</v>
      </c>
      <c r="AZ511" t="s">
        <v>408</v>
      </c>
    </row>
    <row r="512" spans="1:52" x14ac:dyDescent="0.3">
      <c r="A512">
        <v>501</v>
      </c>
      <c r="B512" t="s">
        <v>1486</v>
      </c>
      <c r="C512" t="s">
        <v>152</v>
      </c>
      <c r="D512" t="s">
        <v>1487</v>
      </c>
      <c r="E512" t="s">
        <v>460</v>
      </c>
      <c r="F512" t="s">
        <v>155</v>
      </c>
      <c r="G512">
        <v>1037</v>
      </c>
      <c r="H512">
        <v>1036</v>
      </c>
      <c r="I512" t="s">
        <v>524</v>
      </c>
      <c r="J512">
        <v>1069</v>
      </c>
      <c r="K512">
        <v>1068</v>
      </c>
      <c r="L512" t="s">
        <v>965</v>
      </c>
      <c r="M512">
        <v>4</v>
      </c>
      <c r="N512" t="s">
        <v>167</v>
      </c>
      <c r="O512" t="s">
        <v>167</v>
      </c>
      <c r="P512" t="s">
        <v>414</v>
      </c>
      <c r="Q512" t="s">
        <v>408</v>
      </c>
      <c r="R512" t="s">
        <v>526</v>
      </c>
      <c r="S512">
        <v>2014</v>
      </c>
      <c r="T512">
        <v>6</v>
      </c>
      <c r="U512" t="s">
        <v>408</v>
      </c>
      <c r="V512" t="s">
        <v>408</v>
      </c>
      <c r="W512">
        <v>0</v>
      </c>
      <c r="X512">
        <v>0</v>
      </c>
      <c r="Y512" t="s">
        <v>408</v>
      </c>
      <c r="Z512">
        <v>2014</v>
      </c>
      <c r="AA512">
        <v>0</v>
      </c>
      <c r="AB512" s="5">
        <v>0.50180731574899995</v>
      </c>
      <c r="AC512" s="5">
        <v>0.50180731574899995</v>
      </c>
      <c r="AD512" t="s">
        <v>408</v>
      </c>
      <c r="AE512" t="s">
        <v>411</v>
      </c>
      <c r="AF512" t="s">
        <v>155</v>
      </c>
      <c r="AG512" t="s">
        <v>152</v>
      </c>
      <c r="AH512" t="s">
        <v>408</v>
      </c>
      <c r="AI512" t="s">
        <v>408</v>
      </c>
      <c r="AJ512" t="s">
        <v>408</v>
      </c>
      <c r="AK512" t="s">
        <v>408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s="58">
        <f t="shared" si="7"/>
        <v>1</v>
      </c>
      <c r="AU512" s="79">
        <v>43348</v>
      </c>
      <c r="AV512" s="78" t="s">
        <v>410</v>
      </c>
      <c r="AW512" t="s">
        <v>408</v>
      </c>
      <c r="AX512">
        <v>3</v>
      </c>
      <c r="AY512" t="s">
        <v>17</v>
      </c>
      <c r="AZ512">
        <v>20</v>
      </c>
    </row>
    <row r="513" spans="1:52" x14ac:dyDescent="0.3">
      <c r="A513">
        <v>502</v>
      </c>
      <c r="B513" t="s">
        <v>1486</v>
      </c>
      <c r="C513" t="s">
        <v>152</v>
      </c>
      <c r="D513" t="s">
        <v>1487</v>
      </c>
      <c r="E513" t="s">
        <v>460</v>
      </c>
      <c r="F513" t="s">
        <v>155</v>
      </c>
      <c r="G513">
        <v>1037</v>
      </c>
      <c r="H513">
        <v>1036</v>
      </c>
      <c r="I513" t="s">
        <v>965</v>
      </c>
      <c r="J513">
        <v>1069</v>
      </c>
      <c r="K513">
        <v>1062</v>
      </c>
      <c r="L513" t="s">
        <v>1443</v>
      </c>
      <c r="M513">
        <v>4</v>
      </c>
      <c r="N513" t="s">
        <v>167</v>
      </c>
      <c r="O513" t="s">
        <v>167</v>
      </c>
      <c r="P513" t="s">
        <v>414</v>
      </c>
      <c r="Q513" t="s">
        <v>408</v>
      </c>
      <c r="R513" t="s">
        <v>526</v>
      </c>
      <c r="S513">
        <v>2014</v>
      </c>
      <c r="T513">
        <v>6</v>
      </c>
      <c r="U513" t="s">
        <v>408</v>
      </c>
      <c r="V513" t="s">
        <v>408</v>
      </c>
      <c r="W513">
        <v>0</v>
      </c>
      <c r="X513">
        <v>0</v>
      </c>
      <c r="Y513" t="s">
        <v>408</v>
      </c>
      <c r="Z513">
        <v>2014</v>
      </c>
      <c r="AA513">
        <v>0</v>
      </c>
      <c r="AB513" s="5">
        <v>0.25266166109499999</v>
      </c>
      <c r="AC513" s="5">
        <v>0.25266166109499999</v>
      </c>
      <c r="AD513" t="s">
        <v>408</v>
      </c>
      <c r="AE513" t="s">
        <v>411</v>
      </c>
      <c r="AF513" t="s">
        <v>155</v>
      </c>
      <c r="AG513" t="s">
        <v>152</v>
      </c>
      <c r="AH513" t="s">
        <v>408</v>
      </c>
      <c r="AI513" t="s">
        <v>408</v>
      </c>
      <c r="AJ513" t="s">
        <v>408</v>
      </c>
      <c r="AK513" t="s">
        <v>408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s="58">
        <f t="shared" si="7"/>
        <v>1</v>
      </c>
      <c r="AU513" s="79">
        <v>43348</v>
      </c>
      <c r="AV513" s="78" t="s">
        <v>410</v>
      </c>
      <c r="AW513" t="s">
        <v>408</v>
      </c>
      <c r="AX513">
        <v>3</v>
      </c>
      <c r="AY513" t="s">
        <v>17</v>
      </c>
      <c r="AZ513">
        <v>20</v>
      </c>
    </row>
    <row r="514" spans="1:52" x14ac:dyDescent="0.3">
      <c r="A514">
        <v>503</v>
      </c>
      <c r="B514" t="s">
        <v>1271</v>
      </c>
      <c r="C514" t="s">
        <v>154</v>
      </c>
      <c r="D514" t="s">
        <v>1272</v>
      </c>
      <c r="E514" t="s">
        <v>417</v>
      </c>
      <c r="F514" t="s">
        <v>408</v>
      </c>
      <c r="G514">
        <v>3458</v>
      </c>
      <c r="H514">
        <v>3459</v>
      </c>
      <c r="I514" t="s">
        <v>619</v>
      </c>
      <c r="J514">
        <v>2201</v>
      </c>
      <c r="K514">
        <v>2200</v>
      </c>
      <c r="L514" t="s">
        <v>568</v>
      </c>
      <c r="M514">
        <v>4</v>
      </c>
      <c r="N514" t="s">
        <v>165</v>
      </c>
      <c r="O514" t="s">
        <v>165</v>
      </c>
      <c r="P514" t="s">
        <v>420</v>
      </c>
      <c r="Q514" t="s">
        <v>408</v>
      </c>
      <c r="R514" t="s">
        <v>445</v>
      </c>
      <c r="S514">
        <v>2012</v>
      </c>
      <c r="T514">
        <v>5</v>
      </c>
      <c r="U514" t="s">
        <v>408</v>
      </c>
      <c r="V514" t="s">
        <v>778</v>
      </c>
      <c r="W514">
        <v>2016</v>
      </c>
      <c r="X514">
        <v>6</v>
      </c>
      <c r="Y514" t="s">
        <v>370</v>
      </c>
      <c r="Z514">
        <v>2016</v>
      </c>
      <c r="AA514">
        <v>2016</v>
      </c>
      <c r="AB514" s="5">
        <v>0.25008309477500001</v>
      </c>
      <c r="AC514" s="5">
        <v>0.50016618955000003</v>
      </c>
      <c r="AD514" t="s">
        <v>408</v>
      </c>
      <c r="AE514" t="s">
        <v>152</v>
      </c>
      <c r="AF514" t="s">
        <v>408</v>
      </c>
      <c r="AG514" t="s">
        <v>408</v>
      </c>
      <c r="AH514" t="s">
        <v>408</v>
      </c>
      <c r="AI514" t="s">
        <v>408</v>
      </c>
      <c r="AJ514" t="s">
        <v>408</v>
      </c>
      <c r="AK514" t="s">
        <v>408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s="58">
        <f t="shared" si="7"/>
        <v>1</v>
      </c>
      <c r="AU514" s="79">
        <v>43347</v>
      </c>
      <c r="AV514" s="78" t="s">
        <v>410</v>
      </c>
      <c r="AW514" t="s">
        <v>152</v>
      </c>
      <c r="AX514">
        <v>3</v>
      </c>
      <c r="AY514" t="s">
        <v>412</v>
      </c>
      <c r="AZ514" t="s">
        <v>408</v>
      </c>
    </row>
    <row r="515" spans="1:52" x14ac:dyDescent="0.3">
      <c r="A515">
        <v>504</v>
      </c>
      <c r="B515" t="s">
        <v>693</v>
      </c>
      <c r="C515" t="s">
        <v>155</v>
      </c>
      <c r="D515" t="s">
        <v>694</v>
      </c>
      <c r="E515" t="s">
        <v>460</v>
      </c>
      <c r="F515" t="s">
        <v>408</v>
      </c>
      <c r="G515">
        <v>1935</v>
      </c>
      <c r="H515">
        <v>1932</v>
      </c>
      <c r="I515" t="s">
        <v>1488</v>
      </c>
      <c r="J515">
        <v>1959</v>
      </c>
      <c r="K515">
        <v>1958</v>
      </c>
      <c r="L515" t="s">
        <v>1329</v>
      </c>
      <c r="M515">
        <v>3</v>
      </c>
      <c r="N515" t="s">
        <v>165</v>
      </c>
      <c r="O515" t="s">
        <v>165</v>
      </c>
      <c r="P515" t="s">
        <v>403</v>
      </c>
      <c r="Q515" t="s">
        <v>408</v>
      </c>
      <c r="R515" t="s">
        <v>703</v>
      </c>
      <c r="S515">
        <v>2014</v>
      </c>
      <c r="T515">
        <v>9</v>
      </c>
      <c r="U515" t="s">
        <v>408</v>
      </c>
      <c r="V515" t="s">
        <v>482</v>
      </c>
      <c r="W515">
        <v>2017</v>
      </c>
      <c r="X515">
        <v>11</v>
      </c>
      <c r="Y515" t="s">
        <v>370</v>
      </c>
      <c r="Z515">
        <v>2017</v>
      </c>
      <c r="AA515">
        <v>2017</v>
      </c>
      <c r="AB515" s="5">
        <v>0.50314785260499995</v>
      </c>
      <c r="AC515" s="5">
        <v>1.0062957052099999</v>
      </c>
      <c r="AD515" t="s">
        <v>408</v>
      </c>
      <c r="AE515" t="s">
        <v>152</v>
      </c>
      <c r="AF515" t="s">
        <v>408</v>
      </c>
      <c r="AG515" t="s">
        <v>408</v>
      </c>
      <c r="AH515" t="s">
        <v>408</v>
      </c>
      <c r="AI515" t="s">
        <v>408</v>
      </c>
      <c r="AJ515" t="s">
        <v>408</v>
      </c>
      <c r="AK515" t="s">
        <v>408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 s="58">
        <f t="shared" si="7"/>
        <v>1</v>
      </c>
      <c r="AU515" s="79">
        <v>43340</v>
      </c>
      <c r="AV515" s="78" t="s">
        <v>410</v>
      </c>
      <c r="AW515" t="s">
        <v>152</v>
      </c>
      <c r="AX515">
        <v>2</v>
      </c>
      <c r="AY515" t="s">
        <v>412</v>
      </c>
      <c r="AZ515" t="s">
        <v>408</v>
      </c>
    </row>
    <row r="516" spans="1:52" x14ac:dyDescent="0.3">
      <c r="A516">
        <v>505</v>
      </c>
      <c r="B516" t="s">
        <v>667</v>
      </c>
      <c r="C516" t="s">
        <v>154</v>
      </c>
      <c r="D516" t="s">
        <v>668</v>
      </c>
      <c r="E516" t="s">
        <v>460</v>
      </c>
      <c r="F516" t="s">
        <v>408</v>
      </c>
      <c r="G516">
        <v>3601</v>
      </c>
      <c r="H516">
        <v>3600</v>
      </c>
      <c r="I516" t="s">
        <v>1052</v>
      </c>
      <c r="J516">
        <v>4001</v>
      </c>
      <c r="K516">
        <v>4000</v>
      </c>
      <c r="L516" t="s">
        <v>1489</v>
      </c>
      <c r="M516">
        <v>3</v>
      </c>
      <c r="N516" t="s">
        <v>167</v>
      </c>
      <c r="O516" t="s">
        <v>167</v>
      </c>
      <c r="P516" t="s">
        <v>420</v>
      </c>
      <c r="Q516" t="s">
        <v>408</v>
      </c>
      <c r="R516" t="s">
        <v>910</v>
      </c>
      <c r="S516">
        <v>2002</v>
      </c>
      <c r="T516">
        <v>9</v>
      </c>
      <c r="U516" t="s">
        <v>408</v>
      </c>
      <c r="V516" t="s">
        <v>487</v>
      </c>
      <c r="W516">
        <v>2020</v>
      </c>
      <c r="X516">
        <v>4</v>
      </c>
      <c r="Y516" t="s">
        <v>408</v>
      </c>
      <c r="Z516">
        <v>2020</v>
      </c>
      <c r="AA516">
        <v>2014</v>
      </c>
      <c r="AB516" s="5">
        <v>0.50428517043200005</v>
      </c>
      <c r="AC516" s="5">
        <v>1.00857034086</v>
      </c>
      <c r="AD516" t="s">
        <v>408</v>
      </c>
      <c r="AE516" t="s">
        <v>152</v>
      </c>
      <c r="AF516" t="s">
        <v>408</v>
      </c>
      <c r="AG516" t="s">
        <v>408</v>
      </c>
      <c r="AH516" t="s">
        <v>408</v>
      </c>
      <c r="AI516" t="s">
        <v>408</v>
      </c>
      <c r="AJ516" t="s">
        <v>408</v>
      </c>
      <c r="AK516" t="s">
        <v>408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 s="58">
        <f t="shared" si="7"/>
        <v>1</v>
      </c>
      <c r="AU516" s="79" t="s">
        <v>592</v>
      </c>
      <c r="AV516" s="78" t="s">
        <v>410</v>
      </c>
      <c r="AW516" t="s">
        <v>408</v>
      </c>
      <c r="AX516">
        <v>2</v>
      </c>
      <c r="AY516" t="s">
        <v>412</v>
      </c>
      <c r="AZ516" t="s">
        <v>408</v>
      </c>
    </row>
    <row r="517" spans="1:52" x14ac:dyDescent="0.3">
      <c r="A517">
        <v>506</v>
      </c>
      <c r="B517" t="s">
        <v>415</v>
      </c>
      <c r="C517" t="s">
        <v>447</v>
      </c>
      <c r="D517" t="s">
        <v>416</v>
      </c>
      <c r="E517" t="s">
        <v>417</v>
      </c>
      <c r="F517" t="s">
        <v>408</v>
      </c>
      <c r="G517">
        <v>2</v>
      </c>
      <c r="H517">
        <v>1</v>
      </c>
      <c r="I517" t="s">
        <v>877</v>
      </c>
      <c r="J517">
        <v>80</v>
      </c>
      <c r="K517">
        <v>79</v>
      </c>
      <c r="L517" t="s">
        <v>905</v>
      </c>
      <c r="M517">
        <v>3</v>
      </c>
      <c r="N517" t="s">
        <v>165</v>
      </c>
      <c r="O517" t="s">
        <v>165</v>
      </c>
      <c r="P517" t="s">
        <v>403</v>
      </c>
      <c r="Q517" t="s">
        <v>1452</v>
      </c>
      <c r="R517" t="s">
        <v>645</v>
      </c>
      <c r="S517">
        <v>2017</v>
      </c>
      <c r="T517">
        <v>6</v>
      </c>
      <c r="U517" t="s">
        <v>1490</v>
      </c>
      <c r="V517" t="s">
        <v>408</v>
      </c>
      <c r="W517">
        <v>0</v>
      </c>
      <c r="X517">
        <v>0</v>
      </c>
      <c r="Y517" t="s">
        <v>408</v>
      </c>
      <c r="Z517">
        <v>2017</v>
      </c>
      <c r="AA517">
        <v>2015</v>
      </c>
      <c r="AB517" s="5">
        <v>0.168682793911</v>
      </c>
      <c r="AC517" s="5">
        <v>0.33736558782199999</v>
      </c>
      <c r="AD517" t="s">
        <v>408</v>
      </c>
      <c r="AE517" t="s">
        <v>152</v>
      </c>
      <c r="AF517" t="s">
        <v>408</v>
      </c>
      <c r="AG517" t="s">
        <v>408</v>
      </c>
      <c r="AH517" t="s">
        <v>408</v>
      </c>
      <c r="AI517" t="s">
        <v>408</v>
      </c>
      <c r="AJ517" t="s">
        <v>408</v>
      </c>
      <c r="AK517" t="s">
        <v>408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 s="58">
        <f t="shared" si="7"/>
        <v>1</v>
      </c>
      <c r="AU517" s="79">
        <v>43350</v>
      </c>
      <c r="AV517" t="s">
        <v>410</v>
      </c>
      <c r="AW517" t="s">
        <v>152</v>
      </c>
      <c r="AX517">
        <v>2</v>
      </c>
      <c r="AY517" t="s">
        <v>412</v>
      </c>
      <c r="AZ517" t="s">
        <v>408</v>
      </c>
    </row>
    <row r="518" spans="1:52" x14ac:dyDescent="0.3">
      <c r="A518">
        <v>507</v>
      </c>
      <c r="B518" t="s">
        <v>1491</v>
      </c>
      <c r="C518" t="s">
        <v>152</v>
      </c>
      <c r="D518" t="s">
        <v>1492</v>
      </c>
      <c r="E518" t="s">
        <v>417</v>
      </c>
      <c r="F518" t="s">
        <v>408</v>
      </c>
      <c r="G518">
        <v>3200</v>
      </c>
      <c r="H518">
        <v>3201</v>
      </c>
      <c r="I518" t="s">
        <v>1273</v>
      </c>
      <c r="J518">
        <v>2623</v>
      </c>
      <c r="K518">
        <v>2622</v>
      </c>
      <c r="L518" t="s">
        <v>573</v>
      </c>
      <c r="M518">
        <v>4</v>
      </c>
      <c r="N518" t="s">
        <v>167</v>
      </c>
      <c r="O518" t="s">
        <v>167</v>
      </c>
      <c r="P518" t="s">
        <v>420</v>
      </c>
      <c r="Q518" t="s">
        <v>1493</v>
      </c>
      <c r="R518" t="s">
        <v>1494</v>
      </c>
      <c r="S518">
        <v>2017</v>
      </c>
      <c r="T518">
        <v>4</v>
      </c>
      <c r="U518" t="s">
        <v>408</v>
      </c>
      <c r="V518" t="s">
        <v>408</v>
      </c>
      <c r="W518">
        <v>0</v>
      </c>
      <c r="X518">
        <v>0</v>
      </c>
      <c r="Y518" t="s">
        <v>408</v>
      </c>
      <c r="Z518">
        <v>2017</v>
      </c>
      <c r="AA518">
        <v>0</v>
      </c>
      <c r="AB518" s="5">
        <v>0.53875756347000003</v>
      </c>
      <c r="AC518" s="5">
        <v>1.0775151269400001</v>
      </c>
      <c r="AD518" t="s">
        <v>408</v>
      </c>
      <c r="AE518" t="s">
        <v>152</v>
      </c>
      <c r="AF518" t="s">
        <v>408</v>
      </c>
      <c r="AG518" t="s">
        <v>408</v>
      </c>
      <c r="AH518" t="s">
        <v>408</v>
      </c>
      <c r="AI518" t="s">
        <v>408</v>
      </c>
      <c r="AJ518" t="s">
        <v>408</v>
      </c>
      <c r="AK518" t="s">
        <v>408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s="58">
        <f t="shared" si="7"/>
        <v>1</v>
      </c>
      <c r="AU518" s="79">
        <v>43348</v>
      </c>
      <c r="AV518" t="s">
        <v>410</v>
      </c>
      <c r="AW518" t="s">
        <v>408</v>
      </c>
      <c r="AX518">
        <v>3</v>
      </c>
      <c r="AY518" t="s">
        <v>412</v>
      </c>
      <c r="AZ518" t="s">
        <v>408</v>
      </c>
    </row>
    <row r="519" spans="1:52" x14ac:dyDescent="0.3">
      <c r="A519">
        <v>508</v>
      </c>
      <c r="B519" t="s">
        <v>693</v>
      </c>
      <c r="C519" t="s">
        <v>155</v>
      </c>
      <c r="D519" t="s">
        <v>694</v>
      </c>
      <c r="E519" t="s">
        <v>460</v>
      </c>
      <c r="F519" t="s">
        <v>408</v>
      </c>
      <c r="G519">
        <v>8200</v>
      </c>
      <c r="H519">
        <v>8201</v>
      </c>
      <c r="I519" t="s">
        <v>1495</v>
      </c>
      <c r="J519">
        <v>7900</v>
      </c>
      <c r="K519">
        <v>7901</v>
      </c>
      <c r="L519" t="s">
        <v>1360</v>
      </c>
      <c r="M519">
        <v>3</v>
      </c>
      <c r="N519" t="s">
        <v>165</v>
      </c>
      <c r="O519" t="s">
        <v>165</v>
      </c>
      <c r="P519" t="s">
        <v>403</v>
      </c>
      <c r="Q519" t="s">
        <v>1496</v>
      </c>
      <c r="R519" t="s">
        <v>1497</v>
      </c>
      <c r="S519">
        <v>2014</v>
      </c>
      <c r="T519">
        <v>9</v>
      </c>
      <c r="U519" t="s">
        <v>408</v>
      </c>
      <c r="V519" t="s">
        <v>866</v>
      </c>
      <c r="W519">
        <v>2021</v>
      </c>
      <c r="X519">
        <v>5</v>
      </c>
      <c r="Y519" t="s">
        <v>408</v>
      </c>
      <c r="Z519">
        <v>2021</v>
      </c>
      <c r="AA519">
        <v>2021</v>
      </c>
      <c r="AB519" s="5">
        <v>0.37617286605400002</v>
      </c>
      <c r="AC519" s="5">
        <v>0.75234573210800004</v>
      </c>
      <c r="AD519" t="s">
        <v>400</v>
      </c>
      <c r="AE519" t="s">
        <v>152</v>
      </c>
      <c r="AF519" t="s">
        <v>400</v>
      </c>
      <c r="AG519" t="s">
        <v>400</v>
      </c>
      <c r="AH519" t="s">
        <v>400</v>
      </c>
      <c r="AI519" t="s">
        <v>400</v>
      </c>
      <c r="AJ519" t="s">
        <v>400</v>
      </c>
      <c r="AK519" t="s">
        <v>400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 s="58">
        <f t="shared" si="7"/>
        <v>1</v>
      </c>
      <c r="AU519" s="79" t="s">
        <v>768</v>
      </c>
      <c r="AV519" t="s">
        <v>410</v>
      </c>
      <c r="AW519" t="s">
        <v>152</v>
      </c>
      <c r="AX519">
        <v>2</v>
      </c>
      <c r="AY519" t="s">
        <v>412</v>
      </c>
      <c r="AZ519" t="s">
        <v>408</v>
      </c>
    </row>
    <row r="520" spans="1:52" x14ac:dyDescent="0.3">
      <c r="A520">
        <v>509</v>
      </c>
      <c r="B520" t="s">
        <v>688</v>
      </c>
      <c r="C520" t="s">
        <v>155</v>
      </c>
      <c r="D520" t="s">
        <v>689</v>
      </c>
      <c r="E520" t="s">
        <v>426</v>
      </c>
      <c r="F520" t="s">
        <v>155</v>
      </c>
      <c r="G520">
        <v>2558</v>
      </c>
      <c r="H520">
        <v>0</v>
      </c>
      <c r="I520" t="s">
        <v>1246</v>
      </c>
      <c r="J520">
        <v>2500</v>
      </c>
      <c r="K520">
        <v>0</v>
      </c>
      <c r="L520" t="s">
        <v>1498</v>
      </c>
      <c r="M520">
        <v>3</v>
      </c>
      <c r="N520" t="s">
        <v>167</v>
      </c>
      <c r="O520" t="s">
        <v>167</v>
      </c>
      <c r="P520" t="s">
        <v>403</v>
      </c>
      <c r="Q520" t="s">
        <v>1499</v>
      </c>
      <c r="R520" t="s">
        <v>662</v>
      </c>
      <c r="S520">
        <v>2016</v>
      </c>
      <c r="T520">
        <v>7</v>
      </c>
      <c r="U520" t="s">
        <v>370</v>
      </c>
      <c r="V520" t="s">
        <v>408</v>
      </c>
      <c r="W520">
        <v>0</v>
      </c>
      <c r="X520">
        <v>0</v>
      </c>
      <c r="Y520" t="s">
        <v>408</v>
      </c>
      <c r="Z520">
        <v>2016</v>
      </c>
      <c r="AA520">
        <v>2016</v>
      </c>
      <c r="AB520" s="5">
        <v>0.126770715816</v>
      </c>
      <c r="AC520" s="5">
        <v>0.126770715816</v>
      </c>
      <c r="AD520" t="s">
        <v>408</v>
      </c>
      <c r="AE520" t="s">
        <v>411</v>
      </c>
      <c r="AF520" t="s">
        <v>155</v>
      </c>
      <c r="AG520" t="s">
        <v>152</v>
      </c>
      <c r="AH520" t="s">
        <v>408</v>
      </c>
      <c r="AI520" t="s">
        <v>408</v>
      </c>
      <c r="AJ520" t="s">
        <v>408</v>
      </c>
      <c r="AK520" t="s">
        <v>408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 s="58">
        <f t="shared" si="7"/>
        <v>1</v>
      </c>
      <c r="AU520" s="79">
        <v>43339</v>
      </c>
      <c r="AV520" s="78" t="s">
        <v>410</v>
      </c>
      <c r="AW520" t="s">
        <v>408</v>
      </c>
      <c r="AX520">
        <v>2</v>
      </c>
      <c r="AY520" t="s">
        <v>412</v>
      </c>
      <c r="AZ520" t="s">
        <v>408</v>
      </c>
    </row>
    <row r="521" spans="1:52" x14ac:dyDescent="0.3">
      <c r="A521">
        <v>510</v>
      </c>
      <c r="B521" t="s">
        <v>1187</v>
      </c>
      <c r="C521" t="s">
        <v>154</v>
      </c>
      <c r="D521" t="s">
        <v>1234</v>
      </c>
      <c r="E521" t="s">
        <v>417</v>
      </c>
      <c r="F521" t="s">
        <v>408</v>
      </c>
      <c r="G521">
        <v>801</v>
      </c>
      <c r="H521">
        <v>800</v>
      </c>
      <c r="I521" t="s">
        <v>814</v>
      </c>
      <c r="J521">
        <v>501</v>
      </c>
      <c r="K521">
        <v>500</v>
      </c>
      <c r="L521" t="s">
        <v>808</v>
      </c>
      <c r="M521">
        <v>3</v>
      </c>
      <c r="N521" t="s">
        <v>167</v>
      </c>
      <c r="O521" t="s">
        <v>167</v>
      </c>
      <c r="P521" t="s">
        <v>420</v>
      </c>
      <c r="Q521" t="s">
        <v>408</v>
      </c>
      <c r="R521" t="s">
        <v>897</v>
      </c>
      <c r="S521">
        <v>2006</v>
      </c>
      <c r="T521">
        <v>5</v>
      </c>
      <c r="U521" t="s">
        <v>408</v>
      </c>
      <c r="V521" t="s">
        <v>742</v>
      </c>
      <c r="W521">
        <v>2017</v>
      </c>
      <c r="X521">
        <v>5</v>
      </c>
      <c r="Y521" t="s">
        <v>370</v>
      </c>
      <c r="Z521">
        <v>2017</v>
      </c>
      <c r="AA521">
        <v>2017</v>
      </c>
      <c r="AB521" s="5">
        <v>0.41874635687299999</v>
      </c>
      <c r="AC521" s="5">
        <v>0.83749271374599998</v>
      </c>
      <c r="AD521" t="s">
        <v>408</v>
      </c>
      <c r="AE521" t="s">
        <v>152</v>
      </c>
      <c r="AF521" t="s">
        <v>408</v>
      </c>
      <c r="AG521" t="s">
        <v>408</v>
      </c>
      <c r="AH521" t="s">
        <v>408</v>
      </c>
      <c r="AI521" t="s">
        <v>408</v>
      </c>
      <c r="AJ521" t="s">
        <v>408</v>
      </c>
      <c r="AK521" t="s">
        <v>408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 s="58">
        <f t="shared" si="7"/>
        <v>1</v>
      </c>
      <c r="AU521" s="79">
        <v>43347</v>
      </c>
      <c r="AV521" t="s">
        <v>410</v>
      </c>
      <c r="AW521" t="s">
        <v>408</v>
      </c>
      <c r="AX521">
        <v>2</v>
      </c>
      <c r="AY521" t="s">
        <v>412</v>
      </c>
      <c r="AZ521" t="s">
        <v>408</v>
      </c>
    </row>
    <row r="522" spans="1:52" x14ac:dyDescent="0.3">
      <c r="A522">
        <v>511</v>
      </c>
      <c r="B522" t="s">
        <v>1187</v>
      </c>
      <c r="C522" t="s">
        <v>154</v>
      </c>
      <c r="D522" t="s">
        <v>1234</v>
      </c>
      <c r="E522" t="s">
        <v>417</v>
      </c>
      <c r="F522" t="s">
        <v>408</v>
      </c>
      <c r="G522">
        <v>501</v>
      </c>
      <c r="H522">
        <v>500</v>
      </c>
      <c r="I522" t="s">
        <v>808</v>
      </c>
      <c r="J522">
        <v>401</v>
      </c>
      <c r="K522">
        <v>400</v>
      </c>
      <c r="L522" t="s">
        <v>1500</v>
      </c>
      <c r="M522">
        <v>3</v>
      </c>
      <c r="N522" t="s">
        <v>165</v>
      </c>
      <c r="O522" t="s">
        <v>165</v>
      </c>
      <c r="P522" t="s">
        <v>403</v>
      </c>
      <c r="Q522" t="s">
        <v>1501</v>
      </c>
      <c r="R522" t="s">
        <v>742</v>
      </c>
      <c r="S522">
        <v>2017</v>
      </c>
      <c r="T522">
        <v>5</v>
      </c>
      <c r="U522" t="s">
        <v>370</v>
      </c>
      <c r="V522" t="s">
        <v>408</v>
      </c>
      <c r="W522">
        <v>0</v>
      </c>
      <c r="X522">
        <v>0</v>
      </c>
      <c r="Y522" t="s">
        <v>408</v>
      </c>
      <c r="Z522">
        <v>2017</v>
      </c>
      <c r="AA522">
        <v>2017</v>
      </c>
      <c r="AB522" s="5">
        <v>9.1923626920900003E-2</v>
      </c>
      <c r="AC522" s="5">
        <v>0.18384725384200001</v>
      </c>
      <c r="AD522" t="s">
        <v>408</v>
      </c>
      <c r="AE522" t="s">
        <v>152</v>
      </c>
      <c r="AF522" t="s">
        <v>408</v>
      </c>
      <c r="AG522" t="s">
        <v>408</v>
      </c>
      <c r="AH522" t="s">
        <v>408</v>
      </c>
      <c r="AI522" t="s">
        <v>408</v>
      </c>
      <c r="AJ522" t="s">
        <v>408</v>
      </c>
      <c r="AK522" t="s">
        <v>411</v>
      </c>
      <c r="AL522">
        <v>2017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 s="58">
        <f t="shared" si="7"/>
        <v>1</v>
      </c>
      <c r="AU522" s="79">
        <v>43347</v>
      </c>
      <c r="AV522" t="s">
        <v>410</v>
      </c>
      <c r="AW522" t="s">
        <v>411</v>
      </c>
      <c r="AX522">
        <v>2</v>
      </c>
      <c r="AY522" t="s">
        <v>412</v>
      </c>
      <c r="AZ522" t="s">
        <v>408</v>
      </c>
    </row>
    <row r="523" spans="1:52" x14ac:dyDescent="0.3">
      <c r="A523">
        <v>512</v>
      </c>
      <c r="B523" t="s">
        <v>1187</v>
      </c>
      <c r="C523" t="s">
        <v>154</v>
      </c>
      <c r="D523" t="s">
        <v>1234</v>
      </c>
      <c r="E523" t="s">
        <v>417</v>
      </c>
      <c r="F523" t="s">
        <v>408</v>
      </c>
      <c r="G523">
        <v>401</v>
      </c>
      <c r="H523">
        <v>400</v>
      </c>
      <c r="I523" t="s">
        <v>1500</v>
      </c>
      <c r="J523">
        <v>201</v>
      </c>
      <c r="K523">
        <v>200</v>
      </c>
      <c r="L523" t="s">
        <v>931</v>
      </c>
      <c r="M523">
        <v>3</v>
      </c>
      <c r="N523" t="s">
        <v>167</v>
      </c>
      <c r="O523" t="s">
        <v>167</v>
      </c>
      <c r="P523" t="s">
        <v>420</v>
      </c>
      <c r="Q523" t="s">
        <v>408</v>
      </c>
      <c r="R523" t="s">
        <v>897</v>
      </c>
      <c r="S523">
        <v>2006</v>
      </c>
      <c r="T523">
        <v>5</v>
      </c>
      <c r="U523" t="s">
        <v>408</v>
      </c>
      <c r="V523" t="s">
        <v>742</v>
      </c>
      <c r="W523">
        <v>2017</v>
      </c>
      <c r="X523">
        <v>5</v>
      </c>
      <c r="Y523" t="s">
        <v>370</v>
      </c>
      <c r="Z523">
        <v>2017</v>
      </c>
      <c r="AA523">
        <v>2017</v>
      </c>
      <c r="AB523" s="5">
        <v>0.24420191899900001</v>
      </c>
      <c r="AC523" s="5">
        <v>0.48840383799800002</v>
      </c>
      <c r="AD523" t="s">
        <v>408</v>
      </c>
      <c r="AE523" t="s">
        <v>152</v>
      </c>
      <c r="AF523" t="s">
        <v>408</v>
      </c>
      <c r="AG523" t="s">
        <v>408</v>
      </c>
      <c r="AH523" t="s">
        <v>408</v>
      </c>
      <c r="AI523" t="s">
        <v>408</v>
      </c>
      <c r="AJ523" t="s">
        <v>408</v>
      </c>
      <c r="AK523" t="s">
        <v>408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 s="58">
        <f t="shared" ref="AT523:AT586" si="8">SUM(AM523:AS523)</f>
        <v>1</v>
      </c>
      <c r="AU523" s="79">
        <v>43347</v>
      </c>
      <c r="AV523" t="s">
        <v>410</v>
      </c>
      <c r="AW523" t="s">
        <v>408</v>
      </c>
      <c r="AX523">
        <v>2</v>
      </c>
      <c r="AY523" t="s">
        <v>412</v>
      </c>
      <c r="AZ523" t="s">
        <v>408</v>
      </c>
    </row>
    <row r="524" spans="1:52" x14ac:dyDescent="0.3">
      <c r="A524">
        <v>513</v>
      </c>
      <c r="B524" t="s">
        <v>1187</v>
      </c>
      <c r="C524" t="s">
        <v>154</v>
      </c>
      <c r="D524" t="s">
        <v>1234</v>
      </c>
      <c r="E524" t="s">
        <v>417</v>
      </c>
      <c r="F524" t="s">
        <v>408</v>
      </c>
      <c r="G524">
        <v>201</v>
      </c>
      <c r="H524">
        <v>200</v>
      </c>
      <c r="I524" t="s">
        <v>931</v>
      </c>
      <c r="J524">
        <v>61</v>
      </c>
      <c r="K524">
        <v>60</v>
      </c>
      <c r="L524" t="s">
        <v>1502</v>
      </c>
      <c r="M524">
        <v>3</v>
      </c>
      <c r="N524" t="s">
        <v>165</v>
      </c>
      <c r="O524" t="s">
        <v>165</v>
      </c>
      <c r="P524" t="s">
        <v>403</v>
      </c>
      <c r="Q524" t="s">
        <v>1501</v>
      </c>
      <c r="R524" t="s">
        <v>742</v>
      </c>
      <c r="S524">
        <v>2017</v>
      </c>
      <c r="T524">
        <v>5</v>
      </c>
      <c r="U524" t="s">
        <v>1503</v>
      </c>
      <c r="V524" t="s">
        <v>408</v>
      </c>
      <c r="W524">
        <v>0</v>
      </c>
      <c r="X524">
        <v>0</v>
      </c>
      <c r="Y524" t="s">
        <v>408</v>
      </c>
      <c r="Z524">
        <v>2017</v>
      </c>
      <c r="AA524">
        <v>2017</v>
      </c>
      <c r="AB524" s="5">
        <v>0.137088454084</v>
      </c>
      <c r="AC524" s="5">
        <v>0.274176908168</v>
      </c>
      <c r="AD524" t="s">
        <v>408</v>
      </c>
      <c r="AE524" t="s">
        <v>152</v>
      </c>
      <c r="AF524" t="s">
        <v>408</v>
      </c>
      <c r="AG524" t="s">
        <v>408</v>
      </c>
      <c r="AH524" t="s">
        <v>408</v>
      </c>
      <c r="AI524" t="s">
        <v>408</v>
      </c>
      <c r="AJ524" t="s">
        <v>408</v>
      </c>
      <c r="AK524" t="s">
        <v>411</v>
      </c>
      <c r="AL524">
        <v>2017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 s="58">
        <f t="shared" si="8"/>
        <v>1</v>
      </c>
      <c r="AU524" s="79">
        <v>43347</v>
      </c>
      <c r="AV524" s="78" t="s">
        <v>410</v>
      </c>
      <c r="AW524" t="s">
        <v>411</v>
      </c>
      <c r="AX524">
        <v>2</v>
      </c>
      <c r="AY524" t="s">
        <v>412</v>
      </c>
      <c r="AZ524" t="s">
        <v>408</v>
      </c>
    </row>
    <row r="525" spans="1:52" x14ac:dyDescent="0.3">
      <c r="A525">
        <v>514</v>
      </c>
      <c r="B525" t="s">
        <v>1187</v>
      </c>
      <c r="C525" t="s">
        <v>447</v>
      </c>
      <c r="D525" t="s">
        <v>1234</v>
      </c>
      <c r="E525" t="s">
        <v>417</v>
      </c>
      <c r="F525" t="s">
        <v>408</v>
      </c>
      <c r="G525">
        <v>61</v>
      </c>
      <c r="H525">
        <v>60</v>
      </c>
      <c r="I525" t="s">
        <v>1502</v>
      </c>
      <c r="J525">
        <v>401</v>
      </c>
      <c r="K525">
        <v>400</v>
      </c>
      <c r="L525" t="s">
        <v>1504</v>
      </c>
      <c r="M525">
        <v>3</v>
      </c>
      <c r="N525" t="s">
        <v>167</v>
      </c>
      <c r="O525" t="s">
        <v>167</v>
      </c>
      <c r="P525" t="s">
        <v>420</v>
      </c>
      <c r="Q525" t="s">
        <v>408</v>
      </c>
      <c r="R525" t="s">
        <v>897</v>
      </c>
      <c r="S525">
        <v>2006</v>
      </c>
      <c r="T525">
        <v>5</v>
      </c>
      <c r="U525" t="s">
        <v>408</v>
      </c>
      <c r="V525" t="s">
        <v>742</v>
      </c>
      <c r="W525">
        <v>2017</v>
      </c>
      <c r="X525">
        <v>5</v>
      </c>
      <c r="Y525" t="s">
        <v>370</v>
      </c>
      <c r="Z525">
        <v>2017</v>
      </c>
      <c r="AA525">
        <v>2017</v>
      </c>
      <c r="AB525" s="5">
        <v>0.59343827229799995</v>
      </c>
      <c r="AC525" s="5">
        <v>1.1868765446</v>
      </c>
      <c r="AD525" t="s">
        <v>408</v>
      </c>
      <c r="AE525" t="s">
        <v>152</v>
      </c>
      <c r="AF525" t="s">
        <v>408</v>
      </c>
      <c r="AG525" t="s">
        <v>408</v>
      </c>
      <c r="AH525" t="s">
        <v>408</v>
      </c>
      <c r="AI525" t="s">
        <v>408</v>
      </c>
      <c r="AJ525" t="s">
        <v>408</v>
      </c>
      <c r="AK525" t="s">
        <v>408</v>
      </c>
      <c r="AL525">
        <v>0</v>
      </c>
      <c r="AM525">
        <v>0</v>
      </c>
      <c r="AN525">
        <v>0</v>
      </c>
      <c r="AO525">
        <v>0</v>
      </c>
      <c r="AP525">
        <v>0.5</v>
      </c>
      <c r="AQ525">
        <v>0</v>
      </c>
      <c r="AR525">
        <v>0</v>
      </c>
      <c r="AS525">
        <v>0.5</v>
      </c>
      <c r="AT525" s="58">
        <f t="shared" si="8"/>
        <v>1</v>
      </c>
      <c r="AU525" s="79">
        <v>43347</v>
      </c>
      <c r="AV525" s="78" t="s">
        <v>410</v>
      </c>
      <c r="AW525" t="s">
        <v>408</v>
      </c>
      <c r="AX525">
        <v>2</v>
      </c>
      <c r="AY525" t="s">
        <v>412</v>
      </c>
      <c r="AZ525" t="s">
        <v>408</v>
      </c>
    </row>
    <row r="526" spans="1:52" x14ac:dyDescent="0.3">
      <c r="A526">
        <v>515</v>
      </c>
      <c r="B526" t="s">
        <v>1505</v>
      </c>
      <c r="C526" t="s">
        <v>152</v>
      </c>
      <c r="D526" t="s">
        <v>473</v>
      </c>
      <c r="E526" t="s">
        <v>1506</v>
      </c>
      <c r="F526" t="s">
        <v>408</v>
      </c>
      <c r="G526">
        <v>2250</v>
      </c>
      <c r="H526">
        <v>2249</v>
      </c>
      <c r="I526" t="s">
        <v>625</v>
      </c>
      <c r="J526">
        <v>0</v>
      </c>
      <c r="K526">
        <v>0</v>
      </c>
      <c r="L526" t="s">
        <v>1507</v>
      </c>
      <c r="M526">
        <v>3</v>
      </c>
      <c r="N526" t="s">
        <v>165</v>
      </c>
      <c r="O526" t="s">
        <v>165</v>
      </c>
      <c r="P526" t="s">
        <v>420</v>
      </c>
      <c r="Q526" t="s">
        <v>1508</v>
      </c>
      <c r="R526" t="s">
        <v>1509</v>
      </c>
      <c r="S526">
        <v>2016</v>
      </c>
      <c r="T526">
        <v>12</v>
      </c>
      <c r="U526" t="s">
        <v>370</v>
      </c>
      <c r="V526" t="s">
        <v>408</v>
      </c>
      <c r="W526">
        <v>0</v>
      </c>
      <c r="X526">
        <v>0</v>
      </c>
      <c r="Y526" t="s">
        <v>408</v>
      </c>
      <c r="Z526">
        <v>2016</v>
      </c>
      <c r="AA526">
        <v>2016</v>
      </c>
      <c r="AB526" s="5">
        <v>4.0979179671000003E-2</v>
      </c>
      <c r="AC526" s="5">
        <v>8.1958359342000006E-2</v>
      </c>
      <c r="AD526" t="s">
        <v>408</v>
      </c>
      <c r="AE526" t="s">
        <v>152</v>
      </c>
      <c r="AF526" t="s">
        <v>408</v>
      </c>
      <c r="AG526" t="s">
        <v>408</v>
      </c>
      <c r="AH526" t="s">
        <v>408</v>
      </c>
      <c r="AI526" t="s">
        <v>408</v>
      </c>
      <c r="AJ526" t="s">
        <v>408</v>
      </c>
      <c r="AK526" t="s">
        <v>408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 s="58">
        <f t="shared" si="8"/>
        <v>1</v>
      </c>
      <c r="AU526" s="79">
        <v>43333</v>
      </c>
      <c r="AV526" s="78" t="s">
        <v>410</v>
      </c>
      <c r="AW526" t="s">
        <v>152</v>
      </c>
      <c r="AX526">
        <v>2</v>
      </c>
      <c r="AY526" t="s">
        <v>412</v>
      </c>
      <c r="AZ526" t="s">
        <v>408</v>
      </c>
    </row>
    <row r="527" spans="1:52" x14ac:dyDescent="0.3">
      <c r="A527">
        <v>516</v>
      </c>
      <c r="B527" t="s">
        <v>1505</v>
      </c>
      <c r="C527" t="s">
        <v>152</v>
      </c>
      <c r="D527" t="s">
        <v>473</v>
      </c>
      <c r="E527" t="s">
        <v>1506</v>
      </c>
      <c r="F527" t="s">
        <v>408</v>
      </c>
      <c r="G527">
        <v>2301</v>
      </c>
      <c r="H527">
        <v>2300</v>
      </c>
      <c r="I527" t="s">
        <v>1507</v>
      </c>
      <c r="J527">
        <v>2425</v>
      </c>
      <c r="K527">
        <v>2426</v>
      </c>
      <c r="L527" t="s">
        <v>435</v>
      </c>
      <c r="M527">
        <v>3</v>
      </c>
      <c r="N527" t="s">
        <v>163</v>
      </c>
      <c r="O527" t="s">
        <v>163</v>
      </c>
      <c r="P527" t="s">
        <v>420</v>
      </c>
      <c r="Q527" t="s">
        <v>1508</v>
      </c>
      <c r="R527" t="s">
        <v>1509</v>
      </c>
      <c r="S527">
        <v>2016</v>
      </c>
      <c r="T527">
        <v>12</v>
      </c>
      <c r="U527" t="s">
        <v>370</v>
      </c>
      <c r="V527" t="s">
        <v>408</v>
      </c>
      <c r="W527">
        <v>0</v>
      </c>
      <c r="X527">
        <v>0</v>
      </c>
      <c r="Y527" t="s">
        <v>408</v>
      </c>
      <c r="Z527">
        <v>2016</v>
      </c>
      <c r="AA527">
        <v>2016</v>
      </c>
      <c r="AB527" s="5">
        <v>0.25267975234200002</v>
      </c>
      <c r="AC527" s="5">
        <v>0.50535950468400004</v>
      </c>
      <c r="AD527" t="s">
        <v>408</v>
      </c>
      <c r="AE527" t="s">
        <v>152</v>
      </c>
      <c r="AF527" t="s">
        <v>408</v>
      </c>
      <c r="AG527" t="s">
        <v>408</v>
      </c>
      <c r="AH527" t="s">
        <v>408</v>
      </c>
      <c r="AI527" t="s">
        <v>438</v>
      </c>
      <c r="AJ527" t="s">
        <v>408</v>
      </c>
      <c r="AK527" t="s">
        <v>411</v>
      </c>
      <c r="AL527">
        <v>2017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 s="58">
        <f t="shared" si="8"/>
        <v>1</v>
      </c>
      <c r="AU527" s="79" t="s">
        <v>471</v>
      </c>
      <c r="AV527" t="s">
        <v>410</v>
      </c>
      <c r="AW527" t="s">
        <v>411</v>
      </c>
      <c r="AX527">
        <v>1</v>
      </c>
      <c r="AY527" t="s">
        <v>412</v>
      </c>
      <c r="AZ527" t="s">
        <v>408</v>
      </c>
    </row>
    <row r="528" spans="1:52" x14ac:dyDescent="0.3">
      <c r="A528">
        <v>517</v>
      </c>
      <c r="B528" t="s">
        <v>1505</v>
      </c>
      <c r="C528" t="s">
        <v>152</v>
      </c>
      <c r="D528" t="s">
        <v>473</v>
      </c>
      <c r="E528" t="s">
        <v>1506</v>
      </c>
      <c r="F528" t="s">
        <v>408</v>
      </c>
      <c r="G528">
        <v>2414</v>
      </c>
      <c r="H528">
        <v>2411</v>
      </c>
      <c r="I528" t="s">
        <v>435</v>
      </c>
      <c r="J528">
        <v>2498</v>
      </c>
      <c r="K528">
        <v>2499</v>
      </c>
      <c r="L528" t="s">
        <v>625</v>
      </c>
      <c r="M528">
        <v>3</v>
      </c>
      <c r="N528" t="s">
        <v>167</v>
      </c>
      <c r="O528" t="s">
        <v>167</v>
      </c>
      <c r="P528" t="s">
        <v>420</v>
      </c>
      <c r="Q528" t="s">
        <v>1508</v>
      </c>
      <c r="R528" t="s">
        <v>1509</v>
      </c>
      <c r="S528">
        <v>2016</v>
      </c>
      <c r="T528">
        <v>12</v>
      </c>
      <c r="U528" t="s">
        <v>370</v>
      </c>
      <c r="V528" t="s">
        <v>408</v>
      </c>
      <c r="W528">
        <v>0</v>
      </c>
      <c r="X528">
        <v>0</v>
      </c>
      <c r="Y528" t="s">
        <v>408</v>
      </c>
      <c r="Z528">
        <v>2016</v>
      </c>
      <c r="AA528">
        <v>2016</v>
      </c>
      <c r="AB528" s="5">
        <v>8.1641249120300005E-2</v>
      </c>
      <c r="AC528" s="5">
        <v>0.163282498241</v>
      </c>
      <c r="AD528" t="s">
        <v>408</v>
      </c>
      <c r="AE528" t="s">
        <v>152</v>
      </c>
      <c r="AF528" t="s">
        <v>408</v>
      </c>
      <c r="AG528" t="s">
        <v>408</v>
      </c>
      <c r="AH528" t="s">
        <v>408</v>
      </c>
      <c r="AI528" t="s">
        <v>408</v>
      </c>
      <c r="AJ528" t="s">
        <v>408</v>
      </c>
      <c r="AK528" t="s">
        <v>408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s="58">
        <f t="shared" si="8"/>
        <v>1</v>
      </c>
      <c r="AU528" s="79" t="s">
        <v>602</v>
      </c>
      <c r="AV528" s="78" t="s">
        <v>410</v>
      </c>
      <c r="AW528" t="s">
        <v>411</v>
      </c>
      <c r="AX528">
        <v>2</v>
      </c>
      <c r="AY528" t="s">
        <v>412</v>
      </c>
      <c r="AZ528" t="s">
        <v>408</v>
      </c>
    </row>
    <row r="529" spans="1:52" x14ac:dyDescent="0.3">
      <c r="A529">
        <v>518</v>
      </c>
      <c r="B529" t="s">
        <v>527</v>
      </c>
      <c r="C529" t="s">
        <v>447</v>
      </c>
      <c r="D529" t="s">
        <v>528</v>
      </c>
      <c r="E529" t="s">
        <v>417</v>
      </c>
      <c r="F529" t="s">
        <v>408</v>
      </c>
      <c r="G529">
        <v>8301</v>
      </c>
      <c r="H529">
        <v>8300</v>
      </c>
      <c r="I529" t="s">
        <v>530</v>
      </c>
      <c r="J529">
        <v>7901</v>
      </c>
      <c r="K529">
        <v>7900</v>
      </c>
      <c r="L529" t="s">
        <v>1510</v>
      </c>
      <c r="M529">
        <v>3</v>
      </c>
      <c r="N529" t="s">
        <v>167</v>
      </c>
      <c r="O529" t="s">
        <v>167</v>
      </c>
      <c r="P529" t="s">
        <v>420</v>
      </c>
      <c r="Q529" t="s">
        <v>1511</v>
      </c>
      <c r="R529" t="s">
        <v>1512</v>
      </c>
      <c r="S529">
        <v>2013</v>
      </c>
      <c r="T529">
        <v>10</v>
      </c>
      <c r="U529" t="s">
        <v>370</v>
      </c>
      <c r="V529" t="s">
        <v>408</v>
      </c>
      <c r="W529">
        <v>0</v>
      </c>
      <c r="X529">
        <v>0</v>
      </c>
      <c r="Y529" t="s">
        <v>408</v>
      </c>
      <c r="Z529">
        <v>2013</v>
      </c>
      <c r="AA529">
        <v>2013</v>
      </c>
      <c r="AB529" s="5">
        <v>7.6406545374599996E-2</v>
      </c>
      <c r="AC529" s="5">
        <v>0.15281309074900001</v>
      </c>
      <c r="AD529" t="s">
        <v>408</v>
      </c>
      <c r="AE529" t="s">
        <v>152</v>
      </c>
      <c r="AF529" t="s">
        <v>408</v>
      </c>
      <c r="AG529" t="s">
        <v>408</v>
      </c>
      <c r="AH529" t="s">
        <v>408</v>
      </c>
      <c r="AI529" t="s">
        <v>408</v>
      </c>
      <c r="AJ529" t="s">
        <v>408</v>
      </c>
      <c r="AK529" t="s">
        <v>408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 s="58">
        <f t="shared" si="8"/>
        <v>1</v>
      </c>
      <c r="AU529" s="79">
        <v>43336</v>
      </c>
      <c r="AV529" s="78" t="s">
        <v>410</v>
      </c>
      <c r="AW529" t="s">
        <v>408</v>
      </c>
      <c r="AX529">
        <v>2</v>
      </c>
      <c r="AY529" t="s">
        <v>412</v>
      </c>
      <c r="AZ529" t="s">
        <v>408</v>
      </c>
    </row>
    <row r="530" spans="1:52" x14ac:dyDescent="0.3">
      <c r="A530">
        <v>519</v>
      </c>
      <c r="B530" t="s">
        <v>1282</v>
      </c>
      <c r="C530" t="s">
        <v>154</v>
      </c>
      <c r="D530" t="s">
        <v>908</v>
      </c>
      <c r="E530" t="s">
        <v>466</v>
      </c>
      <c r="F530" t="s">
        <v>447</v>
      </c>
      <c r="G530">
        <v>3358</v>
      </c>
      <c r="H530">
        <v>3359</v>
      </c>
      <c r="I530" t="s">
        <v>909</v>
      </c>
      <c r="J530">
        <v>3201</v>
      </c>
      <c r="K530">
        <v>3200</v>
      </c>
      <c r="L530" t="s">
        <v>434</v>
      </c>
      <c r="M530">
        <v>4</v>
      </c>
      <c r="N530" t="s">
        <v>165</v>
      </c>
      <c r="O530" t="s">
        <v>165</v>
      </c>
      <c r="P530" t="s">
        <v>403</v>
      </c>
      <c r="Q530" t="s">
        <v>1284</v>
      </c>
      <c r="R530" t="s">
        <v>562</v>
      </c>
      <c r="S530">
        <v>2014</v>
      </c>
      <c r="T530">
        <v>10</v>
      </c>
      <c r="U530" t="s">
        <v>842</v>
      </c>
      <c r="V530" t="s">
        <v>910</v>
      </c>
      <c r="W530">
        <v>2017</v>
      </c>
      <c r="X530">
        <v>6</v>
      </c>
      <c r="Y530" t="s">
        <v>370</v>
      </c>
      <c r="Z530">
        <v>2017</v>
      </c>
      <c r="AA530">
        <v>2017</v>
      </c>
      <c r="AB530" s="5">
        <v>0.25200937585599997</v>
      </c>
      <c r="AC530" s="5">
        <v>0.25200937585599997</v>
      </c>
      <c r="AD530" t="s">
        <v>408</v>
      </c>
      <c r="AE530" t="s">
        <v>411</v>
      </c>
      <c r="AF530" t="s">
        <v>447</v>
      </c>
      <c r="AG530" t="s">
        <v>152</v>
      </c>
      <c r="AH530" t="s">
        <v>408</v>
      </c>
      <c r="AI530" t="s">
        <v>408</v>
      </c>
      <c r="AJ530" t="s">
        <v>408</v>
      </c>
      <c r="AK530" t="s">
        <v>408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 s="58">
        <f t="shared" si="8"/>
        <v>1</v>
      </c>
      <c r="AU530" s="79">
        <v>43343</v>
      </c>
      <c r="AV530" s="78" t="s">
        <v>410</v>
      </c>
      <c r="AW530" t="s">
        <v>152</v>
      </c>
      <c r="AX530">
        <v>2</v>
      </c>
      <c r="AY530" t="s">
        <v>412</v>
      </c>
      <c r="AZ530" t="s">
        <v>408</v>
      </c>
    </row>
    <row r="531" spans="1:52" x14ac:dyDescent="0.3">
      <c r="A531">
        <v>520</v>
      </c>
      <c r="B531" t="s">
        <v>472</v>
      </c>
      <c r="C531" t="s">
        <v>152</v>
      </c>
      <c r="D531" t="s">
        <v>473</v>
      </c>
      <c r="E531" t="s">
        <v>460</v>
      </c>
      <c r="F531" t="s">
        <v>408</v>
      </c>
      <c r="G531">
        <v>2700</v>
      </c>
      <c r="H531">
        <v>2701</v>
      </c>
      <c r="I531" t="s">
        <v>1359</v>
      </c>
      <c r="J531">
        <v>2778</v>
      </c>
      <c r="K531">
        <v>2779</v>
      </c>
      <c r="L531" t="s">
        <v>619</v>
      </c>
      <c r="M531">
        <v>3</v>
      </c>
      <c r="N531" t="s">
        <v>165</v>
      </c>
      <c r="O531" t="s">
        <v>165</v>
      </c>
      <c r="P531" t="s">
        <v>403</v>
      </c>
      <c r="Q531" t="s">
        <v>771</v>
      </c>
      <c r="R531" t="s">
        <v>526</v>
      </c>
      <c r="S531">
        <v>2015</v>
      </c>
      <c r="T531">
        <v>5</v>
      </c>
      <c r="U531" t="s">
        <v>408</v>
      </c>
      <c r="V531" t="s">
        <v>408</v>
      </c>
      <c r="W531">
        <v>0</v>
      </c>
      <c r="X531">
        <v>0</v>
      </c>
      <c r="Y531" t="s">
        <v>408</v>
      </c>
      <c r="Z531">
        <v>2015</v>
      </c>
      <c r="AA531">
        <v>1999</v>
      </c>
      <c r="AB531" s="5">
        <v>0.17404326746500001</v>
      </c>
      <c r="AC531" s="5">
        <v>0.34808653493000002</v>
      </c>
      <c r="AD531" t="s">
        <v>408</v>
      </c>
      <c r="AE531" t="s">
        <v>152</v>
      </c>
      <c r="AF531" t="s">
        <v>408</v>
      </c>
      <c r="AG531" t="s">
        <v>408</v>
      </c>
      <c r="AH531" t="s">
        <v>408</v>
      </c>
      <c r="AI531" t="s">
        <v>408</v>
      </c>
      <c r="AJ531" t="s">
        <v>408</v>
      </c>
      <c r="AK531" t="s">
        <v>408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 s="58">
        <f t="shared" si="8"/>
        <v>1</v>
      </c>
      <c r="AU531" s="79">
        <v>43333</v>
      </c>
      <c r="AV531" t="s">
        <v>410</v>
      </c>
      <c r="AW531" t="s">
        <v>152</v>
      </c>
      <c r="AX531">
        <v>2</v>
      </c>
      <c r="AY531" t="s">
        <v>412</v>
      </c>
      <c r="AZ531" t="s">
        <v>408</v>
      </c>
    </row>
    <row r="532" spans="1:52" x14ac:dyDescent="0.3">
      <c r="A532">
        <v>521</v>
      </c>
      <c r="B532" t="s">
        <v>754</v>
      </c>
      <c r="C532" t="s">
        <v>152</v>
      </c>
      <c r="D532" t="s">
        <v>755</v>
      </c>
      <c r="E532" t="s">
        <v>460</v>
      </c>
      <c r="F532" t="s">
        <v>408</v>
      </c>
      <c r="G532">
        <v>4400</v>
      </c>
      <c r="H532">
        <v>4407</v>
      </c>
      <c r="I532" t="s">
        <v>685</v>
      </c>
      <c r="J532">
        <v>4672</v>
      </c>
      <c r="K532">
        <v>4707</v>
      </c>
      <c r="L532" t="s">
        <v>1513</v>
      </c>
      <c r="M532">
        <v>3</v>
      </c>
      <c r="N532" t="s">
        <v>167</v>
      </c>
      <c r="O532" t="s">
        <v>167</v>
      </c>
      <c r="P532" t="s">
        <v>403</v>
      </c>
      <c r="Q532" t="s">
        <v>408</v>
      </c>
      <c r="R532" t="s">
        <v>756</v>
      </c>
      <c r="S532">
        <v>2018</v>
      </c>
      <c r="T532">
        <v>10</v>
      </c>
      <c r="U532" t="s">
        <v>757</v>
      </c>
      <c r="V532" t="s">
        <v>756</v>
      </c>
      <c r="W532">
        <v>2018</v>
      </c>
      <c r="X532">
        <v>10</v>
      </c>
      <c r="Y532" t="s">
        <v>370</v>
      </c>
      <c r="Z532">
        <v>2017</v>
      </c>
      <c r="AA532">
        <v>2017</v>
      </c>
      <c r="AB532" s="5">
        <v>0.41981763508499997</v>
      </c>
      <c r="AC532" s="5">
        <v>0.83963527016999995</v>
      </c>
      <c r="AD532" t="s">
        <v>408</v>
      </c>
      <c r="AE532" t="s">
        <v>152</v>
      </c>
      <c r="AF532" t="s">
        <v>408</v>
      </c>
      <c r="AG532" t="s">
        <v>408</v>
      </c>
      <c r="AH532" t="s">
        <v>408</v>
      </c>
      <c r="AI532" t="s">
        <v>408</v>
      </c>
      <c r="AJ532" t="s">
        <v>408</v>
      </c>
      <c r="AK532" t="s">
        <v>408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s="58">
        <f t="shared" si="8"/>
        <v>1</v>
      </c>
      <c r="AU532" s="79">
        <v>43370</v>
      </c>
      <c r="AV532" t="s">
        <v>410</v>
      </c>
      <c r="AW532" t="s">
        <v>408</v>
      </c>
      <c r="AX532">
        <v>2</v>
      </c>
      <c r="AY532" t="s">
        <v>412</v>
      </c>
      <c r="AZ532" t="s">
        <v>408</v>
      </c>
    </row>
    <row r="533" spans="1:52" x14ac:dyDescent="0.3">
      <c r="A533">
        <v>522</v>
      </c>
      <c r="B533" t="s">
        <v>527</v>
      </c>
      <c r="C533" t="s">
        <v>154</v>
      </c>
      <c r="D533" t="s">
        <v>528</v>
      </c>
      <c r="E533" t="s">
        <v>417</v>
      </c>
      <c r="F533" t="s">
        <v>408</v>
      </c>
      <c r="G533">
        <v>155</v>
      </c>
      <c r="H533">
        <v>154</v>
      </c>
      <c r="I533" t="s">
        <v>931</v>
      </c>
      <c r="J533">
        <v>33</v>
      </c>
      <c r="K533">
        <v>32</v>
      </c>
      <c r="L533" t="s">
        <v>1514</v>
      </c>
      <c r="M533">
        <v>3</v>
      </c>
      <c r="N533" t="s">
        <v>165</v>
      </c>
      <c r="O533" t="s">
        <v>165</v>
      </c>
      <c r="P533" t="s">
        <v>403</v>
      </c>
      <c r="Q533" t="s">
        <v>408</v>
      </c>
      <c r="R533" t="s">
        <v>662</v>
      </c>
      <c r="S533">
        <v>2015</v>
      </c>
      <c r="T533">
        <v>11</v>
      </c>
      <c r="U533" t="s">
        <v>408</v>
      </c>
      <c r="V533" t="s">
        <v>742</v>
      </c>
      <c r="W533">
        <v>2017</v>
      </c>
      <c r="X533">
        <v>5</v>
      </c>
      <c r="Y533" t="s">
        <v>370</v>
      </c>
      <c r="Z533">
        <v>2017</v>
      </c>
      <c r="AA533">
        <v>2017</v>
      </c>
      <c r="AB533" s="5">
        <v>0.18005972726300001</v>
      </c>
      <c r="AC533" s="5">
        <v>0.36011945452600003</v>
      </c>
      <c r="AD533" t="s">
        <v>408</v>
      </c>
      <c r="AE533" t="s">
        <v>152</v>
      </c>
      <c r="AF533" t="s">
        <v>408</v>
      </c>
      <c r="AG533" t="s">
        <v>408</v>
      </c>
      <c r="AH533" t="s">
        <v>408</v>
      </c>
      <c r="AI533" t="s">
        <v>408</v>
      </c>
      <c r="AJ533" t="s">
        <v>408</v>
      </c>
      <c r="AK533" t="s">
        <v>408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0</v>
      </c>
      <c r="AT533" s="58">
        <f t="shared" si="8"/>
        <v>1</v>
      </c>
      <c r="AU533" s="79">
        <v>43336</v>
      </c>
      <c r="AV533" s="78" t="s">
        <v>410</v>
      </c>
      <c r="AW533" t="s">
        <v>152</v>
      </c>
      <c r="AX533">
        <v>2</v>
      </c>
      <c r="AY533" t="s">
        <v>412</v>
      </c>
      <c r="AZ533" t="s">
        <v>408</v>
      </c>
    </row>
    <row r="534" spans="1:52" x14ac:dyDescent="0.3">
      <c r="A534">
        <v>523</v>
      </c>
      <c r="B534" t="s">
        <v>1446</v>
      </c>
      <c r="C534" t="s">
        <v>447</v>
      </c>
      <c r="D534" t="s">
        <v>1447</v>
      </c>
      <c r="E534" t="s">
        <v>417</v>
      </c>
      <c r="F534" t="s">
        <v>408</v>
      </c>
      <c r="G534">
        <v>630</v>
      </c>
      <c r="H534">
        <v>633</v>
      </c>
      <c r="I534" t="s">
        <v>1448</v>
      </c>
      <c r="J534">
        <v>7159</v>
      </c>
      <c r="K534">
        <v>7158</v>
      </c>
      <c r="L534" t="s">
        <v>512</v>
      </c>
      <c r="M534">
        <v>2</v>
      </c>
      <c r="N534" t="s">
        <v>167</v>
      </c>
      <c r="O534" t="s">
        <v>167</v>
      </c>
      <c r="P534" t="s">
        <v>414</v>
      </c>
      <c r="Q534" t="s">
        <v>408</v>
      </c>
      <c r="R534" t="s">
        <v>748</v>
      </c>
      <c r="S534">
        <v>2003</v>
      </c>
      <c r="T534">
        <v>9</v>
      </c>
      <c r="U534" t="s">
        <v>408</v>
      </c>
      <c r="V534" t="s">
        <v>645</v>
      </c>
      <c r="W534">
        <v>2017</v>
      </c>
      <c r="X534">
        <v>6</v>
      </c>
      <c r="Y534" t="s">
        <v>408</v>
      </c>
      <c r="Z534">
        <v>2017</v>
      </c>
      <c r="AA534">
        <v>2001</v>
      </c>
      <c r="AB534" s="5">
        <v>3.1773033029899998E-2</v>
      </c>
      <c r="AC534" s="5">
        <v>6.3546066059799997E-2</v>
      </c>
      <c r="AD534" t="s">
        <v>408</v>
      </c>
      <c r="AE534" t="s">
        <v>152</v>
      </c>
      <c r="AF534" t="s">
        <v>408</v>
      </c>
      <c r="AG534" t="s">
        <v>408</v>
      </c>
      <c r="AH534" t="s">
        <v>408</v>
      </c>
      <c r="AI534" t="s">
        <v>408</v>
      </c>
      <c r="AJ534" t="s">
        <v>408</v>
      </c>
      <c r="AK534" t="s">
        <v>408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0</v>
      </c>
      <c r="AT534" s="58">
        <f t="shared" si="8"/>
        <v>1</v>
      </c>
      <c r="AU534" s="79">
        <v>43348</v>
      </c>
      <c r="AV534" s="78" t="s">
        <v>410</v>
      </c>
      <c r="AW534" t="s">
        <v>408</v>
      </c>
      <c r="AX534">
        <v>2</v>
      </c>
      <c r="AY534" t="s">
        <v>412</v>
      </c>
      <c r="AZ534" t="s">
        <v>408</v>
      </c>
    </row>
    <row r="535" spans="1:52" x14ac:dyDescent="0.3">
      <c r="A535">
        <v>524</v>
      </c>
      <c r="B535" t="s">
        <v>918</v>
      </c>
      <c r="C535" t="s">
        <v>154</v>
      </c>
      <c r="D535" t="s">
        <v>919</v>
      </c>
      <c r="E535" t="s">
        <v>460</v>
      </c>
      <c r="F535" t="s">
        <v>408</v>
      </c>
      <c r="G535">
        <v>1255</v>
      </c>
      <c r="H535">
        <v>1262</v>
      </c>
      <c r="I535" t="s">
        <v>924</v>
      </c>
      <c r="J535">
        <v>1101</v>
      </c>
      <c r="K535">
        <v>1100</v>
      </c>
      <c r="L535" t="s">
        <v>920</v>
      </c>
      <c r="M535">
        <v>4</v>
      </c>
      <c r="N535" t="s">
        <v>170</v>
      </c>
      <c r="O535" t="s">
        <v>170</v>
      </c>
      <c r="P535" t="s">
        <v>420</v>
      </c>
      <c r="Q535" t="s">
        <v>1515</v>
      </c>
      <c r="R535" t="s">
        <v>719</v>
      </c>
      <c r="S535">
        <v>2005</v>
      </c>
      <c r="T535">
        <v>9</v>
      </c>
      <c r="U535" t="s">
        <v>370</v>
      </c>
      <c r="V535" t="s">
        <v>922</v>
      </c>
      <c r="W535">
        <v>2018</v>
      </c>
      <c r="X535">
        <v>12</v>
      </c>
      <c r="Y535" t="s">
        <v>408</v>
      </c>
      <c r="Z535">
        <v>2018</v>
      </c>
      <c r="AA535">
        <v>2018</v>
      </c>
      <c r="AB535" s="5">
        <v>0.25535793190099998</v>
      </c>
      <c r="AC535" s="5">
        <v>0.51071586380199996</v>
      </c>
      <c r="AD535" t="s">
        <v>408</v>
      </c>
      <c r="AE535" t="s">
        <v>152</v>
      </c>
      <c r="AF535" t="s">
        <v>408</v>
      </c>
      <c r="AG535" t="s">
        <v>408</v>
      </c>
      <c r="AH535" t="s">
        <v>408</v>
      </c>
      <c r="AI535" t="s">
        <v>408</v>
      </c>
      <c r="AJ535" t="s">
        <v>408</v>
      </c>
      <c r="AK535" t="s">
        <v>408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58">
        <f t="shared" si="8"/>
        <v>1</v>
      </c>
      <c r="AU535" s="79">
        <v>43343</v>
      </c>
      <c r="AV535" t="s">
        <v>410</v>
      </c>
      <c r="AW535" t="s">
        <v>408</v>
      </c>
      <c r="AX535">
        <v>2</v>
      </c>
      <c r="AY535" t="s">
        <v>412</v>
      </c>
      <c r="AZ535" t="s">
        <v>408</v>
      </c>
    </row>
    <row r="536" spans="1:52" x14ac:dyDescent="0.3">
      <c r="A536">
        <v>525</v>
      </c>
      <c r="B536" t="s">
        <v>918</v>
      </c>
      <c r="C536" t="s">
        <v>154</v>
      </c>
      <c r="D536" t="s">
        <v>919</v>
      </c>
      <c r="E536" t="s">
        <v>460</v>
      </c>
      <c r="F536" t="s">
        <v>408</v>
      </c>
      <c r="G536">
        <v>759</v>
      </c>
      <c r="H536">
        <v>758</v>
      </c>
      <c r="I536" t="s">
        <v>921</v>
      </c>
      <c r="J536">
        <v>729</v>
      </c>
      <c r="K536">
        <v>730</v>
      </c>
      <c r="L536" t="s">
        <v>711</v>
      </c>
      <c r="M536">
        <v>4</v>
      </c>
      <c r="N536" t="s">
        <v>170</v>
      </c>
      <c r="O536" t="s">
        <v>170</v>
      </c>
      <c r="P536" t="s">
        <v>420</v>
      </c>
      <c r="Q536" t="s">
        <v>1515</v>
      </c>
      <c r="R536" t="s">
        <v>719</v>
      </c>
      <c r="S536">
        <v>2005</v>
      </c>
      <c r="T536">
        <v>9</v>
      </c>
      <c r="U536" t="s">
        <v>370</v>
      </c>
      <c r="V536" t="s">
        <v>408</v>
      </c>
      <c r="W536">
        <v>0</v>
      </c>
      <c r="X536">
        <v>0</v>
      </c>
      <c r="Y536" t="s">
        <v>408</v>
      </c>
      <c r="Z536">
        <v>2005</v>
      </c>
      <c r="AA536">
        <v>2005</v>
      </c>
      <c r="AB536" s="5">
        <v>7.2414508299499997E-2</v>
      </c>
      <c r="AC536" s="5">
        <v>0.14482901659899999</v>
      </c>
      <c r="AD536" t="s">
        <v>408</v>
      </c>
      <c r="AE536" t="s">
        <v>152</v>
      </c>
      <c r="AF536" t="s">
        <v>408</v>
      </c>
      <c r="AG536" t="s">
        <v>408</v>
      </c>
      <c r="AH536" t="s">
        <v>408</v>
      </c>
      <c r="AI536" t="s">
        <v>408</v>
      </c>
      <c r="AJ536" t="s">
        <v>408</v>
      </c>
      <c r="AK536" t="s">
        <v>408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58">
        <f t="shared" si="8"/>
        <v>1</v>
      </c>
      <c r="AU536" s="79">
        <v>43343</v>
      </c>
      <c r="AV536" s="78" t="s">
        <v>410</v>
      </c>
      <c r="AW536" t="s">
        <v>408</v>
      </c>
      <c r="AX536">
        <v>2</v>
      </c>
      <c r="AY536" t="s">
        <v>412</v>
      </c>
      <c r="AZ536" t="s">
        <v>408</v>
      </c>
    </row>
    <row r="537" spans="1:52" x14ac:dyDescent="0.3">
      <c r="A537">
        <v>526</v>
      </c>
      <c r="B537" t="s">
        <v>1314</v>
      </c>
      <c r="C537" t="s">
        <v>154</v>
      </c>
      <c r="D537" t="s">
        <v>501</v>
      </c>
      <c r="E537" t="s">
        <v>417</v>
      </c>
      <c r="F537" t="s">
        <v>447</v>
      </c>
      <c r="G537">
        <v>361</v>
      </c>
      <c r="H537">
        <v>360</v>
      </c>
      <c r="I537" t="s">
        <v>1315</v>
      </c>
      <c r="J537">
        <v>521</v>
      </c>
      <c r="K537">
        <v>520</v>
      </c>
      <c r="L537" t="s">
        <v>1516</v>
      </c>
      <c r="M537">
        <v>4</v>
      </c>
      <c r="N537" t="s">
        <v>167</v>
      </c>
      <c r="O537" t="s">
        <v>167</v>
      </c>
      <c r="P537" t="s">
        <v>420</v>
      </c>
      <c r="Q537" t="s">
        <v>408</v>
      </c>
      <c r="R537" t="s">
        <v>505</v>
      </c>
      <c r="S537">
        <v>2015</v>
      </c>
      <c r="T537">
        <v>12</v>
      </c>
      <c r="U537" t="s">
        <v>408</v>
      </c>
      <c r="V537" t="s">
        <v>487</v>
      </c>
      <c r="W537">
        <v>2020</v>
      </c>
      <c r="X537">
        <v>8</v>
      </c>
      <c r="Y537" t="s">
        <v>408</v>
      </c>
      <c r="Z537">
        <v>2020</v>
      </c>
      <c r="AA537">
        <v>2015</v>
      </c>
      <c r="AB537" s="5">
        <v>0.139058780228</v>
      </c>
      <c r="AC537" s="5">
        <v>0.139058780228</v>
      </c>
      <c r="AD537" t="s">
        <v>505</v>
      </c>
      <c r="AE537" t="s">
        <v>411</v>
      </c>
      <c r="AF537" t="s">
        <v>447</v>
      </c>
      <c r="AG537" t="s">
        <v>152</v>
      </c>
      <c r="AH537" t="s">
        <v>408</v>
      </c>
      <c r="AI537" t="s">
        <v>408</v>
      </c>
      <c r="AJ537" t="s">
        <v>408</v>
      </c>
      <c r="AK537" t="s">
        <v>411</v>
      </c>
      <c r="AL537">
        <v>2017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 s="58">
        <f t="shared" si="8"/>
        <v>1</v>
      </c>
      <c r="AU537" s="79" t="s">
        <v>592</v>
      </c>
      <c r="AV537" t="s">
        <v>410</v>
      </c>
      <c r="AW537" t="s">
        <v>408</v>
      </c>
      <c r="AX537">
        <v>2</v>
      </c>
      <c r="AY537" t="s">
        <v>412</v>
      </c>
      <c r="AZ537" t="s">
        <v>408</v>
      </c>
    </row>
    <row r="538" spans="1:52" x14ac:dyDescent="0.3">
      <c r="A538">
        <v>527</v>
      </c>
      <c r="B538" t="s">
        <v>911</v>
      </c>
      <c r="C538" t="s">
        <v>154</v>
      </c>
      <c r="D538" t="s">
        <v>912</v>
      </c>
      <c r="E538" t="s">
        <v>417</v>
      </c>
      <c r="F538" t="s">
        <v>408</v>
      </c>
      <c r="G538">
        <v>1161</v>
      </c>
      <c r="H538">
        <v>1160</v>
      </c>
      <c r="I538" t="s">
        <v>983</v>
      </c>
      <c r="J538">
        <v>1101</v>
      </c>
      <c r="K538">
        <v>1100</v>
      </c>
      <c r="L538" t="s">
        <v>1062</v>
      </c>
      <c r="M538">
        <v>4</v>
      </c>
      <c r="N538" t="s">
        <v>167</v>
      </c>
      <c r="O538" t="s">
        <v>167</v>
      </c>
      <c r="P538" t="s">
        <v>420</v>
      </c>
      <c r="Q538" t="s">
        <v>1517</v>
      </c>
      <c r="R538" t="s">
        <v>748</v>
      </c>
      <c r="S538">
        <v>2004</v>
      </c>
      <c r="T538">
        <v>10</v>
      </c>
      <c r="U538" t="s">
        <v>408</v>
      </c>
      <c r="V538" t="s">
        <v>487</v>
      </c>
      <c r="W538">
        <v>2020</v>
      </c>
      <c r="X538">
        <v>0</v>
      </c>
      <c r="Y538" t="s">
        <v>408</v>
      </c>
      <c r="Z538">
        <v>2020</v>
      </c>
      <c r="AA538">
        <v>0</v>
      </c>
      <c r="AB538" s="5">
        <v>0.130716548303</v>
      </c>
      <c r="AC538" s="5">
        <v>0.261433096606</v>
      </c>
      <c r="AD538" t="s">
        <v>408</v>
      </c>
      <c r="AE538" t="s">
        <v>152</v>
      </c>
      <c r="AF538" t="s">
        <v>408</v>
      </c>
      <c r="AG538" t="s">
        <v>408</v>
      </c>
      <c r="AH538" t="s">
        <v>408</v>
      </c>
      <c r="AI538" t="s">
        <v>408</v>
      </c>
      <c r="AJ538" t="s">
        <v>408</v>
      </c>
      <c r="AK538" t="s">
        <v>408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 s="58">
        <f t="shared" si="8"/>
        <v>1</v>
      </c>
      <c r="AU538" s="79" t="s">
        <v>592</v>
      </c>
      <c r="AV538" s="78" t="s">
        <v>410</v>
      </c>
      <c r="AW538" t="s">
        <v>408</v>
      </c>
      <c r="AX538">
        <v>2</v>
      </c>
      <c r="AY538" t="s">
        <v>412</v>
      </c>
      <c r="AZ538" t="s">
        <v>408</v>
      </c>
    </row>
    <row r="539" spans="1:52" x14ac:dyDescent="0.3">
      <c r="A539">
        <v>528</v>
      </c>
      <c r="B539" t="s">
        <v>997</v>
      </c>
      <c r="C539" t="s">
        <v>154</v>
      </c>
      <c r="D539" t="s">
        <v>998</v>
      </c>
      <c r="E539" t="s">
        <v>417</v>
      </c>
      <c r="F539" t="s">
        <v>408</v>
      </c>
      <c r="G539">
        <v>741</v>
      </c>
      <c r="H539">
        <v>740</v>
      </c>
      <c r="I539" t="s">
        <v>502</v>
      </c>
      <c r="J539">
        <v>640</v>
      </c>
      <c r="K539">
        <v>641</v>
      </c>
      <c r="L539" t="s">
        <v>738</v>
      </c>
      <c r="M539">
        <v>4</v>
      </c>
      <c r="N539" t="s">
        <v>165</v>
      </c>
      <c r="O539" t="s">
        <v>165</v>
      </c>
      <c r="P539" t="s">
        <v>420</v>
      </c>
      <c r="Q539" t="s">
        <v>1518</v>
      </c>
      <c r="R539" t="s">
        <v>645</v>
      </c>
      <c r="S539">
        <v>2017</v>
      </c>
      <c r="T539">
        <v>9</v>
      </c>
      <c r="U539" t="s">
        <v>1519</v>
      </c>
      <c r="V539" t="s">
        <v>408</v>
      </c>
      <c r="W539">
        <v>0</v>
      </c>
      <c r="X539">
        <v>0</v>
      </c>
      <c r="Y539" t="s">
        <v>408</v>
      </c>
      <c r="Z539">
        <v>2017</v>
      </c>
      <c r="AA539">
        <v>0</v>
      </c>
      <c r="AB539" s="5">
        <v>0.16656049763200001</v>
      </c>
      <c r="AC539" s="5">
        <v>0.33312099526400002</v>
      </c>
      <c r="AD539" t="s">
        <v>408</v>
      </c>
      <c r="AE539" t="s">
        <v>152</v>
      </c>
      <c r="AF539" t="s">
        <v>408</v>
      </c>
      <c r="AG539" t="s">
        <v>408</v>
      </c>
      <c r="AH539" t="s">
        <v>408</v>
      </c>
      <c r="AI539" t="s">
        <v>408</v>
      </c>
      <c r="AJ539" t="s">
        <v>408</v>
      </c>
      <c r="AK539" t="s">
        <v>411</v>
      </c>
      <c r="AL539">
        <v>2017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 s="58">
        <f t="shared" si="8"/>
        <v>1</v>
      </c>
      <c r="AU539" s="79">
        <v>43347</v>
      </c>
      <c r="AV539" s="78" t="s">
        <v>410</v>
      </c>
      <c r="AW539" t="s">
        <v>152</v>
      </c>
      <c r="AX539">
        <v>2</v>
      </c>
      <c r="AY539" t="s">
        <v>412</v>
      </c>
      <c r="AZ539" t="s">
        <v>408</v>
      </c>
    </row>
    <row r="540" spans="1:52" x14ac:dyDescent="0.3">
      <c r="A540">
        <v>529</v>
      </c>
      <c r="B540" t="s">
        <v>1520</v>
      </c>
      <c r="C540" t="s">
        <v>154</v>
      </c>
      <c r="D540" t="s">
        <v>1521</v>
      </c>
      <c r="E540" t="s">
        <v>417</v>
      </c>
      <c r="F540" t="s">
        <v>408</v>
      </c>
      <c r="G540">
        <v>5200</v>
      </c>
      <c r="H540">
        <v>5201</v>
      </c>
      <c r="I540" t="s">
        <v>1522</v>
      </c>
      <c r="J540">
        <v>4000</v>
      </c>
      <c r="K540">
        <v>4001</v>
      </c>
      <c r="L540" t="s">
        <v>1236</v>
      </c>
      <c r="M540">
        <v>2</v>
      </c>
      <c r="N540" t="s">
        <v>165</v>
      </c>
      <c r="O540" t="s">
        <v>165</v>
      </c>
      <c r="P540" t="s">
        <v>420</v>
      </c>
      <c r="Q540" t="s">
        <v>1523</v>
      </c>
      <c r="R540" t="s">
        <v>556</v>
      </c>
      <c r="S540">
        <v>2013</v>
      </c>
      <c r="T540">
        <v>7</v>
      </c>
      <c r="U540" t="s">
        <v>370</v>
      </c>
      <c r="V540" t="s">
        <v>749</v>
      </c>
      <c r="W540">
        <v>2021</v>
      </c>
      <c r="X540">
        <v>0</v>
      </c>
      <c r="Y540" t="s">
        <v>408</v>
      </c>
      <c r="Z540">
        <v>2021</v>
      </c>
      <c r="AA540">
        <v>2013</v>
      </c>
      <c r="AB540" s="5">
        <v>1.5164035391299999</v>
      </c>
      <c r="AC540" s="5">
        <v>3.0328070782599998</v>
      </c>
      <c r="AD540" t="s">
        <v>400</v>
      </c>
      <c r="AE540" t="s">
        <v>152</v>
      </c>
      <c r="AF540" t="s">
        <v>400</v>
      </c>
      <c r="AG540" t="s">
        <v>400</v>
      </c>
      <c r="AH540" t="s">
        <v>400</v>
      </c>
      <c r="AI540" t="s">
        <v>400</v>
      </c>
      <c r="AJ540" t="s">
        <v>400</v>
      </c>
      <c r="AK540" t="s">
        <v>400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s="58">
        <f t="shared" si="8"/>
        <v>1</v>
      </c>
      <c r="AU540" s="79" t="s">
        <v>768</v>
      </c>
      <c r="AV540" t="s">
        <v>410</v>
      </c>
      <c r="AW540" t="s">
        <v>152</v>
      </c>
      <c r="AX540">
        <v>2</v>
      </c>
      <c r="AY540" t="s">
        <v>412</v>
      </c>
      <c r="AZ540" t="s">
        <v>408</v>
      </c>
    </row>
    <row r="541" spans="1:52" x14ac:dyDescent="0.3">
      <c r="A541">
        <v>530</v>
      </c>
      <c r="B541" t="s">
        <v>806</v>
      </c>
      <c r="C541" t="s">
        <v>155</v>
      </c>
      <c r="D541" t="s">
        <v>807</v>
      </c>
      <c r="E541" t="s">
        <v>460</v>
      </c>
      <c r="F541" t="s">
        <v>408</v>
      </c>
      <c r="G541">
        <v>2200</v>
      </c>
      <c r="H541">
        <v>2201</v>
      </c>
      <c r="I541" t="s">
        <v>492</v>
      </c>
      <c r="J541">
        <v>1900</v>
      </c>
      <c r="K541">
        <v>1901</v>
      </c>
      <c r="L541" t="s">
        <v>877</v>
      </c>
      <c r="M541">
        <v>3</v>
      </c>
      <c r="N541" t="s">
        <v>165</v>
      </c>
      <c r="O541" t="s">
        <v>165</v>
      </c>
      <c r="P541" t="s">
        <v>403</v>
      </c>
      <c r="Q541" t="s">
        <v>1524</v>
      </c>
      <c r="R541" t="s">
        <v>556</v>
      </c>
      <c r="S541">
        <v>2013</v>
      </c>
      <c r="T541">
        <v>9</v>
      </c>
      <c r="U541" t="s">
        <v>370</v>
      </c>
      <c r="V541" t="s">
        <v>695</v>
      </c>
      <c r="W541">
        <v>2020</v>
      </c>
      <c r="X541">
        <v>2020</v>
      </c>
      <c r="Y541" t="s">
        <v>370</v>
      </c>
      <c r="Z541">
        <v>2020</v>
      </c>
      <c r="AA541">
        <v>2020</v>
      </c>
      <c r="AB541" s="5">
        <v>0.46932838943600003</v>
      </c>
      <c r="AC541" s="5">
        <v>0.93865677887200005</v>
      </c>
      <c r="AD541" t="s">
        <v>408</v>
      </c>
      <c r="AE541" t="s">
        <v>152</v>
      </c>
      <c r="AF541" t="s">
        <v>408</v>
      </c>
      <c r="AG541" t="s">
        <v>408</v>
      </c>
      <c r="AH541" t="s">
        <v>408</v>
      </c>
      <c r="AI541" t="s">
        <v>408</v>
      </c>
      <c r="AJ541" t="s">
        <v>408</v>
      </c>
      <c r="AK541" t="s">
        <v>408</v>
      </c>
      <c r="AL541">
        <v>0</v>
      </c>
      <c r="AM541">
        <v>0</v>
      </c>
      <c r="AN541">
        <v>0</v>
      </c>
      <c r="AO541">
        <v>0.6</v>
      </c>
      <c r="AP541">
        <v>0</v>
      </c>
      <c r="AQ541">
        <v>0</v>
      </c>
      <c r="AR541">
        <v>0</v>
      </c>
      <c r="AS541">
        <v>0.4</v>
      </c>
      <c r="AT541" s="58">
        <f t="shared" si="8"/>
        <v>1</v>
      </c>
      <c r="AU541" s="79" t="s">
        <v>431</v>
      </c>
      <c r="AV541" t="s">
        <v>410</v>
      </c>
      <c r="AW541" t="s">
        <v>152</v>
      </c>
      <c r="AX541">
        <v>2</v>
      </c>
      <c r="AY541" t="s">
        <v>412</v>
      </c>
      <c r="AZ541" t="s">
        <v>408</v>
      </c>
    </row>
    <row r="542" spans="1:52" x14ac:dyDescent="0.3">
      <c r="A542">
        <v>531</v>
      </c>
      <c r="B542" t="s">
        <v>641</v>
      </c>
      <c r="C542" t="s">
        <v>152</v>
      </c>
      <c r="D542" t="s">
        <v>642</v>
      </c>
      <c r="E542" t="s">
        <v>460</v>
      </c>
      <c r="F542" t="s">
        <v>408</v>
      </c>
      <c r="G542">
        <v>2800</v>
      </c>
      <c r="H542">
        <v>2801</v>
      </c>
      <c r="I542" t="s">
        <v>483</v>
      </c>
      <c r="J542">
        <v>3176</v>
      </c>
      <c r="K542">
        <v>3179</v>
      </c>
      <c r="L542" t="s">
        <v>803</v>
      </c>
      <c r="M542">
        <v>3</v>
      </c>
      <c r="N542" t="s">
        <v>165</v>
      </c>
      <c r="O542" t="s">
        <v>165</v>
      </c>
      <c r="P542" t="s">
        <v>420</v>
      </c>
      <c r="Q542" t="s">
        <v>1525</v>
      </c>
      <c r="R542" t="s">
        <v>556</v>
      </c>
      <c r="S542">
        <v>2013</v>
      </c>
      <c r="T542">
        <v>8</v>
      </c>
      <c r="U542" t="s">
        <v>370</v>
      </c>
      <c r="V542" t="s">
        <v>408</v>
      </c>
      <c r="W542">
        <v>0</v>
      </c>
      <c r="X542">
        <v>0</v>
      </c>
      <c r="Y542" t="s">
        <v>408</v>
      </c>
      <c r="Z542">
        <v>2013</v>
      </c>
      <c r="AA542">
        <v>2013</v>
      </c>
      <c r="AB542" s="5">
        <v>0.70684903058199999</v>
      </c>
      <c r="AC542" s="5">
        <v>1.4136980611600001</v>
      </c>
      <c r="AD542" t="s">
        <v>408</v>
      </c>
      <c r="AE542" t="s">
        <v>152</v>
      </c>
      <c r="AF542" t="s">
        <v>408</v>
      </c>
      <c r="AG542" t="s">
        <v>408</v>
      </c>
      <c r="AH542" t="s">
        <v>408</v>
      </c>
      <c r="AI542" t="s">
        <v>408</v>
      </c>
      <c r="AJ542" t="s">
        <v>408</v>
      </c>
      <c r="AK542" t="s">
        <v>408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58">
        <f t="shared" si="8"/>
        <v>1</v>
      </c>
      <c r="AU542" s="79">
        <v>43339</v>
      </c>
      <c r="AV542" s="78" t="s">
        <v>410</v>
      </c>
      <c r="AW542" t="s">
        <v>152</v>
      </c>
      <c r="AX542">
        <v>2</v>
      </c>
      <c r="AY542" t="s">
        <v>412</v>
      </c>
      <c r="AZ542" t="s">
        <v>408</v>
      </c>
    </row>
    <row r="543" spans="1:52" x14ac:dyDescent="0.3">
      <c r="A543">
        <v>532</v>
      </c>
      <c r="B543" t="s">
        <v>1129</v>
      </c>
      <c r="C543" t="s">
        <v>155</v>
      </c>
      <c r="D543" t="s">
        <v>1130</v>
      </c>
      <c r="E543" t="s">
        <v>1131</v>
      </c>
      <c r="F543" t="s">
        <v>408</v>
      </c>
      <c r="G543">
        <v>9963</v>
      </c>
      <c r="H543">
        <v>9962</v>
      </c>
      <c r="I543" t="s">
        <v>1526</v>
      </c>
      <c r="J543">
        <v>9901</v>
      </c>
      <c r="K543">
        <v>9900</v>
      </c>
      <c r="L543" t="s">
        <v>1132</v>
      </c>
      <c r="M543">
        <v>4</v>
      </c>
      <c r="N543" t="s">
        <v>170</v>
      </c>
      <c r="O543" t="s">
        <v>170</v>
      </c>
      <c r="P543" t="s">
        <v>420</v>
      </c>
      <c r="Q543" t="s">
        <v>1133</v>
      </c>
      <c r="R543" t="s">
        <v>422</v>
      </c>
      <c r="S543">
        <v>2011</v>
      </c>
      <c r="T543">
        <v>5</v>
      </c>
      <c r="U543" t="s">
        <v>408</v>
      </c>
      <c r="V543" t="s">
        <v>407</v>
      </c>
      <c r="W543">
        <v>2020</v>
      </c>
      <c r="X543">
        <v>0</v>
      </c>
      <c r="Y543" t="s">
        <v>408</v>
      </c>
      <c r="Z543">
        <v>2020</v>
      </c>
      <c r="AA543">
        <v>0</v>
      </c>
      <c r="AB543" s="5">
        <v>0.13203763418</v>
      </c>
      <c r="AC543" s="5">
        <v>0.26407526836</v>
      </c>
      <c r="AD543" t="s">
        <v>408</v>
      </c>
      <c r="AE543" t="s">
        <v>152</v>
      </c>
      <c r="AF543" t="s">
        <v>408</v>
      </c>
      <c r="AG543" t="s">
        <v>408</v>
      </c>
      <c r="AH543" t="s">
        <v>408</v>
      </c>
      <c r="AI543" t="s">
        <v>408</v>
      </c>
      <c r="AJ543" t="s">
        <v>408</v>
      </c>
      <c r="AK543" t="s">
        <v>411</v>
      </c>
      <c r="AL543">
        <v>2011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 s="58">
        <f t="shared" si="8"/>
        <v>1</v>
      </c>
      <c r="AU543" s="79" t="s">
        <v>431</v>
      </c>
      <c r="AV543" s="78" t="s">
        <v>410</v>
      </c>
      <c r="AW543" t="s">
        <v>408</v>
      </c>
      <c r="AX543">
        <v>3</v>
      </c>
      <c r="AY543" t="s">
        <v>412</v>
      </c>
      <c r="AZ543" t="s">
        <v>408</v>
      </c>
    </row>
    <row r="544" spans="1:52" x14ac:dyDescent="0.3">
      <c r="A544">
        <v>533</v>
      </c>
      <c r="B544" t="s">
        <v>811</v>
      </c>
      <c r="C544" t="s">
        <v>154</v>
      </c>
      <c r="D544" t="s">
        <v>812</v>
      </c>
      <c r="E544" t="s">
        <v>399</v>
      </c>
      <c r="F544" t="s">
        <v>408</v>
      </c>
      <c r="G544">
        <v>2000</v>
      </c>
      <c r="H544">
        <v>2001</v>
      </c>
      <c r="I544" t="s">
        <v>418</v>
      </c>
      <c r="J544">
        <v>1600</v>
      </c>
      <c r="K544">
        <v>1601</v>
      </c>
      <c r="L544" t="s">
        <v>813</v>
      </c>
      <c r="M544">
        <v>2</v>
      </c>
      <c r="N544" t="s">
        <v>167</v>
      </c>
      <c r="O544" t="s">
        <v>167</v>
      </c>
      <c r="P544" t="s">
        <v>420</v>
      </c>
      <c r="Q544" t="s">
        <v>408</v>
      </c>
      <c r="R544" t="s">
        <v>697</v>
      </c>
      <c r="S544">
        <v>1996</v>
      </c>
      <c r="T544">
        <v>8</v>
      </c>
      <c r="U544" t="s">
        <v>408</v>
      </c>
      <c r="V544" t="s">
        <v>407</v>
      </c>
      <c r="W544">
        <v>2020</v>
      </c>
      <c r="X544">
        <v>0</v>
      </c>
      <c r="Y544" t="s">
        <v>408</v>
      </c>
      <c r="Z544">
        <v>2020</v>
      </c>
      <c r="AA544">
        <v>2012</v>
      </c>
      <c r="AB544" s="5">
        <v>0.50905192498700003</v>
      </c>
      <c r="AC544" s="5">
        <v>1.0181038499699999</v>
      </c>
      <c r="AD544" t="s">
        <v>408</v>
      </c>
      <c r="AE544" t="s">
        <v>152</v>
      </c>
      <c r="AF544" t="s">
        <v>408</v>
      </c>
      <c r="AG544" t="s">
        <v>408</v>
      </c>
      <c r="AH544" t="s">
        <v>408</v>
      </c>
      <c r="AI544" t="s">
        <v>408</v>
      </c>
      <c r="AJ544" t="s">
        <v>408</v>
      </c>
      <c r="AK544" t="s">
        <v>408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 s="58">
        <f t="shared" si="8"/>
        <v>1</v>
      </c>
      <c r="AU544" s="79" t="s">
        <v>431</v>
      </c>
      <c r="AV544" s="78" t="s">
        <v>410</v>
      </c>
      <c r="AW544" t="s">
        <v>408</v>
      </c>
      <c r="AX544">
        <v>2</v>
      </c>
      <c r="AY544" t="s">
        <v>412</v>
      </c>
      <c r="AZ544" t="s">
        <v>408</v>
      </c>
    </row>
    <row r="545" spans="1:52" x14ac:dyDescent="0.3">
      <c r="A545">
        <v>534</v>
      </c>
      <c r="B545" t="s">
        <v>1091</v>
      </c>
      <c r="C545" t="s">
        <v>154</v>
      </c>
      <c r="D545" t="s">
        <v>1092</v>
      </c>
      <c r="E545" t="s">
        <v>417</v>
      </c>
      <c r="F545" t="s">
        <v>408</v>
      </c>
      <c r="G545">
        <v>5958</v>
      </c>
      <c r="H545">
        <v>5959</v>
      </c>
      <c r="I545" t="s">
        <v>1527</v>
      </c>
      <c r="J545">
        <v>5601</v>
      </c>
      <c r="K545">
        <v>5600</v>
      </c>
      <c r="L545" t="s">
        <v>1528</v>
      </c>
      <c r="M545">
        <v>2</v>
      </c>
      <c r="N545" t="s">
        <v>170</v>
      </c>
      <c r="O545" t="s">
        <v>170</v>
      </c>
      <c r="P545" t="s">
        <v>420</v>
      </c>
      <c r="Q545" t="s">
        <v>408</v>
      </c>
      <c r="R545" t="s">
        <v>422</v>
      </c>
      <c r="S545">
        <v>2011</v>
      </c>
      <c r="T545">
        <v>5</v>
      </c>
      <c r="U545" t="s">
        <v>408</v>
      </c>
      <c r="V545" t="s">
        <v>849</v>
      </c>
      <c r="W545">
        <v>2016</v>
      </c>
      <c r="X545">
        <v>6</v>
      </c>
      <c r="Y545" t="s">
        <v>408</v>
      </c>
      <c r="Z545">
        <v>2016</v>
      </c>
      <c r="AA545">
        <v>0</v>
      </c>
      <c r="AB545" s="5">
        <v>0.505480691343</v>
      </c>
      <c r="AC545" s="5">
        <v>1.0109613826899999</v>
      </c>
      <c r="AD545" t="s">
        <v>408</v>
      </c>
      <c r="AE545" t="s">
        <v>152</v>
      </c>
      <c r="AF545" t="s">
        <v>408</v>
      </c>
      <c r="AG545" t="s">
        <v>408</v>
      </c>
      <c r="AH545" t="s">
        <v>408</v>
      </c>
      <c r="AI545" t="s">
        <v>408</v>
      </c>
      <c r="AJ545" t="s">
        <v>408</v>
      </c>
      <c r="AK545" t="s">
        <v>408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 s="58">
        <f t="shared" si="8"/>
        <v>1</v>
      </c>
      <c r="AU545" s="79">
        <v>43347</v>
      </c>
      <c r="AV545" s="78" t="s">
        <v>410</v>
      </c>
      <c r="AW545" t="s">
        <v>408</v>
      </c>
      <c r="AX545">
        <v>2</v>
      </c>
      <c r="AY545" t="s">
        <v>412</v>
      </c>
      <c r="AZ545" t="s">
        <v>408</v>
      </c>
    </row>
    <row r="546" spans="1:52" x14ac:dyDescent="0.3">
      <c r="A546">
        <v>535</v>
      </c>
      <c r="B546" t="s">
        <v>903</v>
      </c>
      <c r="C546" t="s">
        <v>154</v>
      </c>
      <c r="D546" t="s">
        <v>904</v>
      </c>
      <c r="E546" t="s">
        <v>417</v>
      </c>
      <c r="F546" t="s">
        <v>408</v>
      </c>
      <c r="G546">
        <v>759</v>
      </c>
      <c r="H546">
        <v>758</v>
      </c>
      <c r="I546" t="s">
        <v>814</v>
      </c>
      <c r="J546">
        <v>447</v>
      </c>
      <c r="K546">
        <v>450</v>
      </c>
      <c r="L546" t="s">
        <v>1401</v>
      </c>
      <c r="M546">
        <v>4</v>
      </c>
      <c r="N546" t="s">
        <v>170</v>
      </c>
      <c r="O546" t="s">
        <v>170</v>
      </c>
      <c r="P546" t="s">
        <v>420</v>
      </c>
      <c r="Q546" t="s">
        <v>408</v>
      </c>
      <c r="R546" t="s">
        <v>493</v>
      </c>
      <c r="S546">
        <v>2007</v>
      </c>
      <c r="T546">
        <v>7</v>
      </c>
      <c r="U546" t="s">
        <v>408</v>
      </c>
      <c r="V546" t="s">
        <v>849</v>
      </c>
      <c r="W546">
        <v>2016</v>
      </c>
      <c r="X546">
        <v>8</v>
      </c>
      <c r="Y546" t="s">
        <v>408</v>
      </c>
      <c r="Z546">
        <v>2016</v>
      </c>
      <c r="AA546">
        <v>0</v>
      </c>
      <c r="AB546" s="5">
        <v>0.69163175010199995</v>
      </c>
      <c r="AC546" s="5">
        <v>1.3832635002</v>
      </c>
      <c r="AD546" t="s">
        <v>408</v>
      </c>
      <c r="AE546" t="s">
        <v>152</v>
      </c>
      <c r="AF546" t="s">
        <v>408</v>
      </c>
      <c r="AG546" t="s">
        <v>408</v>
      </c>
      <c r="AH546" t="s">
        <v>408</v>
      </c>
      <c r="AI546" t="s">
        <v>408</v>
      </c>
      <c r="AJ546" t="s">
        <v>408</v>
      </c>
      <c r="AK546" t="s">
        <v>408</v>
      </c>
      <c r="AL546">
        <v>0</v>
      </c>
      <c r="AM546">
        <v>0</v>
      </c>
      <c r="AN546">
        <v>0</v>
      </c>
      <c r="AO546">
        <v>0</v>
      </c>
      <c r="AP546">
        <v>0.3</v>
      </c>
      <c r="AQ546">
        <v>0.7</v>
      </c>
      <c r="AR546">
        <v>0</v>
      </c>
      <c r="AS546">
        <v>0</v>
      </c>
      <c r="AT546" s="58">
        <f t="shared" si="8"/>
        <v>1</v>
      </c>
      <c r="AU546" s="79">
        <v>43343</v>
      </c>
      <c r="AV546" s="78" t="s">
        <v>410</v>
      </c>
      <c r="AW546" t="s">
        <v>408</v>
      </c>
      <c r="AX546">
        <v>3</v>
      </c>
      <c r="AY546" t="s">
        <v>412</v>
      </c>
      <c r="AZ546" t="s">
        <v>408</v>
      </c>
    </row>
    <row r="547" spans="1:52" x14ac:dyDescent="0.3">
      <c r="A547">
        <v>536</v>
      </c>
      <c r="B547" t="s">
        <v>745</v>
      </c>
      <c r="C547" t="s">
        <v>154</v>
      </c>
      <c r="D547" t="s">
        <v>746</v>
      </c>
      <c r="E547" t="s">
        <v>460</v>
      </c>
      <c r="F547" t="s">
        <v>408</v>
      </c>
      <c r="G547">
        <v>1628</v>
      </c>
      <c r="H547">
        <v>1627</v>
      </c>
      <c r="I547" t="s">
        <v>634</v>
      </c>
      <c r="J547">
        <v>1572</v>
      </c>
      <c r="K547">
        <v>1571</v>
      </c>
      <c r="L547" t="s">
        <v>536</v>
      </c>
      <c r="M547">
        <v>3</v>
      </c>
      <c r="N547" t="s">
        <v>167</v>
      </c>
      <c r="O547" t="s">
        <v>167</v>
      </c>
      <c r="P547" t="s">
        <v>420</v>
      </c>
      <c r="Q547" t="s">
        <v>408</v>
      </c>
      <c r="R547" t="s">
        <v>748</v>
      </c>
      <c r="S547">
        <v>2004</v>
      </c>
      <c r="T547">
        <v>9</v>
      </c>
      <c r="U547" t="s">
        <v>408</v>
      </c>
      <c r="V547" t="s">
        <v>749</v>
      </c>
      <c r="W547">
        <v>2021</v>
      </c>
      <c r="X547">
        <v>0</v>
      </c>
      <c r="Y547" t="s">
        <v>408</v>
      </c>
      <c r="Z547">
        <v>2021</v>
      </c>
      <c r="AA547">
        <v>2013</v>
      </c>
      <c r="AB547" s="5">
        <v>0.11981188036</v>
      </c>
      <c r="AC547" s="5">
        <v>0.23962376072</v>
      </c>
      <c r="AD547" t="s">
        <v>408</v>
      </c>
      <c r="AE547" t="s">
        <v>152</v>
      </c>
      <c r="AF547" t="s">
        <v>408</v>
      </c>
      <c r="AG547" t="s">
        <v>408</v>
      </c>
      <c r="AH547" t="s">
        <v>408</v>
      </c>
      <c r="AI547" t="s">
        <v>408</v>
      </c>
      <c r="AJ547" t="s">
        <v>408</v>
      </c>
      <c r="AK547" t="s">
        <v>408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 s="58">
        <f t="shared" si="8"/>
        <v>1</v>
      </c>
      <c r="AU547" s="79" t="s">
        <v>750</v>
      </c>
      <c r="AV547" s="78" t="s">
        <v>410</v>
      </c>
      <c r="AW547" t="s">
        <v>400</v>
      </c>
      <c r="AX547">
        <v>2</v>
      </c>
      <c r="AY547" t="s">
        <v>412</v>
      </c>
      <c r="AZ547" t="s">
        <v>408</v>
      </c>
    </row>
    <row r="548" spans="1:52" x14ac:dyDescent="0.3">
      <c r="A548">
        <v>537</v>
      </c>
      <c r="B548" t="s">
        <v>527</v>
      </c>
      <c r="C548" t="s">
        <v>447</v>
      </c>
      <c r="D548" t="s">
        <v>528</v>
      </c>
      <c r="E548" t="s">
        <v>417</v>
      </c>
      <c r="F548" t="s">
        <v>408</v>
      </c>
      <c r="G548">
        <v>2002</v>
      </c>
      <c r="H548">
        <v>2003</v>
      </c>
      <c r="I548" t="s">
        <v>1449</v>
      </c>
      <c r="J548">
        <v>2126</v>
      </c>
      <c r="K548">
        <v>2127</v>
      </c>
      <c r="L548" t="s">
        <v>1269</v>
      </c>
      <c r="M548">
        <v>3</v>
      </c>
      <c r="N548" t="s">
        <v>167</v>
      </c>
      <c r="O548" t="s">
        <v>167</v>
      </c>
      <c r="P548" t="s">
        <v>420</v>
      </c>
      <c r="Q548" t="s">
        <v>408</v>
      </c>
      <c r="R548" t="s">
        <v>719</v>
      </c>
      <c r="S548">
        <v>2005</v>
      </c>
      <c r="T548">
        <v>7</v>
      </c>
      <c r="U548" t="s">
        <v>408</v>
      </c>
      <c r="V548" t="s">
        <v>482</v>
      </c>
      <c r="W548">
        <v>2018</v>
      </c>
      <c r="X548">
        <v>7</v>
      </c>
      <c r="Y548" t="s">
        <v>370</v>
      </c>
      <c r="Z548">
        <v>2018</v>
      </c>
      <c r="AA548">
        <v>2018</v>
      </c>
      <c r="AB548" s="5">
        <v>0.177071198869</v>
      </c>
      <c r="AC548" s="5">
        <v>0.35414239773799999</v>
      </c>
      <c r="AD548" t="s">
        <v>408</v>
      </c>
      <c r="AE548" t="s">
        <v>152</v>
      </c>
      <c r="AF548" t="s">
        <v>408</v>
      </c>
      <c r="AG548" t="s">
        <v>408</v>
      </c>
      <c r="AH548" t="s">
        <v>408</v>
      </c>
      <c r="AI548" t="s">
        <v>408</v>
      </c>
      <c r="AJ548" t="s">
        <v>408</v>
      </c>
      <c r="AK548" t="s">
        <v>408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 s="58">
        <f t="shared" si="8"/>
        <v>1</v>
      </c>
      <c r="AU548" s="79">
        <v>43336</v>
      </c>
      <c r="AV548" t="s">
        <v>410</v>
      </c>
      <c r="AW548" t="s">
        <v>408</v>
      </c>
      <c r="AX548">
        <v>2</v>
      </c>
      <c r="AY548" t="s">
        <v>412</v>
      </c>
      <c r="AZ548" t="s">
        <v>408</v>
      </c>
    </row>
    <row r="549" spans="1:52" x14ac:dyDescent="0.3">
      <c r="A549">
        <v>538</v>
      </c>
      <c r="B549" t="s">
        <v>745</v>
      </c>
      <c r="C549" t="s">
        <v>154</v>
      </c>
      <c r="D549" t="s">
        <v>746</v>
      </c>
      <c r="E549" t="s">
        <v>460</v>
      </c>
      <c r="F549" t="s">
        <v>408</v>
      </c>
      <c r="G549">
        <v>1200</v>
      </c>
      <c r="H549">
        <v>1201</v>
      </c>
      <c r="I549" t="s">
        <v>631</v>
      </c>
      <c r="J549">
        <v>2171</v>
      </c>
      <c r="K549">
        <v>2170</v>
      </c>
      <c r="L549" t="s">
        <v>958</v>
      </c>
      <c r="M549">
        <v>3</v>
      </c>
      <c r="N549" t="s">
        <v>167</v>
      </c>
      <c r="O549" t="s">
        <v>167</v>
      </c>
      <c r="P549" t="s">
        <v>420</v>
      </c>
      <c r="Q549" t="s">
        <v>408</v>
      </c>
      <c r="R549" t="s">
        <v>748</v>
      </c>
      <c r="S549">
        <v>2004</v>
      </c>
      <c r="T549">
        <v>9</v>
      </c>
      <c r="U549" t="s">
        <v>408</v>
      </c>
      <c r="V549" t="s">
        <v>749</v>
      </c>
      <c r="W549">
        <v>2021</v>
      </c>
      <c r="X549">
        <v>0</v>
      </c>
      <c r="Y549" t="s">
        <v>408</v>
      </c>
      <c r="Z549">
        <v>2021</v>
      </c>
      <c r="AA549">
        <v>2012</v>
      </c>
      <c r="AB549" s="5">
        <v>0.21749784066200001</v>
      </c>
      <c r="AC549" s="5">
        <v>0.43499568132400002</v>
      </c>
      <c r="AD549" t="s">
        <v>400</v>
      </c>
      <c r="AE549" t="s">
        <v>152</v>
      </c>
      <c r="AF549" t="s">
        <v>400</v>
      </c>
      <c r="AG549" t="s">
        <v>400</v>
      </c>
      <c r="AH549" t="s">
        <v>400</v>
      </c>
      <c r="AI549" t="s">
        <v>400</v>
      </c>
      <c r="AJ549" t="s">
        <v>400</v>
      </c>
      <c r="AK549" t="s">
        <v>400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 s="58">
        <f t="shared" si="8"/>
        <v>1</v>
      </c>
      <c r="AU549" s="79" t="s">
        <v>750</v>
      </c>
      <c r="AV549" t="s">
        <v>410</v>
      </c>
      <c r="AW549" t="s">
        <v>400</v>
      </c>
      <c r="AX549">
        <v>2</v>
      </c>
      <c r="AY549" t="s">
        <v>412</v>
      </c>
      <c r="AZ549" t="s">
        <v>408</v>
      </c>
    </row>
    <row r="550" spans="1:52" x14ac:dyDescent="0.3">
      <c r="A550">
        <v>539</v>
      </c>
      <c r="B550" t="s">
        <v>704</v>
      </c>
      <c r="C550" t="s">
        <v>154</v>
      </c>
      <c r="D550" t="s">
        <v>705</v>
      </c>
      <c r="E550" t="s">
        <v>460</v>
      </c>
      <c r="F550" t="s">
        <v>408</v>
      </c>
      <c r="G550">
        <v>1146</v>
      </c>
      <c r="H550">
        <v>1147</v>
      </c>
      <c r="I550" t="s">
        <v>920</v>
      </c>
      <c r="J550">
        <v>5758</v>
      </c>
      <c r="K550">
        <v>5759</v>
      </c>
      <c r="L550" t="s">
        <v>706</v>
      </c>
      <c r="M550">
        <v>4</v>
      </c>
      <c r="N550" t="s">
        <v>168</v>
      </c>
      <c r="O550" t="s">
        <v>170</v>
      </c>
      <c r="P550" t="s">
        <v>420</v>
      </c>
      <c r="Q550" t="s">
        <v>408</v>
      </c>
      <c r="R550" t="s">
        <v>679</v>
      </c>
      <c r="S550">
        <v>2017</v>
      </c>
      <c r="T550">
        <v>9</v>
      </c>
      <c r="U550" t="s">
        <v>1529</v>
      </c>
      <c r="V550" t="s">
        <v>408</v>
      </c>
      <c r="W550">
        <v>0</v>
      </c>
      <c r="X550">
        <v>0</v>
      </c>
      <c r="Y550" t="s">
        <v>408</v>
      </c>
      <c r="Z550">
        <v>2017</v>
      </c>
      <c r="AA550">
        <v>0</v>
      </c>
      <c r="AB550" s="5">
        <v>0.105690510132</v>
      </c>
      <c r="AC550" s="5">
        <v>0.21138102026399999</v>
      </c>
      <c r="AD550" t="s">
        <v>408</v>
      </c>
      <c r="AE550" t="s">
        <v>152</v>
      </c>
      <c r="AF550" t="s">
        <v>408</v>
      </c>
      <c r="AG550" t="s">
        <v>408</v>
      </c>
      <c r="AH550" t="s">
        <v>408</v>
      </c>
      <c r="AI550" t="s">
        <v>408</v>
      </c>
      <c r="AJ550" t="s">
        <v>408</v>
      </c>
      <c r="AK550" t="s">
        <v>408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58">
        <f t="shared" si="8"/>
        <v>1</v>
      </c>
      <c r="AU550" s="79">
        <v>43340</v>
      </c>
      <c r="AV550" s="78" t="s">
        <v>410</v>
      </c>
      <c r="AW550" t="s">
        <v>408</v>
      </c>
      <c r="AX550">
        <v>3</v>
      </c>
      <c r="AY550" t="s">
        <v>17</v>
      </c>
      <c r="AZ550" t="s">
        <v>400</v>
      </c>
    </row>
    <row r="551" spans="1:52" x14ac:dyDescent="0.3">
      <c r="A551">
        <v>540</v>
      </c>
      <c r="B551" t="s">
        <v>704</v>
      </c>
      <c r="C551" t="s">
        <v>154</v>
      </c>
      <c r="D551" t="s">
        <v>705</v>
      </c>
      <c r="E551" t="s">
        <v>460</v>
      </c>
      <c r="F551" t="s">
        <v>408</v>
      </c>
      <c r="G551">
        <v>920</v>
      </c>
      <c r="H551">
        <v>921</v>
      </c>
      <c r="I551" t="s">
        <v>517</v>
      </c>
      <c r="J551">
        <v>901</v>
      </c>
      <c r="K551">
        <v>900</v>
      </c>
      <c r="L551" t="s">
        <v>1239</v>
      </c>
      <c r="M551">
        <v>4</v>
      </c>
      <c r="N551" t="s">
        <v>168</v>
      </c>
      <c r="O551" t="s">
        <v>170</v>
      </c>
      <c r="P551" t="s">
        <v>420</v>
      </c>
      <c r="Q551" t="s">
        <v>408</v>
      </c>
      <c r="R551" t="s">
        <v>679</v>
      </c>
      <c r="S551">
        <v>2017</v>
      </c>
      <c r="T551">
        <v>9</v>
      </c>
      <c r="U551" t="s">
        <v>1529</v>
      </c>
      <c r="V551" t="s">
        <v>408</v>
      </c>
      <c r="W551">
        <v>0</v>
      </c>
      <c r="X551">
        <v>0</v>
      </c>
      <c r="Y551" t="s">
        <v>370</v>
      </c>
      <c r="Z551">
        <v>2017</v>
      </c>
      <c r="AA551">
        <v>2017</v>
      </c>
      <c r="AB551" s="5">
        <v>5.1286940138800002E-2</v>
      </c>
      <c r="AC551" s="5">
        <v>0.102573880278</v>
      </c>
      <c r="AD551" t="s">
        <v>408</v>
      </c>
      <c r="AE551" t="s">
        <v>152</v>
      </c>
      <c r="AF551" t="s">
        <v>408</v>
      </c>
      <c r="AG551" t="s">
        <v>408</v>
      </c>
      <c r="AH551" t="s">
        <v>408</v>
      </c>
      <c r="AI551" t="s">
        <v>408</v>
      </c>
      <c r="AJ551" t="s">
        <v>408</v>
      </c>
      <c r="AK551" t="s">
        <v>408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58">
        <f t="shared" si="8"/>
        <v>1</v>
      </c>
      <c r="AU551" s="79">
        <v>43340</v>
      </c>
      <c r="AV551" t="s">
        <v>410</v>
      </c>
      <c r="AW551" t="s">
        <v>408</v>
      </c>
      <c r="AX551">
        <v>3</v>
      </c>
      <c r="AY551" t="s">
        <v>17</v>
      </c>
      <c r="AZ551" t="s">
        <v>408</v>
      </c>
    </row>
    <row r="552" spans="1:52" x14ac:dyDescent="0.3">
      <c r="A552">
        <v>541</v>
      </c>
      <c r="B552" t="s">
        <v>819</v>
      </c>
      <c r="C552" t="s">
        <v>447</v>
      </c>
      <c r="D552" t="s">
        <v>820</v>
      </c>
      <c r="E552" t="s">
        <v>417</v>
      </c>
      <c r="F552" t="s">
        <v>447</v>
      </c>
      <c r="G552">
        <v>400</v>
      </c>
      <c r="H552">
        <v>401</v>
      </c>
      <c r="I552" t="s">
        <v>930</v>
      </c>
      <c r="J552">
        <v>526</v>
      </c>
      <c r="K552">
        <v>527</v>
      </c>
      <c r="L552" t="s">
        <v>1530</v>
      </c>
      <c r="M552">
        <v>4</v>
      </c>
      <c r="N552" t="s">
        <v>167</v>
      </c>
      <c r="O552" t="s">
        <v>167</v>
      </c>
      <c r="P552" t="s">
        <v>414</v>
      </c>
      <c r="Q552" t="s">
        <v>408</v>
      </c>
      <c r="R552" t="s">
        <v>547</v>
      </c>
      <c r="S552">
        <v>2010</v>
      </c>
      <c r="T552">
        <v>11</v>
      </c>
      <c r="U552" t="s">
        <v>408</v>
      </c>
      <c r="V552" t="s">
        <v>487</v>
      </c>
      <c r="W552">
        <v>2020</v>
      </c>
      <c r="X552">
        <v>0</v>
      </c>
      <c r="Y552" t="s">
        <v>408</v>
      </c>
      <c r="Z552">
        <v>2020</v>
      </c>
      <c r="AA552">
        <v>0</v>
      </c>
      <c r="AB552" s="5">
        <v>0.194777731466</v>
      </c>
      <c r="AC552" s="5">
        <v>0.194777731466</v>
      </c>
      <c r="AD552" t="s">
        <v>408</v>
      </c>
      <c r="AE552" t="s">
        <v>411</v>
      </c>
      <c r="AF552" t="s">
        <v>447</v>
      </c>
      <c r="AG552" t="s">
        <v>152</v>
      </c>
      <c r="AH552" t="s">
        <v>408</v>
      </c>
      <c r="AI552" t="s">
        <v>408</v>
      </c>
      <c r="AJ552" t="s">
        <v>408</v>
      </c>
      <c r="AK552" t="s">
        <v>408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 s="58">
        <f t="shared" si="8"/>
        <v>1</v>
      </c>
      <c r="AU552" s="79" t="s">
        <v>488</v>
      </c>
      <c r="AV552" t="s">
        <v>410</v>
      </c>
      <c r="AW552" t="s">
        <v>408</v>
      </c>
      <c r="AX552">
        <v>2</v>
      </c>
      <c r="AY552" t="s">
        <v>412</v>
      </c>
      <c r="AZ552" t="s">
        <v>408</v>
      </c>
    </row>
    <row r="553" spans="1:52" x14ac:dyDescent="0.3">
      <c r="A553">
        <v>542</v>
      </c>
      <c r="B553" t="s">
        <v>819</v>
      </c>
      <c r="C553" t="s">
        <v>154</v>
      </c>
      <c r="D553" t="s">
        <v>820</v>
      </c>
      <c r="E553" t="s">
        <v>417</v>
      </c>
      <c r="F553" t="s">
        <v>408</v>
      </c>
      <c r="G553">
        <v>331</v>
      </c>
      <c r="H553">
        <v>330</v>
      </c>
      <c r="I553" t="s">
        <v>1141</v>
      </c>
      <c r="J553">
        <v>200</v>
      </c>
      <c r="K553">
        <v>201</v>
      </c>
      <c r="L553" t="s">
        <v>739</v>
      </c>
      <c r="M553">
        <v>4</v>
      </c>
      <c r="N553" t="s">
        <v>167</v>
      </c>
      <c r="O553" t="s">
        <v>167</v>
      </c>
      <c r="P553" t="s">
        <v>414</v>
      </c>
      <c r="Q553" t="s">
        <v>1531</v>
      </c>
      <c r="R553" t="s">
        <v>547</v>
      </c>
      <c r="S553">
        <v>2010</v>
      </c>
      <c r="T553">
        <v>11</v>
      </c>
      <c r="U553" t="s">
        <v>1532</v>
      </c>
      <c r="V553" t="s">
        <v>487</v>
      </c>
      <c r="W553">
        <v>2020</v>
      </c>
      <c r="X553">
        <v>0</v>
      </c>
      <c r="Y553" t="s">
        <v>1533</v>
      </c>
      <c r="Z553">
        <v>2020</v>
      </c>
      <c r="AA553">
        <v>2015</v>
      </c>
      <c r="AB553" s="5">
        <v>0.152690304001</v>
      </c>
      <c r="AC553" s="5">
        <v>0.30538060800200001</v>
      </c>
      <c r="AD553" t="s">
        <v>408</v>
      </c>
      <c r="AE553" t="s">
        <v>152</v>
      </c>
      <c r="AF553" t="s">
        <v>408</v>
      </c>
      <c r="AG553" t="s">
        <v>408</v>
      </c>
      <c r="AH553" t="s">
        <v>408</v>
      </c>
      <c r="AI553" t="s">
        <v>408</v>
      </c>
      <c r="AJ553" t="s">
        <v>408</v>
      </c>
      <c r="AK553" t="s">
        <v>408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 s="58">
        <f t="shared" si="8"/>
        <v>1</v>
      </c>
      <c r="AU553" s="79" t="s">
        <v>488</v>
      </c>
      <c r="AV553" t="s">
        <v>410</v>
      </c>
      <c r="AW553" t="s">
        <v>408</v>
      </c>
      <c r="AX553">
        <v>2</v>
      </c>
      <c r="AY553" t="s">
        <v>412</v>
      </c>
      <c r="AZ553" t="s">
        <v>408</v>
      </c>
    </row>
    <row r="554" spans="1:52" x14ac:dyDescent="0.3">
      <c r="A554">
        <v>543</v>
      </c>
      <c r="B554" t="s">
        <v>819</v>
      </c>
      <c r="C554" t="s">
        <v>154</v>
      </c>
      <c r="D554" t="s">
        <v>820</v>
      </c>
      <c r="E554" t="s">
        <v>417</v>
      </c>
      <c r="F554" t="s">
        <v>447</v>
      </c>
      <c r="G554">
        <v>36</v>
      </c>
      <c r="H554">
        <v>37</v>
      </c>
      <c r="I554" t="s">
        <v>565</v>
      </c>
      <c r="J554">
        <v>1</v>
      </c>
      <c r="K554">
        <v>2</v>
      </c>
      <c r="L554" t="s">
        <v>566</v>
      </c>
      <c r="M554">
        <v>4</v>
      </c>
      <c r="N554" t="s">
        <v>167</v>
      </c>
      <c r="O554" t="s">
        <v>167</v>
      </c>
      <c r="P554" t="s">
        <v>414</v>
      </c>
      <c r="Q554" t="s">
        <v>1531</v>
      </c>
      <c r="R554" t="s">
        <v>547</v>
      </c>
      <c r="S554">
        <v>2010</v>
      </c>
      <c r="T554">
        <v>11</v>
      </c>
      <c r="U554" t="s">
        <v>408</v>
      </c>
      <c r="V554" t="s">
        <v>487</v>
      </c>
      <c r="W554">
        <v>2020</v>
      </c>
      <c r="X554">
        <v>0</v>
      </c>
      <c r="Y554" t="s">
        <v>408</v>
      </c>
      <c r="Z554">
        <v>2020</v>
      </c>
      <c r="AA554">
        <v>0</v>
      </c>
      <c r="AB554" s="5">
        <v>8.2037745595699998E-2</v>
      </c>
      <c r="AC554" s="5">
        <v>8.2037745595699998E-2</v>
      </c>
      <c r="AD554" t="s">
        <v>408</v>
      </c>
      <c r="AE554" t="s">
        <v>411</v>
      </c>
      <c r="AF554" t="s">
        <v>447</v>
      </c>
      <c r="AG554" t="s">
        <v>152</v>
      </c>
      <c r="AH554" t="s">
        <v>408</v>
      </c>
      <c r="AI554" t="s">
        <v>408</v>
      </c>
      <c r="AJ554" t="s">
        <v>408</v>
      </c>
      <c r="AK554" t="s">
        <v>408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 s="58">
        <f t="shared" si="8"/>
        <v>1</v>
      </c>
      <c r="AU554" s="79" t="s">
        <v>488</v>
      </c>
      <c r="AV554" t="s">
        <v>410</v>
      </c>
      <c r="AW554" t="s">
        <v>408</v>
      </c>
      <c r="AX554">
        <v>2</v>
      </c>
      <c r="AY554" t="s">
        <v>412</v>
      </c>
      <c r="AZ554" t="s">
        <v>408</v>
      </c>
    </row>
    <row r="555" spans="1:52" x14ac:dyDescent="0.3">
      <c r="A555">
        <v>544</v>
      </c>
      <c r="B555" t="s">
        <v>1001</v>
      </c>
      <c r="C555" t="s">
        <v>155</v>
      </c>
      <c r="D555" t="s">
        <v>1002</v>
      </c>
      <c r="E555" t="s">
        <v>460</v>
      </c>
      <c r="F555" t="s">
        <v>408</v>
      </c>
      <c r="G555">
        <v>11500</v>
      </c>
      <c r="H555">
        <v>11501</v>
      </c>
      <c r="I555" t="s">
        <v>1534</v>
      </c>
      <c r="J555">
        <v>11300</v>
      </c>
      <c r="K555">
        <v>11301</v>
      </c>
      <c r="L555" t="s">
        <v>1204</v>
      </c>
      <c r="M555">
        <v>2</v>
      </c>
      <c r="N555" t="s">
        <v>167</v>
      </c>
      <c r="O555" t="s">
        <v>167</v>
      </c>
      <c r="P555" t="s">
        <v>420</v>
      </c>
      <c r="Q555" t="s">
        <v>1205</v>
      </c>
      <c r="R555" t="s">
        <v>601</v>
      </c>
      <c r="S555">
        <v>2017</v>
      </c>
      <c r="T555">
        <v>9</v>
      </c>
      <c r="U555" t="s">
        <v>408</v>
      </c>
      <c r="V555" t="s">
        <v>408</v>
      </c>
      <c r="W555">
        <v>0</v>
      </c>
      <c r="X555">
        <v>0</v>
      </c>
      <c r="Y555" t="s">
        <v>408</v>
      </c>
      <c r="Z555">
        <v>2017</v>
      </c>
      <c r="AA555">
        <v>0</v>
      </c>
      <c r="AB555" s="5">
        <v>0.25907920497699999</v>
      </c>
      <c r="AC555" s="5">
        <v>0.51815840995399998</v>
      </c>
      <c r="AD555" t="s">
        <v>408</v>
      </c>
      <c r="AE555" t="s">
        <v>152</v>
      </c>
      <c r="AF555" t="s">
        <v>408</v>
      </c>
      <c r="AG555" t="s">
        <v>408</v>
      </c>
      <c r="AH555" t="s">
        <v>408</v>
      </c>
      <c r="AI555" t="s">
        <v>408</v>
      </c>
      <c r="AJ555" t="s">
        <v>408</v>
      </c>
      <c r="AK555" t="s">
        <v>408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 s="58">
        <f t="shared" si="8"/>
        <v>1</v>
      </c>
      <c r="AU555" s="79">
        <v>43347</v>
      </c>
      <c r="AV555" s="78" t="s">
        <v>410</v>
      </c>
      <c r="AW555" t="s">
        <v>408</v>
      </c>
      <c r="AX555">
        <v>2</v>
      </c>
      <c r="AY555" t="s">
        <v>412</v>
      </c>
      <c r="AZ555" t="s">
        <v>408</v>
      </c>
    </row>
    <row r="556" spans="1:52" x14ac:dyDescent="0.3">
      <c r="A556">
        <v>545</v>
      </c>
      <c r="B556" t="s">
        <v>1001</v>
      </c>
      <c r="C556" t="s">
        <v>155</v>
      </c>
      <c r="D556" t="s">
        <v>1002</v>
      </c>
      <c r="E556" t="s">
        <v>460</v>
      </c>
      <c r="F556" t="s">
        <v>408</v>
      </c>
      <c r="G556">
        <v>9500</v>
      </c>
      <c r="H556">
        <v>9501</v>
      </c>
      <c r="I556" t="s">
        <v>696</v>
      </c>
      <c r="J556">
        <v>9400</v>
      </c>
      <c r="K556">
        <v>9401</v>
      </c>
      <c r="L556" t="s">
        <v>1535</v>
      </c>
      <c r="M556">
        <v>2</v>
      </c>
      <c r="N556" t="s">
        <v>165</v>
      </c>
      <c r="O556" t="s">
        <v>165</v>
      </c>
      <c r="P556" t="s">
        <v>403</v>
      </c>
      <c r="Q556" t="s">
        <v>408</v>
      </c>
      <c r="R556" t="s">
        <v>713</v>
      </c>
      <c r="S556">
        <v>2021</v>
      </c>
      <c r="T556">
        <v>10</v>
      </c>
      <c r="U556" t="s">
        <v>408</v>
      </c>
      <c r="V556" t="s">
        <v>408</v>
      </c>
      <c r="W556">
        <v>0</v>
      </c>
      <c r="X556">
        <v>0</v>
      </c>
      <c r="Y556" t="s">
        <v>408</v>
      </c>
      <c r="Z556">
        <v>2021</v>
      </c>
      <c r="AA556">
        <v>2021</v>
      </c>
      <c r="AB556" s="5">
        <v>0.14106165088799999</v>
      </c>
      <c r="AC556" s="5">
        <v>0.28212330177599998</v>
      </c>
      <c r="AD556" t="s">
        <v>408</v>
      </c>
      <c r="AE556" t="s">
        <v>152</v>
      </c>
      <c r="AF556" t="s">
        <v>408</v>
      </c>
      <c r="AG556" t="s">
        <v>152</v>
      </c>
      <c r="AH556" t="s">
        <v>408</v>
      </c>
      <c r="AI556" t="s">
        <v>408</v>
      </c>
      <c r="AJ556" t="s">
        <v>152</v>
      </c>
      <c r="AK556" t="s">
        <v>408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 s="58">
        <f t="shared" si="8"/>
        <v>1</v>
      </c>
      <c r="AU556" s="79" t="s">
        <v>784</v>
      </c>
      <c r="AV556" s="78" t="s">
        <v>410</v>
      </c>
      <c r="AW556" t="s">
        <v>411</v>
      </c>
      <c r="AX556">
        <v>2</v>
      </c>
      <c r="AY556" t="s">
        <v>412</v>
      </c>
      <c r="AZ556" t="s">
        <v>408</v>
      </c>
    </row>
    <row r="557" spans="1:52" x14ac:dyDescent="0.3">
      <c r="A557">
        <v>546</v>
      </c>
      <c r="B557" t="s">
        <v>1031</v>
      </c>
      <c r="C557" t="s">
        <v>447</v>
      </c>
      <c r="D557" t="s">
        <v>1032</v>
      </c>
      <c r="E557" t="s">
        <v>417</v>
      </c>
      <c r="F557" t="s">
        <v>408</v>
      </c>
      <c r="G557">
        <v>800</v>
      </c>
      <c r="H557">
        <v>801</v>
      </c>
      <c r="I557" t="s">
        <v>1536</v>
      </c>
      <c r="J557">
        <v>828</v>
      </c>
      <c r="K557">
        <v>829</v>
      </c>
      <c r="L557" t="s">
        <v>1536</v>
      </c>
      <c r="M557">
        <v>2</v>
      </c>
      <c r="N557" t="s">
        <v>163</v>
      </c>
      <c r="O557" t="s">
        <v>163</v>
      </c>
      <c r="P557" t="s">
        <v>420</v>
      </c>
      <c r="Q557" t="s">
        <v>1205</v>
      </c>
      <c r="R557" t="s">
        <v>601</v>
      </c>
      <c r="S557">
        <v>2017</v>
      </c>
      <c r="T557">
        <v>9</v>
      </c>
      <c r="U557" t="s">
        <v>408</v>
      </c>
      <c r="V557" t="s">
        <v>408</v>
      </c>
      <c r="W557">
        <v>0</v>
      </c>
      <c r="X557">
        <v>0</v>
      </c>
      <c r="Y557" t="s">
        <v>408</v>
      </c>
      <c r="Z557">
        <v>2017</v>
      </c>
      <c r="AA557">
        <v>0</v>
      </c>
      <c r="AB557" s="5">
        <v>6.7196592367500002E-2</v>
      </c>
      <c r="AC557" s="5">
        <v>0.134393184735</v>
      </c>
      <c r="AD557" t="s">
        <v>408</v>
      </c>
      <c r="AE557" t="s">
        <v>152</v>
      </c>
      <c r="AF557" t="s">
        <v>408</v>
      </c>
      <c r="AG557" t="s">
        <v>408</v>
      </c>
      <c r="AH557" t="s">
        <v>408</v>
      </c>
      <c r="AI557" t="s">
        <v>1364</v>
      </c>
      <c r="AJ557" t="s">
        <v>400</v>
      </c>
      <c r="AK557" t="s">
        <v>408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 s="58">
        <f t="shared" si="8"/>
        <v>1</v>
      </c>
      <c r="AU557" s="79" t="s">
        <v>471</v>
      </c>
      <c r="AV557" s="78" t="s">
        <v>410</v>
      </c>
      <c r="AW557" t="s">
        <v>400</v>
      </c>
      <c r="AX557">
        <v>1</v>
      </c>
      <c r="AY557" t="s">
        <v>412</v>
      </c>
      <c r="AZ557" t="s">
        <v>408</v>
      </c>
    </row>
    <row r="558" spans="1:52" x14ac:dyDescent="0.3">
      <c r="A558">
        <v>547</v>
      </c>
      <c r="B558" t="s">
        <v>1159</v>
      </c>
      <c r="C558" t="s">
        <v>155</v>
      </c>
      <c r="D558" t="s">
        <v>1160</v>
      </c>
      <c r="E558" t="s">
        <v>417</v>
      </c>
      <c r="F558" t="s">
        <v>408</v>
      </c>
      <c r="G558">
        <v>532</v>
      </c>
      <c r="H558">
        <v>533</v>
      </c>
      <c r="I558" t="s">
        <v>535</v>
      </c>
      <c r="J558">
        <v>400</v>
      </c>
      <c r="K558">
        <v>401</v>
      </c>
      <c r="L558" t="s">
        <v>442</v>
      </c>
      <c r="M558">
        <v>4</v>
      </c>
      <c r="N558" t="s">
        <v>165</v>
      </c>
      <c r="O558" t="s">
        <v>165</v>
      </c>
      <c r="P558" t="s">
        <v>420</v>
      </c>
      <c r="Q558" t="s">
        <v>1179</v>
      </c>
      <c r="R558" t="s">
        <v>601</v>
      </c>
      <c r="S558">
        <v>2017</v>
      </c>
      <c r="T558">
        <v>9</v>
      </c>
      <c r="U558" t="s">
        <v>1537</v>
      </c>
      <c r="V558" t="s">
        <v>408</v>
      </c>
      <c r="W558">
        <v>0</v>
      </c>
      <c r="X558">
        <v>0</v>
      </c>
      <c r="Y558" t="s">
        <v>408</v>
      </c>
      <c r="Z558">
        <v>2017</v>
      </c>
      <c r="AA558">
        <v>0</v>
      </c>
      <c r="AB558" s="5">
        <v>0.15424499603899999</v>
      </c>
      <c r="AC558" s="5">
        <v>0.30848999207799999</v>
      </c>
      <c r="AD558" t="s">
        <v>408</v>
      </c>
      <c r="AE558" t="s">
        <v>152</v>
      </c>
      <c r="AF558" t="s">
        <v>408</v>
      </c>
      <c r="AG558" t="s">
        <v>408</v>
      </c>
      <c r="AH558" t="s">
        <v>408</v>
      </c>
      <c r="AI558" t="s">
        <v>408</v>
      </c>
      <c r="AJ558" t="s">
        <v>408</v>
      </c>
      <c r="AK558" t="s">
        <v>411</v>
      </c>
      <c r="AL558">
        <v>2017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 s="58">
        <f t="shared" si="8"/>
        <v>1</v>
      </c>
      <c r="AU558" s="79">
        <v>43347</v>
      </c>
      <c r="AV558" s="78" t="s">
        <v>410</v>
      </c>
      <c r="AW558" t="s">
        <v>411</v>
      </c>
      <c r="AX558">
        <v>2</v>
      </c>
      <c r="AY558" t="s">
        <v>412</v>
      </c>
      <c r="AZ558" t="s">
        <v>408</v>
      </c>
    </row>
    <row r="559" spans="1:52" x14ac:dyDescent="0.3">
      <c r="A559">
        <v>548</v>
      </c>
      <c r="B559" t="s">
        <v>1180</v>
      </c>
      <c r="C559" t="s">
        <v>154</v>
      </c>
      <c r="D559" t="s">
        <v>1181</v>
      </c>
      <c r="E559" t="s">
        <v>417</v>
      </c>
      <c r="F559" t="s">
        <v>408</v>
      </c>
      <c r="G559">
        <v>1154</v>
      </c>
      <c r="H559">
        <v>1155</v>
      </c>
      <c r="I559" t="s">
        <v>813</v>
      </c>
      <c r="J559">
        <v>1400</v>
      </c>
      <c r="K559">
        <v>1401</v>
      </c>
      <c r="L559" t="s">
        <v>419</v>
      </c>
      <c r="M559">
        <v>4</v>
      </c>
      <c r="N559" t="s">
        <v>170</v>
      </c>
      <c r="O559" t="s">
        <v>170</v>
      </c>
      <c r="P559" t="s">
        <v>420</v>
      </c>
      <c r="Q559" t="s">
        <v>1182</v>
      </c>
      <c r="R559" t="s">
        <v>601</v>
      </c>
      <c r="S559">
        <v>2017</v>
      </c>
      <c r="T559">
        <v>9</v>
      </c>
      <c r="U559" t="s">
        <v>408</v>
      </c>
      <c r="V559" t="s">
        <v>408</v>
      </c>
      <c r="W559">
        <v>0</v>
      </c>
      <c r="X559">
        <v>0</v>
      </c>
      <c r="Y559" t="s">
        <v>408</v>
      </c>
      <c r="Z559">
        <v>2017</v>
      </c>
      <c r="AA559">
        <v>0</v>
      </c>
      <c r="AB559" s="5">
        <v>0.23963668016</v>
      </c>
      <c r="AC559" s="5">
        <v>0.47927336032000001</v>
      </c>
      <c r="AD559" t="s">
        <v>408</v>
      </c>
      <c r="AE559" t="s">
        <v>152</v>
      </c>
      <c r="AF559" t="s">
        <v>408</v>
      </c>
      <c r="AG559" t="s">
        <v>408</v>
      </c>
      <c r="AH559" t="s">
        <v>408</v>
      </c>
      <c r="AI559" t="s">
        <v>408</v>
      </c>
      <c r="AJ559" t="s">
        <v>408</v>
      </c>
      <c r="AK559" t="s">
        <v>408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s="58">
        <f t="shared" si="8"/>
        <v>1</v>
      </c>
      <c r="AU559" s="79">
        <v>43347</v>
      </c>
      <c r="AV559" s="78" t="s">
        <v>410</v>
      </c>
      <c r="AW559" t="s">
        <v>408</v>
      </c>
      <c r="AX559">
        <v>3</v>
      </c>
      <c r="AY559" t="s">
        <v>412</v>
      </c>
      <c r="AZ559" t="s">
        <v>408</v>
      </c>
    </row>
    <row r="560" spans="1:52" x14ac:dyDescent="0.3">
      <c r="A560">
        <v>549</v>
      </c>
      <c r="B560" t="s">
        <v>641</v>
      </c>
      <c r="C560" t="s">
        <v>152</v>
      </c>
      <c r="D560" t="s">
        <v>642</v>
      </c>
      <c r="E560" t="s">
        <v>460</v>
      </c>
      <c r="F560" t="s">
        <v>408</v>
      </c>
      <c r="G560">
        <v>1600</v>
      </c>
      <c r="H560">
        <v>1601</v>
      </c>
      <c r="I560" t="s">
        <v>541</v>
      </c>
      <c r="J560">
        <v>1776</v>
      </c>
      <c r="K560">
        <v>1783</v>
      </c>
      <c r="L560" t="s">
        <v>643</v>
      </c>
      <c r="M560">
        <v>3</v>
      </c>
      <c r="N560" t="s">
        <v>165</v>
      </c>
      <c r="O560" t="s">
        <v>165</v>
      </c>
      <c r="P560" t="s">
        <v>420</v>
      </c>
      <c r="Q560" t="s">
        <v>1525</v>
      </c>
      <c r="R560" t="s">
        <v>556</v>
      </c>
      <c r="S560">
        <v>2013</v>
      </c>
      <c r="T560">
        <v>8</v>
      </c>
      <c r="U560" t="s">
        <v>370</v>
      </c>
      <c r="V560" t="s">
        <v>408</v>
      </c>
      <c r="W560">
        <v>0</v>
      </c>
      <c r="X560">
        <v>0</v>
      </c>
      <c r="Y560" t="s">
        <v>408</v>
      </c>
      <c r="Z560">
        <v>2013</v>
      </c>
      <c r="AA560">
        <v>2013</v>
      </c>
      <c r="AB560" s="5">
        <v>0.26485884257300002</v>
      </c>
      <c r="AC560" s="5">
        <v>0.52971768514600004</v>
      </c>
      <c r="AD560" t="s">
        <v>408</v>
      </c>
      <c r="AE560" t="s">
        <v>152</v>
      </c>
      <c r="AF560" t="s">
        <v>408</v>
      </c>
      <c r="AG560" t="s">
        <v>408</v>
      </c>
      <c r="AH560" t="s">
        <v>408</v>
      </c>
      <c r="AI560" t="s">
        <v>408</v>
      </c>
      <c r="AJ560" t="s">
        <v>408</v>
      </c>
      <c r="AK560" t="s">
        <v>408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s="58">
        <f t="shared" si="8"/>
        <v>1</v>
      </c>
      <c r="AU560" s="79">
        <v>43339</v>
      </c>
      <c r="AV560" s="78" t="s">
        <v>410</v>
      </c>
      <c r="AW560" t="s">
        <v>152</v>
      </c>
      <c r="AX560">
        <v>2</v>
      </c>
      <c r="AY560" t="s">
        <v>412</v>
      </c>
      <c r="AZ560" t="s">
        <v>408</v>
      </c>
    </row>
    <row r="561" spans="1:52" x14ac:dyDescent="0.3">
      <c r="A561">
        <v>550</v>
      </c>
      <c r="B561" t="s">
        <v>1538</v>
      </c>
      <c r="C561" t="s">
        <v>155</v>
      </c>
      <c r="D561" t="s">
        <v>1539</v>
      </c>
      <c r="E561" t="s">
        <v>466</v>
      </c>
      <c r="F561" t="s">
        <v>408</v>
      </c>
      <c r="G561">
        <v>531</v>
      </c>
      <c r="H561">
        <v>530</v>
      </c>
      <c r="I561" t="s">
        <v>535</v>
      </c>
      <c r="J561">
        <v>500</v>
      </c>
      <c r="K561">
        <v>501</v>
      </c>
      <c r="L561" t="s">
        <v>747</v>
      </c>
      <c r="M561">
        <v>3</v>
      </c>
      <c r="N561" t="s">
        <v>163</v>
      </c>
      <c r="O561" t="s">
        <v>163</v>
      </c>
      <c r="P561" t="s">
        <v>403</v>
      </c>
      <c r="Q561" t="s">
        <v>408</v>
      </c>
      <c r="R561" t="s">
        <v>657</v>
      </c>
      <c r="S561">
        <v>2021</v>
      </c>
      <c r="T561">
        <v>11</v>
      </c>
      <c r="U561" t="s">
        <v>408</v>
      </c>
      <c r="V561" t="s">
        <v>408</v>
      </c>
      <c r="W561">
        <v>0</v>
      </c>
      <c r="X561">
        <v>0</v>
      </c>
      <c r="Y561" t="s">
        <v>408</v>
      </c>
      <c r="Z561">
        <v>2021</v>
      </c>
      <c r="AA561">
        <v>0</v>
      </c>
      <c r="AB561" s="5">
        <v>6.3953762689499996E-2</v>
      </c>
      <c r="AC561" s="5">
        <v>0.12790752537899999</v>
      </c>
      <c r="AD561" t="s">
        <v>408</v>
      </c>
      <c r="AE561" t="s">
        <v>152</v>
      </c>
      <c r="AF561" t="s">
        <v>408</v>
      </c>
      <c r="AG561" t="s">
        <v>408</v>
      </c>
      <c r="AH561" t="s">
        <v>408</v>
      </c>
      <c r="AI561" t="s">
        <v>470</v>
      </c>
      <c r="AJ561" t="s">
        <v>152</v>
      </c>
      <c r="AK561" t="s">
        <v>408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s="58">
        <f t="shared" si="8"/>
        <v>1</v>
      </c>
      <c r="AU561" s="79" t="s">
        <v>658</v>
      </c>
      <c r="AV561" s="78" t="s">
        <v>410</v>
      </c>
      <c r="AW561" t="s">
        <v>411</v>
      </c>
      <c r="AX561">
        <v>1</v>
      </c>
      <c r="AY561" t="s">
        <v>412</v>
      </c>
      <c r="AZ561" t="s">
        <v>408</v>
      </c>
    </row>
    <row r="562" spans="1:52" x14ac:dyDescent="0.3">
      <c r="A562">
        <v>551</v>
      </c>
      <c r="B562" t="s">
        <v>997</v>
      </c>
      <c r="C562" t="s">
        <v>154</v>
      </c>
      <c r="D562" t="s">
        <v>998</v>
      </c>
      <c r="E562" t="s">
        <v>417</v>
      </c>
      <c r="F562" t="s">
        <v>408</v>
      </c>
      <c r="G562">
        <v>630</v>
      </c>
      <c r="H562">
        <v>631</v>
      </c>
      <c r="I562" t="s">
        <v>738</v>
      </c>
      <c r="J562">
        <v>601</v>
      </c>
      <c r="K562">
        <v>600</v>
      </c>
      <c r="L562" t="s">
        <v>999</v>
      </c>
      <c r="M562">
        <v>4</v>
      </c>
      <c r="N562" t="s">
        <v>165</v>
      </c>
      <c r="O562" t="s">
        <v>165</v>
      </c>
      <c r="P562" t="s">
        <v>403</v>
      </c>
      <c r="Q562" t="s">
        <v>1540</v>
      </c>
      <c r="R562" t="s">
        <v>645</v>
      </c>
      <c r="S562">
        <v>2017</v>
      </c>
      <c r="T562">
        <v>9</v>
      </c>
      <c r="U562" t="s">
        <v>408</v>
      </c>
      <c r="V562" t="s">
        <v>408</v>
      </c>
      <c r="W562">
        <v>0</v>
      </c>
      <c r="X562">
        <v>0</v>
      </c>
      <c r="Y562" t="s">
        <v>408</v>
      </c>
      <c r="Z562">
        <v>2017</v>
      </c>
      <c r="AA562">
        <v>0</v>
      </c>
      <c r="AB562" s="5">
        <v>7.5809749656200007E-2</v>
      </c>
      <c r="AC562" s="5">
        <v>0.151619499312</v>
      </c>
      <c r="AD562" t="s">
        <v>408</v>
      </c>
      <c r="AE562" t="s">
        <v>152</v>
      </c>
      <c r="AF562" t="s">
        <v>408</v>
      </c>
      <c r="AG562" t="s">
        <v>408</v>
      </c>
      <c r="AH562" t="s">
        <v>408</v>
      </c>
      <c r="AI562" t="s">
        <v>408</v>
      </c>
      <c r="AJ562" t="s">
        <v>408</v>
      </c>
      <c r="AK562" t="s">
        <v>408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 s="58">
        <f t="shared" si="8"/>
        <v>1</v>
      </c>
      <c r="AU562" s="79">
        <v>43347</v>
      </c>
      <c r="AV562" s="78" t="s">
        <v>410</v>
      </c>
      <c r="AW562" t="s">
        <v>152</v>
      </c>
      <c r="AX562">
        <v>2</v>
      </c>
      <c r="AY562" t="s">
        <v>412</v>
      </c>
      <c r="AZ562" t="s">
        <v>408</v>
      </c>
    </row>
    <row r="563" spans="1:52" x14ac:dyDescent="0.3">
      <c r="A563">
        <v>552</v>
      </c>
      <c r="B563" t="s">
        <v>458</v>
      </c>
      <c r="C563" t="s">
        <v>155</v>
      </c>
      <c r="D563" t="s">
        <v>459</v>
      </c>
      <c r="E563" t="s">
        <v>460</v>
      </c>
      <c r="F563" t="s">
        <v>408</v>
      </c>
      <c r="G563">
        <v>1159</v>
      </c>
      <c r="H563">
        <v>1158</v>
      </c>
      <c r="I563" t="s">
        <v>969</v>
      </c>
      <c r="J563">
        <v>900</v>
      </c>
      <c r="K563">
        <v>901</v>
      </c>
      <c r="L563" t="s">
        <v>461</v>
      </c>
      <c r="M563">
        <v>4</v>
      </c>
      <c r="N563" t="s">
        <v>165</v>
      </c>
      <c r="O563" t="s">
        <v>165</v>
      </c>
      <c r="P563" t="s">
        <v>420</v>
      </c>
      <c r="Q563" t="s">
        <v>408</v>
      </c>
      <c r="R563" t="s">
        <v>445</v>
      </c>
      <c r="S563">
        <v>2012</v>
      </c>
      <c r="T563">
        <v>7</v>
      </c>
      <c r="U563" t="s">
        <v>408</v>
      </c>
      <c r="V563" t="s">
        <v>407</v>
      </c>
      <c r="W563">
        <v>2020</v>
      </c>
      <c r="X563">
        <v>0</v>
      </c>
      <c r="Y563" t="s">
        <v>408</v>
      </c>
      <c r="Z563">
        <v>2020</v>
      </c>
      <c r="AA563">
        <v>0</v>
      </c>
      <c r="AB563" s="5">
        <v>0.21564013321200001</v>
      </c>
      <c r="AC563" s="5">
        <v>0.43128026642400002</v>
      </c>
      <c r="AD563" t="s">
        <v>408</v>
      </c>
      <c r="AE563" t="s">
        <v>152</v>
      </c>
      <c r="AF563" t="s">
        <v>408</v>
      </c>
      <c r="AG563" t="s">
        <v>408</v>
      </c>
      <c r="AH563" t="s">
        <v>408</v>
      </c>
      <c r="AI563" t="s">
        <v>408</v>
      </c>
      <c r="AJ563" t="s">
        <v>408</v>
      </c>
      <c r="AK563" t="s">
        <v>408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 s="58">
        <f t="shared" si="8"/>
        <v>1</v>
      </c>
      <c r="AU563" s="79" t="s">
        <v>431</v>
      </c>
      <c r="AV563" s="78" t="s">
        <v>410</v>
      </c>
      <c r="AW563" t="s">
        <v>152</v>
      </c>
      <c r="AX563">
        <v>2</v>
      </c>
      <c r="AY563" t="s">
        <v>412</v>
      </c>
      <c r="AZ563" t="s">
        <v>408</v>
      </c>
    </row>
    <row r="564" spans="1:52" x14ac:dyDescent="0.3">
      <c r="A564">
        <v>553</v>
      </c>
      <c r="B564" t="s">
        <v>693</v>
      </c>
      <c r="C564" t="s">
        <v>152</v>
      </c>
      <c r="D564" t="s">
        <v>694</v>
      </c>
      <c r="E564" t="s">
        <v>460</v>
      </c>
      <c r="F564" t="s">
        <v>408</v>
      </c>
      <c r="G564">
        <v>5000</v>
      </c>
      <c r="H564">
        <v>5001</v>
      </c>
      <c r="I564" t="s">
        <v>1457</v>
      </c>
      <c r="J564">
        <v>1973</v>
      </c>
      <c r="K564">
        <v>1972</v>
      </c>
      <c r="L564" t="s">
        <v>1019</v>
      </c>
      <c r="M564">
        <v>3</v>
      </c>
      <c r="N564" t="s">
        <v>167</v>
      </c>
      <c r="O564" t="s">
        <v>167</v>
      </c>
      <c r="P564" t="s">
        <v>420</v>
      </c>
      <c r="Q564" t="s">
        <v>408</v>
      </c>
      <c r="R564" t="s">
        <v>1399</v>
      </c>
      <c r="S564">
        <v>2000</v>
      </c>
      <c r="T564">
        <v>10</v>
      </c>
      <c r="U564" t="s">
        <v>408</v>
      </c>
      <c r="V564" t="s">
        <v>453</v>
      </c>
      <c r="W564">
        <v>2017</v>
      </c>
      <c r="X564">
        <v>10</v>
      </c>
      <c r="Y564" t="s">
        <v>408</v>
      </c>
      <c r="Z564">
        <v>2017</v>
      </c>
      <c r="AA564">
        <v>2004</v>
      </c>
      <c r="AB564" s="5">
        <v>0.250961149148</v>
      </c>
      <c r="AC564" s="5">
        <v>0.50192229829599999</v>
      </c>
      <c r="AD564" t="s">
        <v>408</v>
      </c>
      <c r="AE564" t="s">
        <v>152</v>
      </c>
      <c r="AF564" t="s">
        <v>408</v>
      </c>
      <c r="AG564" t="s">
        <v>408</v>
      </c>
      <c r="AH564" t="s">
        <v>408</v>
      </c>
      <c r="AI564" t="s">
        <v>408</v>
      </c>
      <c r="AJ564" t="s">
        <v>408</v>
      </c>
      <c r="AK564" t="s">
        <v>408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s="58">
        <f t="shared" si="8"/>
        <v>1</v>
      </c>
      <c r="AU564" s="79">
        <v>43340</v>
      </c>
      <c r="AV564" t="s">
        <v>410</v>
      </c>
      <c r="AW564" t="s">
        <v>408</v>
      </c>
      <c r="AX564">
        <v>2</v>
      </c>
      <c r="AY564" t="s">
        <v>412</v>
      </c>
      <c r="AZ564" t="s">
        <v>408</v>
      </c>
    </row>
    <row r="565" spans="1:52" x14ac:dyDescent="0.3">
      <c r="A565">
        <v>554</v>
      </c>
      <c r="B565" t="s">
        <v>1282</v>
      </c>
      <c r="C565" t="s">
        <v>154</v>
      </c>
      <c r="D565" t="s">
        <v>908</v>
      </c>
      <c r="E565" t="s">
        <v>466</v>
      </c>
      <c r="F565" t="s">
        <v>447</v>
      </c>
      <c r="G565">
        <v>2501</v>
      </c>
      <c r="H565">
        <v>2500</v>
      </c>
      <c r="I565" t="s">
        <v>1273</v>
      </c>
      <c r="J565">
        <v>3201</v>
      </c>
      <c r="K565">
        <v>3200</v>
      </c>
      <c r="L565" t="s">
        <v>434</v>
      </c>
      <c r="M565">
        <v>4</v>
      </c>
      <c r="N565" t="s">
        <v>165</v>
      </c>
      <c r="O565" t="s">
        <v>165</v>
      </c>
      <c r="P565" t="s">
        <v>403</v>
      </c>
      <c r="Q565" t="s">
        <v>1284</v>
      </c>
      <c r="R565" t="s">
        <v>562</v>
      </c>
      <c r="S565">
        <v>2014</v>
      </c>
      <c r="T565">
        <v>10</v>
      </c>
      <c r="U565" t="s">
        <v>842</v>
      </c>
      <c r="V565" t="s">
        <v>487</v>
      </c>
      <c r="W565">
        <v>2020</v>
      </c>
      <c r="X565">
        <v>0</v>
      </c>
      <c r="Y565" t="s">
        <v>408</v>
      </c>
      <c r="Z565">
        <v>2020</v>
      </c>
      <c r="AA565">
        <v>2011</v>
      </c>
      <c r="AB565" s="5">
        <v>0.91003963598100002</v>
      </c>
      <c r="AC565" s="5">
        <v>0.91003963598100002</v>
      </c>
      <c r="AD565" t="s">
        <v>408</v>
      </c>
      <c r="AE565" t="s">
        <v>411</v>
      </c>
      <c r="AF565" t="s">
        <v>447</v>
      </c>
      <c r="AG565" t="s">
        <v>152</v>
      </c>
      <c r="AH565" t="s">
        <v>408</v>
      </c>
      <c r="AI565" t="s">
        <v>408</v>
      </c>
      <c r="AJ565" t="s">
        <v>408</v>
      </c>
      <c r="AK565" t="s">
        <v>408</v>
      </c>
      <c r="AL565">
        <v>0</v>
      </c>
      <c r="AM565">
        <v>0</v>
      </c>
      <c r="AN565">
        <v>0</v>
      </c>
      <c r="AO565">
        <v>0.7</v>
      </c>
      <c r="AP565">
        <v>0</v>
      </c>
      <c r="AQ565">
        <v>0</v>
      </c>
      <c r="AR565">
        <v>0</v>
      </c>
      <c r="AS565">
        <v>0.3</v>
      </c>
      <c r="AT565" s="58">
        <f t="shared" si="8"/>
        <v>1</v>
      </c>
      <c r="AU565" s="79" t="s">
        <v>592</v>
      </c>
      <c r="AV565" s="78" t="s">
        <v>410</v>
      </c>
      <c r="AW565" t="s">
        <v>152</v>
      </c>
      <c r="AX565">
        <v>2</v>
      </c>
      <c r="AY565" t="s">
        <v>412</v>
      </c>
      <c r="AZ565" t="s">
        <v>408</v>
      </c>
    </row>
    <row r="566" spans="1:52" x14ac:dyDescent="0.3">
      <c r="A566">
        <v>555</v>
      </c>
      <c r="B566" t="s">
        <v>1282</v>
      </c>
      <c r="C566" t="s">
        <v>154</v>
      </c>
      <c r="D566" t="s">
        <v>908</v>
      </c>
      <c r="E566" t="s">
        <v>466</v>
      </c>
      <c r="F566" t="s">
        <v>447</v>
      </c>
      <c r="G566">
        <v>2358</v>
      </c>
      <c r="H566">
        <v>2359</v>
      </c>
      <c r="I566" t="s">
        <v>619</v>
      </c>
      <c r="J566">
        <v>2000</v>
      </c>
      <c r="K566">
        <v>2001</v>
      </c>
      <c r="L566" t="s">
        <v>435</v>
      </c>
      <c r="M566">
        <v>4</v>
      </c>
      <c r="N566" t="s">
        <v>165</v>
      </c>
      <c r="O566" t="s">
        <v>165</v>
      </c>
      <c r="P566" t="s">
        <v>403</v>
      </c>
      <c r="Q566" t="s">
        <v>1284</v>
      </c>
      <c r="R566" t="s">
        <v>562</v>
      </c>
      <c r="S566">
        <v>2014</v>
      </c>
      <c r="T566">
        <v>10</v>
      </c>
      <c r="U566" t="s">
        <v>842</v>
      </c>
      <c r="V566" t="s">
        <v>513</v>
      </c>
      <c r="W566">
        <v>2017</v>
      </c>
      <c r="X566">
        <v>10</v>
      </c>
      <c r="Y566" t="s">
        <v>370</v>
      </c>
      <c r="Z566">
        <v>2017</v>
      </c>
      <c r="AA566">
        <v>2017</v>
      </c>
      <c r="AB566" s="5">
        <v>0.50525795234699999</v>
      </c>
      <c r="AC566" s="5">
        <v>0.50525795234699999</v>
      </c>
      <c r="AD566" t="s">
        <v>408</v>
      </c>
      <c r="AE566" t="s">
        <v>411</v>
      </c>
      <c r="AF566" t="s">
        <v>447</v>
      </c>
      <c r="AG566" t="s">
        <v>152</v>
      </c>
      <c r="AH566" t="s">
        <v>408</v>
      </c>
      <c r="AI566" t="s">
        <v>408</v>
      </c>
      <c r="AJ566" t="s">
        <v>408</v>
      </c>
      <c r="AK566" t="s">
        <v>408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 s="58">
        <f t="shared" si="8"/>
        <v>1</v>
      </c>
      <c r="AU566" s="79">
        <v>43343</v>
      </c>
      <c r="AV566" s="78" t="s">
        <v>410</v>
      </c>
      <c r="AW566" t="s">
        <v>152</v>
      </c>
      <c r="AX566">
        <v>2</v>
      </c>
      <c r="AY566" t="s">
        <v>412</v>
      </c>
      <c r="AZ566" t="s">
        <v>408</v>
      </c>
    </row>
    <row r="567" spans="1:52" x14ac:dyDescent="0.3">
      <c r="A567">
        <v>556</v>
      </c>
      <c r="B567" t="s">
        <v>477</v>
      </c>
      <c r="C567" t="s">
        <v>152</v>
      </c>
      <c r="D567" t="s">
        <v>478</v>
      </c>
      <c r="E567" t="s">
        <v>417</v>
      </c>
      <c r="F567" t="s">
        <v>408</v>
      </c>
      <c r="G567">
        <v>2400</v>
      </c>
      <c r="H567">
        <v>2401</v>
      </c>
      <c r="I567" t="s">
        <v>890</v>
      </c>
      <c r="J567">
        <v>2558</v>
      </c>
      <c r="K567">
        <v>2559</v>
      </c>
      <c r="L567" t="s">
        <v>1168</v>
      </c>
      <c r="M567">
        <v>2</v>
      </c>
      <c r="N567" t="s">
        <v>165</v>
      </c>
      <c r="O567" t="s">
        <v>165</v>
      </c>
      <c r="P567" t="s">
        <v>403</v>
      </c>
      <c r="Q567" t="s">
        <v>1169</v>
      </c>
      <c r="R567" t="s">
        <v>703</v>
      </c>
      <c r="S567">
        <v>2013</v>
      </c>
      <c r="T567">
        <v>11</v>
      </c>
      <c r="U567" t="s">
        <v>408</v>
      </c>
      <c r="V567" t="s">
        <v>513</v>
      </c>
      <c r="W567">
        <v>2017</v>
      </c>
      <c r="X567">
        <v>10</v>
      </c>
      <c r="Y567" t="s">
        <v>370</v>
      </c>
      <c r="Z567">
        <v>2017</v>
      </c>
      <c r="AA567">
        <v>2017</v>
      </c>
      <c r="AB567" s="5">
        <v>0.25060066717500001</v>
      </c>
      <c r="AC567" s="5">
        <v>0.50120133435000003</v>
      </c>
      <c r="AD567" t="s">
        <v>408</v>
      </c>
      <c r="AE567" t="s">
        <v>152</v>
      </c>
      <c r="AF567" t="s">
        <v>408</v>
      </c>
      <c r="AG567" t="s">
        <v>408</v>
      </c>
      <c r="AH567" t="s">
        <v>408</v>
      </c>
      <c r="AI567" t="s">
        <v>408</v>
      </c>
      <c r="AJ567" t="s">
        <v>408</v>
      </c>
      <c r="AK567" t="s">
        <v>408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s="58">
        <f t="shared" si="8"/>
        <v>1</v>
      </c>
      <c r="AU567" s="79">
        <v>43335</v>
      </c>
      <c r="AV567" t="s">
        <v>410</v>
      </c>
      <c r="AW567" t="s">
        <v>152</v>
      </c>
      <c r="AX567">
        <v>2</v>
      </c>
      <c r="AY567" t="s">
        <v>412</v>
      </c>
      <c r="AZ567" t="s">
        <v>408</v>
      </c>
    </row>
    <row r="568" spans="1:52" x14ac:dyDescent="0.3">
      <c r="A568">
        <v>557</v>
      </c>
      <c r="B568" t="s">
        <v>693</v>
      </c>
      <c r="C568" t="s">
        <v>152</v>
      </c>
      <c r="D568" t="s">
        <v>694</v>
      </c>
      <c r="E568" t="s">
        <v>460</v>
      </c>
      <c r="F568" t="s">
        <v>408</v>
      </c>
      <c r="G568">
        <v>3500</v>
      </c>
      <c r="H568">
        <v>3501</v>
      </c>
      <c r="I568" t="s">
        <v>939</v>
      </c>
      <c r="J568">
        <v>3598</v>
      </c>
      <c r="K568">
        <v>3599</v>
      </c>
      <c r="L568" t="s">
        <v>573</v>
      </c>
      <c r="M568">
        <v>3</v>
      </c>
      <c r="N568" t="s">
        <v>170</v>
      </c>
      <c r="O568" t="s">
        <v>170</v>
      </c>
      <c r="P568" t="s">
        <v>420</v>
      </c>
      <c r="Q568" t="s">
        <v>408</v>
      </c>
      <c r="R568" t="s">
        <v>493</v>
      </c>
      <c r="S568">
        <v>2007</v>
      </c>
      <c r="T568">
        <v>6</v>
      </c>
      <c r="U568" t="s">
        <v>408</v>
      </c>
      <c r="V568" t="s">
        <v>513</v>
      </c>
      <c r="W568">
        <v>2017</v>
      </c>
      <c r="X568">
        <v>10</v>
      </c>
      <c r="Y568" t="s">
        <v>370</v>
      </c>
      <c r="Z568">
        <v>2017</v>
      </c>
      <c r="AA568">
        <v>2017</v>
      </c>
      <c r="AB568" s="5">
        <v>0.126093984779</v>
      </c>
      <c r="AC568" s="5">
        <v>0.25218796955799999</v>
      </c>
      <c r="AD568" t="s">
        <v>408</v>
      </c>
      <c r="AE568" t="s">
        <v>152</v>
      </c>
      <c r="AF568" t="s">
        <v>408</v>
      </c>
      <c r="AG568" t="s">
        <v>408</v>
      </c>
      <c r="AH568" t="s">
        <v>408</v>
      </c>
      <c r="AI568" t="s">
        <v>408</v>
      </c>
      <c r="AJ568" t="s">
        <v>408</v>
      </c>
      <c r="AK568" t="s">
        <v>408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s="58">
        <f t="shared" si="8"/>
        <v>1</v>
      </c>
      <c r="AU568" s="79">
        <v>43340</v>
      </c>
      <c r="AV568" s="78" t="s">
        <v>410</v>
      </c>
      <c r="AW568" t="s">
        <v>408</v>
      </c>
      <c r="AX568">
        <v>2</v>
      </c>
      <c r="AY568" t="s">
        <v>412</v>
      </c>
      <c r="AZ568" t="s">
        <v>408</v>
      </c>
    </row>
    <row r="569" spans="1:52" x14ac:dyDescent="0.3">
      <c r="A569">
        <v>558</v>
      </c>
      <c r="B569" t="s">
        <v>709</v>
      </c>
      <c r="C569" t="s">
        <v>154</v>
      </c>
      <c r="D569" t="s">
        <v>710</v>
      </c>
      <c r="E569" t="s">
        <v>426</v>
      </c>
      <c r="F569" t="s">
        <v>408</v>
      </c>
      <c r="G569">
        <v>1545</v>
      </c>
      <c r="H569">
        <v>1544</v>
      </c>
      <c r="I569" t="s">
        <v>545</v>
      </c>
      <c r="J569">
        <v>1500</v>
      </c>
      <c r="K569">
        <v>1501</v>
      </c>
      <c r="L569" t="s">
        <v>718</v>
      </c>
      <c r="M569">
        <v>2</v>
      </c>
      <c r="N569" t="s">
        <v>167</v>
      </c>
      <c r="O569" t="s">
        <v>167</v>
      </c>
      <c r="P569" t="s">
        <v>420</v>
      </c>
      <c r="Q569" t="s">
        <v>408</v>
      </c>
      <c r="R569" t="s">
        <v>608</v>
      </c>
      <c r="S569">
        <v>2011</v>
      </c>
      <c r="T569">
        <v>6</v>
      </c>
      <c r="U569" t="s">
        <v>408</v>
      </c>
      <c r="V569" t="s">
        <v>624</v>
      </c>
      <c r="W569">
        <v>2014</v>
      </c>
      <c r="X569">
        <v>10</v>
      </c>
      <c r="Y569" t="s">
        <v>370</v>
      </c>
      <c r="Z569">
        <v>2014</v>
      </c>
      <c r="AA569">
        <v>2014</v>
      </c>
      <c r="AB569" s="5">
        <v>0.10006885639800001</v>
      </c>
      <c r="AC569" s="5">
        <v>0.20013771279600001</v>
      </c>
      <c r="AD569" t="s">
        <v>408</v>
      </c>
      <c r="AE569" t="s">
        <v>152</v>
      </c>
      <c r="AF569" t="s">
        <v>408</v>
      </c>
      <c r="AG569" t="s">
        <v>408</v>
      </c>
      <c r="AH569" t="s">
        <v>408</v>
      </c>
      <c r="AI569" t="s">
        <v>408</v>
      </c>
      <c r="AJ569" t="s">
        <v>408</v>
      </c>
      <c r="AK569" t="s">
        <v>408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s="58">
        <f t="shared" si="8"/>
        <v>1</v>
      </c>
      <c r="AU569" s="79">
        <v>43340</v>
      </c>
      <c r="AV569" t="s">
        <v>410</v>
      </c>
      <c r="AW569" t="s">
        <v>408</v>
      </c>
      <c r="AX569">
        <v>2</v>
      </c>
      <c r="AY569" t="s">
        <v>412</v>
      </c>
      <c r="AZ569" t="s">
        <v>408</v>
      </c>
    </row>
    <row r="570" spans="1:52" x14ac:dyDescent="0.3">
      <c r="A570">
        <v>559</v>
      </c>
      <c r="B570" t="s">
        <v>709</v>
      </c>
      <c r="C570" t="s">
        <v>154</v>
      </c>
      <c r="D570" t="s">
        <v>710</v>
      </c>
      <c r="E570" t="s">
        <v>460</v>
      </c>
      <c r="F570" t="s">
        <v>408</v>
      </c>
      <c r="G570">
        <v>1133</v>
      </c>
      <c r="H570">
        <v>1148</v>
      </c>
      <c r="I570" t="s">
        <v>920</v>
      </c>
      <c r="J570">
        <v>1100</v>
      </c>
      <c r="K570">
        <v>1101</v>
      </c>
      <c r="L570" t="s">
        <v>706</v>
      </c>
      <c r="M570">
        <v>2</v>
      </c>
      <c r="N570" t="s">
        <v>170</v>
      </c>
      <c r="O570" t="s">
        <v>170</v>
      </c>
      <c r="P570" t="s">
        <v>420</v>
      </c>
      <c r="Q570" t="s">
        <v>408</v>
      </c>
      <c r="R570" t="s">
        <v>712</v>
      </c>
      <c r="S570">
        <v>2007</v>
      </c>
      <c r="T570">
        <v>10</v>
      </c>
      <c r="U570" t="s">
        <v>408</v>
      </c>
      <c r="V570" t="s">
        <v>513</v>
      </c>
      <c r="W570">
        <v>2017</v>
      </c>
      <c r="X570">
        <v>11</v>
      </c>
      <c r="Y570" t="s">
        <v>370</v>
      </c>
      <c r="Z570">
        <v>2017</v>
      </c>
      <c r="AA570">
        <v>2017</v>
      </c>
      <c r="AB570" s="5">
        <v>0.105376756025</v>
      </c>
      <c r="AC570" s="5">
        <v>0.21075351205000001</v>
      </c>
      <c r="AD570" t="s">
        <v>408</v>
      </c>
      <c r="AE570" t="s">
        <v>152</v>
      </c>
      <c r="AF570" t="s">
        <v>408</v>
      </c>
      <c r="AG570" t="s">
        <v>408</v>
      </c>
      <c r="AH570" t="s">
        <v>408</v>
      </c>
      <c r="AI570" t="s">
        <v>408</v>
      </c>
      <c r="AJ570" t="s">
        <v>408</v>
      </c>
      <c r="AK570" t="s">
        <v>408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s="58">
        <f t="shared" si="8"/>
        <v>1</v>
      </c>
      <c r="AU570" s="79">
        <v>43340</v>
      </c>
      <c r="AV570" t="s">
        <v>410</v>
      </c>
      <c r="AW570" t="s">
        <v>408</v>
      </c>
      <c r="AX570">
        <v>2</v>
      </c>
      <c r="AY570" t="s">
        <v>412</v>
      </c>
      <c r="AZ570" t="s">
        <v>408</v>
      </c>
    </row>
    <row r="571" spans="1:52" x14ac:dyDescent="0.3">
      <c r="A571">
        <v>560</v>
      </c>
      <c r="B571" t="s">
        <v>522</v>
      </c>
      <c r="C571" t="s">
        <v>154</v>
      </c>
      <c r="D571" t="s">
        <v>523</v>
      </c>
      <c r="E571" t="s">
        <v>460</v>
      </c>
      <c r="F571" t="s">
        <v>152</v>
      </c>
      <c r="G571">
        <v>5000</v>
      </c>
      <c r="H571">
        <v>5001</v>
      </c>
      <c r="I571" t="s">
        <v>1457</v>
      </c>
      <c r="J571">
        <v>5758</v>
      </c>
      <c r="K571">
        <v>5759</v>
      </c>
      <c r="L571" t="s">
        <v>524</v>
      </c>
      <c r="M571">
        <v>4</v>
      </c>
      <c r="N571" t="s">
        <v>167</v>
      </c>
      <c r="O571" t="s">
        <v>167</v>
      </c>
      <c r="P571" t="s">
        <v>420</v>
      </c>
      <c r="Q571" t="s">
        <v>1541</v>
      </c>
      <c r="R571" t="s">
        <v>1542</v>
      </c>
      <c r="S571">
        <v>2018</v>
      </c>
      <c r="T571">
        <v>5</v>
      </c>
      <c r="U571" t="s">
        <v>408</v>
      </c>
      <c r="V571" t="s">
        <v>408</v>
      </c>
      <c r="W571">
        <v>0</v>
      </c>
      <c r="X571">
        <v>0</v>
      </c>
      <c r="Y571" t="s">
        <v>408</v>
      </c>
      <c r="Z571">
        <v>2018</v>
      </c>
      <c r="AA571">
        <v>0</v>
      </c>
      <c r="AB571" s="5">
        <v>0.96912602453700003</v>
      </c>
      <c r="AC571" s="5">
        <v>0.96912602453700003</v>
      </c>
      <c r="AD571" t="s">
        <v>408</v>
      </c>
      <c r="AE571" t="s">
        <v>411</v>
      </c>
      <c r="AF571" t="s">
        <v>152</v>
      </c>
      <c r="AG571" t="s">
        <v>152</v>
      </c>
      <c r="AH571" t="s">
        <v>408</v>
      </c>
      <c r="AI571" t="s">
        <v>408</v>
      </c>
      <c r="AJ571" t="s">
        <v>408</v>
      </c>
      <c r="AK571" t="s">
        <v>408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s="58">
        <f t="shared" si="8"/>
        <v>1</v>
      </c>
      <c r="AU571" s="79">
        <v>43350</v>
      </c>
      <c r="AV571" s="78" t="s">
        <v>410</v>
      </c>
      <c r="AW571" t="s">
        <v>408</v>
      </c>
      <c r="AX571">
        <v>3</v>
      </c>
      <c r="AY571" t="s">
        <v>17</v>
      </c>
      <c r="AZ571">
        <v>20</v>
      </c>
    </row>
    <row r="572" spans="1:52" x14ac:dyDescent="0.3">
      <c r="A572">
        <v>561</v>
      </c>
      <c r="B572" t="s">
        <v>1486</v>
      </c>
      <c r="C572" t="s">
        <v>152</v>
      </c>
      <c r="D572" t="s">
        <v>1487</v>
      </c>
      <c r="E572" t="s">
        <v>460</v>
      </c>
      <c r="F572" t="s">
        <v>155</v>
      </c>
      <c r="G572">
        <v>0</v>
      </c>
      <c r="H572">
        <v>0</v>
      </c>
      <c r="I572" t="s">
        <v>1457</v>
      </c>
      <c r="J572">
        <v>5758</v>
      </c>
      <c r="K572">
        <v>5759</v>
      </c>
      <c r="L572" t="s">
        <v>524</v>
      </c>
      <c r="M572">
        <v>4</v>
      </c>
      <c r="N572" t="s">
        <v>167</v>
      </c>
      <c r="O572" t="s">
        <v>167</v>
      </c>
      <c r="P572" t="s">
        <v>420</v>
      </c>
      <c r="Q572" t="s">
        <v>1543</v>
      </c>
      <c r="R572" t="s">
        <v>1542</v>
      </c>
      <c r="S572">
        <v>2018</v>
      </c>
      <c r="T572">
        <v>5</v>
      </c>
      <c r="U572" t="s">
        <v>408</v>
      </c>
      <c r="V572" t="s">
        <v>408</v>
      </c>
      <c r="W572">
        <v>0</v>
      </c>
      <c r="X572">
        <v>0</v>
      </c>
      <c r="Y572" t="s">
        <v>408</v>
      </c>
      <c r="Z572">
        <v>2018</v>
      </c>
      <c r="AA572">
        <v>0</v>
      </c>
      <c r="AB572" s="5">
        <v>0.96887038066200004</v>
      </c>
      <c r="AC572" s="5">
        <v>0.96887038066200004</v>
      </c>
      <c r="AD572" t="s">
        <v>408</v>
      </c>
      <c r="AE572" t="s">
        <v>411</v>
      </c>
      <c r="AF572" t="s">
        <v>155</v>
      </c>
      <c r="AG572" t="s">
        <v>152</v>
      </c>
      <c r="AH572" t="s">
        <v>408</v>
      </c>
      <c r="AI572" t="s">
        <v>408</v>
      </c>
      <c r="AJ572" t="s">
        <v>408</v>
      </c>
      <c r="AK572" t="s">
        <v>408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s="58">
        <f t="shared" si="8"/>
        <v>1</v>
      </c>
      <c r="AU572" s="79">
        <v>43348</v>
      </c>
      <c r="AV572" s="78" t="s">
        <v>410</v>
      </c>
      <c r="AW572" t="s">
        <v>408</v>
      </c>
      <c r="AX572">
        <v>3</v>
      </c>
      <c r="AY572" t="s">
        <v>17</v>
      </c>
      <c r="AZ572">
        <v>20</v>
      </c>
    </row>
    <row r="573" spans="1:52" x14ac:dyDescent="0.3">
      <c r="A573">
        <v>562</v>
      </c>
      <c r="B573" t="s">
        <v>477</v>
      </c>
      <c r="C573" t="s">
        <v>152</v>
      </c>
      <c r="D573" t="s">
        <v>478</v>
      </c>
      <c r="E573" t="s">
        <v>417</v>
      </c>
      <c r="F573" t="s">
        <v>408</v>
      </c>
      <c r="G573">
        <v>860</v>
      </c>
      <c r="H573">
        <v>865</v>
      </c>
      <c r="I573" t="s">
        <v>970</v>
      </c>
      <c r="J573">
        <v>1168</v>
      </c>
      <c r="K573">
        <v>1169</v>
      </c>
      <c r="L573" t="s">
        <v>699</v>
      </c>
      <c r="M573">
        <v>2</v>
      </c>
      <c r="N573" t="s">
        <v>167</v>
      </c>
      <c r="O573" t="s">
        <v>167</v>
      </c>
      <c r="P573" t="s">
        <v>420</v>
      </c>
      <c r="Q573" t="s">
        <v>408</v>
      </c>
      <c r="R573" t="s">
        <v>1242</v>
      </c>
      <c r="S573">
        <v>1999</v>
      </c>
      <c r="T573">
        <v>5</v>
      </c>
      <c r="U573" t="s">
        <v>1544</v>
      </c>
      <c r="V573" t="s">
        <v>1545</v>
      </c>
      <c r="W573">
        <v>2011</v>
      </c>
      <c r="X573">
        <v>12</v>
      </c>
      <c r="Y573" t="s">
        <v>408</v>
      </c>
      <c r="Z573">
        <v>2011</v>
      </c>
      <c r="AA573">
        <v>2011</v>
      </c>
      <c r="AB573" s="5">
        <v>0.39182362251800001</v>
      </c>
      <c r="AC573" s="5">
        <v>0.78364724503600003</v>
      </c>
      <c r="AD573" t="s">
        <v>408</v>
      </c>
      <c r="AE573" t="s">
        <v>152</v>
      </c>
      <c r="AF573" t="s">
        <v>408</v>
      </c>
      <c r="AG573" t="s">
        <v>408</v>
      </c>
      <c r="AH573" t="s">
        <v>408</v>
      </c>
      <c r="AI573" t="s">
        <v>408</v>
      </c>
      <c r="AJ573" t="s">
        <v>408</v>
      </c>
      <c r="AK573" t="s">
        <v>411</v>
      </c>
      <c r="AL573">
        <v>2011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 s="58">
        <f t="shared" si="8"/>
        <v>1</v>
      </c>
      <c r="AU573" s="79">
        <v>43335</v>
      </c>
      <c r="AV573" s="78" t="s">
        <v>410</v>
      </c>
      <c r="AW573" t="s">
        <v>408</v>
      </c>
      <c r="AX573">
        <v>2</v>
      </c>
      <c r="AY573" t="s">
        <v>412</v>
      </c>
      <c r="AZ573" t="s">
        <v>408</v>
      </c>
    </row>
    <row r="574" spans="1:52" x14ac:dyDescent="0.3">
      <c r="A574">
        <v>563</v>
      </c>
      <c r="B574" t="s">
        <v>1336</v>
      </c>
      <c r="C574" t="s">
        <v>152</v>
      </c>
      <c r="D574" t="s">
        <v>1337</v>
      </c>
      <c r="E574" t="s">
        <v>460</v>
      </c>
      <c r="F574" t="s">
        <v>408</v>
      </c>
      <c r="G574">
        <v>5800</v>
      </c>
      <c r="H574">
        <v>5801</v>
      </c>
      <c r="I574" t="s">
        <v>1338</v>
      </c>
      <c r="J574">
        <v>6158</v>
      </c>
      <c r="K574">
        <v>6159</v>
      </c>
      <c r="L574" t="s">
        <v>1546</v>
      </c>
      <c r="M574">
        <v>4</v>
      </c>
      <c r="N574" t="s">
        <v>168</v>
      </c>
      <c r="O574" t="s">
        <v>170</v>
      </c>
      <c r="P574" t="s">
        <v>420</v>
      </c>
      <c r="Q574" t="s">
        <v>1547</v>
      </c>
      <c r="R574" t="s">
        <v>1542</v>
      </c>
      <c r="S574">
        <v>2018</v>
      </c>
      <c r="T574">
        <v>5</v>
      </c>
      <c r="U574" t="s">
        <v>408</v>
      </c>
      <c r="V574" t="s">
        <v>408</v>
      </c>
      <c r="W574">
        <v>0</v>
      </c>
      <c r="X574">
        <v>0</v>
      </c>
      <c r="Y574" t="s">
        <v>408</v>
      </c>
      <c r="Z574">
        <v>2018</v>
      </c>
      <c r="AA574">
        <v>0</v>
      </c>
      <c r="AB574" s="5">
        <v>0.60737576011000005</v>
      </c>
      <c r="AC574" s="5">
        <v>1.2147515202200001</v>
      </c>
      <c r="AD574" t="s">
        <v>1342</v>
      </c>
      <c r="AE574" t="s">
        <v>152</v>
      </c>
      <c r="AF574" t="s">
        <v>408</v>
      </c>
      <c r="AG574" t="s">
        <v>408</v>
      </c>
      <c r="AH574" t="s">
        <v>408</v>
      </c>
      <c r="AI574" t="s">
        <v>408</v>
      </c>
      <c r="AJ574" t="s">
        <v>408</v>
      </c>
      <c r="AK574" t="s">
        <v>408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s="58">
        <f t="shared" si="8"/>
        <v>1</v>
      </c>
      <c r="AU574" s="79">
        <v>43348</v>
      </c>
      <c r="AV574" s="78" t="s">
        <v>410</v>
      </c>
      <c r="AW574" t="s">
        <v>408</v>
      </c>
      <c r="AX574">
        <v>3</v>
      </c>
      <c r="AY574" t="s">
        <v>17</v>
      </c>
      <c r="AZ574">
        <v>20</v>
      </c>
    </row>
    <row r="575" spans="1:52" x14ac:dyDescent="0.3">
      <c r="A575">
        <v>564</v>
      </c>
      <c r="B575" t="s">
        <v>440</v>
      </c>
      <c r="C575" t="s">
        <v>152</v>
      </c>
      <c r="D575" t="s">
        <v>441</v>
      </c>
      <c r="E575" t="s">
        <v>417</v>
      </c>
      <c r="F575" t="s">
        <v>408</v>
      </c>
      <c r="G575">
        <v>1600</v>
      </c>
      <c r="H575">
        <v>1601</v>
      </c>
      <c r="I575" t="s">
        <v>541</v>
      </c>
      <c r="J575">
        <v>1820</v>
      </c>
      <c r="K575">
        <v>1821</v>
      </c>
      <c r="L575" t="s">
        <v>722</v>
      </c>
      <c r="M575">
        <v>4</v>
      </c>
      <c r="N575" t="s">
        <v>165</v>
      </c>
      <c r="O575" t="s">
        <v>165</v>
      </c>
      <c r="P575" t="s">
        <v>403</v>
      </c>
      <c r="Q575" t="s">
        <v>408</v>
      </c>
      <c r="R575" t="s">
        <v>703</v>
      </c>
      <c r="S575">
        <v>2013</v>
      </c>
      <c r="T575">
        <v>11</v>
      </c>
      <c r="U575" t="s">
        <v>408</v>
      </c>
      <c r="V575" t="s">
        <v>662</v>
      </c>
      <c r="W575">
        <v>2015</v>
      </c>
      <c r="X575">
        <v>10</v>
      </c>
      <c r="Y575" t="s">
        <v>370</v>
      </c>
      <c r="Z575">
        <v>2015</v>
      </c>
      <c r="AA575">
        <v>2015</v>
      </c>
      <c r="AB575" s="5">
        <v>0.29422712422300001</v>
      </c>
      <c r="AC575" s="5">
        <v>0.58845424844600003</v>
      </c>
      <c r="AD575" t="s">
        <v>408</v>
      </c>
      <c r="AE575" t="s">
        <v>152</v>
      </c>
      <c r="AF575" t="s">
        <v>408</v>
      </c>
      <c r="AG575" t="s">
        <v>408</v>
      </c>
      <c r="AH575" t="s">
        <v>408</v>
      </c>
      <c r="AI575" t="s">
        <v>408</v>
      </c>
      <c r="AJ575" t="s">
        <v>408</v>
      </c>
      <c r="AK575" t="s">
        <v>408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s="58">
        <f t="shared" si="8"/>
        <v>1</v>
      </c>
      <c r="AU575" s="79">
        <v>43328</v>
      </c>
      <c r="AV575" t="s">
        <v>410</v>
      </c>
      <c r="AW575" t="s">
        <v>152</v>
      </c>
      <c r="AX575">
        <v>2</v>
      </c>
      <c r="AY575" t="s">
        <v>412</v>
      </c>
      <c r="AZ575" t="s">
        <v>408</v>
      </c>
    </row>
    <row r="576" spans="1:52" x14ac:dyDescent="0.3">
      <c r="A576">
        <v>565</v>
      </c>
      <c r="B576" t="s">
        <v>1548</v>
      </c>
      <c r="C576" t="s">
        <v>154</v>
      </c>
      <c r="D576" t="s">
        <v>1549</v>
      </c>
      <c r="E576" t="s">
        <v>460</v>
      </c>
      <c r="F576" t="s">
        <v>408</v>
      </c>
      <c r="G576">
        <v>1124</v>
      </c>
      <c r="H576">
        <v>1125</v>
      </c>
      <c r="I576" t="s">
        <v>920</v>
      </c>
      <c r="J576">
        <v>1000</v>
      </c>
      <c r="K576">
        <v>1001</v>
      </c>
      <c r="L576" t="s">
        <v>517</v>
      </c>
      <c r="M576">
        <v>4</v>
      </c>
      <c r="N576" t="s">
        <v>168</v>
      </c>
      <c r="O576" t="s">
        <v>1442</v>
      </c>
      <c r="P576" t="s">
        <v>420</v>
      </c>
      <c r="Q576" t="s">
        <v>1550</v>
      </c>
      <c r="R576" t="s">
        <v>547</v>
      </c>
      <c r="S576">
        <v>2018</v>
      </c>
      <c r="T576">
        <v>6</v>
      </c>
      <c r="U576" t="s">
        <v>1442</v>
      </c>
      <c r="V576" t="s">
        <v>408</v>
      </c>
      <c r="W576">
        <v>0</v>
      </c>
      <c r="X576">
        <v>0</v>
      </c>
      <c r="Y576" t="s">
        <v>408</v>
      </c>
      <c r="Z576">
        <v>2018</v>
      </c>
      <c r="AA576">
        <v>0</v>
      </c>
      <c r="AB576" s="5">
        <v>0.19756801330000001</v>
      </c>
      <c r="AC576" s="5">
        <v>0.39513602660000002</v>
      </c>
      <c r="AD576" t="s">
        <v>1551</v>
      </c>
      <c r="AE576" t="s">
        <v>152</v>
      </c>
      <c r="AF576" t="s">
        <v>408</v>
      </c>
      <c r="AG576" t="s">
        <v>408</v>
      </c>
      <c r="AH576" t="s">
        <v>408</v>
      </c>
      <c r="AI576" t="s">
        <v>408</v>
      </c>
      <c r="AJ576" t="s">
        <v>408</v>
      </c>
      <c r="AK576" t="s">
        <v>408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s="58">
        <f t="shared" si="8"/>
        <v>1</v>
      </c>
      <c r="AU576" s="79">
        <v>43348</v>
      </c>
      <c r="AV576" s="78" t="s">
        <v>410</v>
      </c>
      <c r="AW576" t="s">
        <v>408</v>
      </c>
      <c r="AX576">
        <v>3</v>
      </c>
      <c r="AY576" t="s">
        <v>17</v>
      </c>
      <c r="AZ576">
        <v>20</v>
      </c>
    </row>
    <row r="577" spans="1:52" x14ac:dyDescent="0.3">
      <c r="A577">
        <v>566</v>
      </c>
      <c r="B577" t="s">
        <v>1180</v>
      </c>
      <c r="C577" t="s">
        <v>154</v>
      </c>
      <c r="D577" t="s">
        <v>1181</v>
      </c>
      <c r="E577" t="s">
        <v>417</v>
      </c>
      <c r="F577" t="s">
        <v>408</v>
      </c>
      <c r="G577">
        <v>634</v>
      </c>
      <c r="H577">
        <v>635</v>
      </c>
      <c r="I577" t="s">
        <v>1262</v>
      </c>
      <c r="J577">
        <v>500</v>
      </c>
      <c r="K577">
        <v>501</v>
      </c>
      <c r="L577" t="s">
        <v>808</v>
      </c>
      <c r="M577">
        <v>4</v>
      </c>
      <c r="N577" t="s">
        <v>165</v>
      </c>
      <c r="O577" t="s">
        <v>165</v>
      </c>
      <c r="P577" t="s">
        <v>420</v>
      </c>
      <c r="Q577" t="s">
        <v>1552</v>
      </c>
      <c r="R577" t="s">
        <v>1553</v>
      </c>
      <c r="S577">
        <v>2018</v>
      </c>
      <c r="T577">
        <v>6</v>
      </c>
      <c r="U577" t="s">
        <v>452</v>
      </c>
      <c r="V577" t="s">
        <v>695</v>
      </c>
      <c r="W577">
        <v>2020</v>
      </c>
      <c r="X577">
        <v>0</v>
      </c>
      <c r="Y577" t="s">
        <v>370</v>
      </c>
      <c r="Z577">
        <v>2020</v>
      </c>
      <c r="AA577">
        <v>2020</v>
      </c>
      <c r="AB577" s="5">
        <v>0.23015638716199999</v>
      </c>
      <c r="AC577" s="5">
        <v>0.46031277432399997</v>
      </c>
      <c r="AD577" t="s">
        <v>408</v>
      </c>
      <c r="AE577" t="s">
        <v>152</v>
      </c>
      <c r="AF577" t="s">
        <v>408</v>
      </c>
      <c r="AG577" t="s">
        <v>408</v>
      </c>
      <c r="AH577" t="s">
        <v>408</v>
      </c>
      <c r="AI577" t="s">
        <v>408</v>
      </c>
      <c r="AJ577" t="s">
        <v>408</v>
      </c>
      <c r="AK577" t="s">
        <v>408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 s="58">
        <f t="shared" si="8"/>
        <v>1</v>
      </c>
      <c r="AU577" s="79" t="s">
        <v>431</v>
      </c>
      <c r="AV577" s="78" t="s">
        <v>410</v>
      </c>
      <c r="AW577" t="s">
        <v>1554</v>
      </c>
      <c r="AX577">
        <v>2</v>
      </c>
      <c r="AY577" t="s">
        <v>412</v>
      </c>
      <c r="AZ577" t="s">
        <v>408</v>
      </c>
    </row>
    <row r="578" spans="1:52" x14ac:dyDescent="0.3">
      <c r="A578">
        <v>567</v>
      </c>
      <c r="B578" t="s">
        <v>956</v>
      </c>
      <c r="C578" t="s">
        <v>155</v>
      </c>
      <c r="D578" t="s">
        <v>957</v>
      </c>
      <c r="E578" t="s">
        <v>417</v>
      </c>
      <c r="F578" t="s">
        <v>155</v>
      </c>
      <c r="G578">
        <v>536</v>
      </c>
      <c r="H578">
        <v>537</v>
      </c>
      <c r="I578" t="s">
        <v>535</v>
      </c>
      <c r="J578">
        <v>301</v>
      </c>
      <c r="K578">
        <v>300</v>
      </c>
      <c r="L578" t="s">
        <v>442</v>
      </c>
      <c r="M578">
        <v>4</v>
      </c>
      <c r="N578" t="s">
        <v>163</v>
      </c>
      <c r="O578" t="s">
        <v>163</v>
      </c>
      <c r="P578" t="s">
        <v>403</v>
      </c>
      <c r="Q578" t="s">
        <v>408</v>
      </c>
      <c r="R578" t="s">
        <v>505</v>
      </c>
      <c r="S578">
        <v>2018</v>
      </c>
      <c r="T578">
        <v>5</v>
      </c>
      <c r="U578" t="s">
        <v>1555</v>
      </c>
      <c r="V578" t="s">
        <v>408</v>
      </c>
      <c r="W578">
        <v>0</v>
      </c>
      <c r="X578">
        <v>0</v>
      </c>
      <c r="Y578" t="s">
        <v>408</v>
      </c>
      <c r="Z578">
        <v>2018</v>
      </c>
      <c r="AA578">
        <v>2016</v>
      </c>
      <c r="AB578" s="5">
        <v>0.163104271361</v>
      </c>
      <c r="AC578" s="5">
        <v>0.32620854272200001</v>
      </c>
      <c r="AD578" t="s">
        <v>408</v>
      </c>
      <c r="AE578" t="s">
        <v>152</v>
      </c>
      <c r="AF578" t="s">
        <v>400</v>
      </c>
      <c r="AG578" t="s">
        <v>400</v>
      </c>
      <c r="AH578" t="s">
        <v>411</v>
      </c>
      <c r="AI578" t="s">
        <v>470</v>
      </c>
      <c r="AJ578" t="s">
        <v>400</v>
      </c>
      <c r="AK578" t="s">
        <v>408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 s="58">
        <f t="shared" si="8"/>
        <v>1</v>
      </c>
      <c r="AU578" s="79" t="s">
        <v>457</v>
      </c>
      <c r="AV578" s="78" t="s">
        <v>410</v>
      </c>
      <c r="AW578" t="s">
        <v>411</v>
      </c>
      <c r="AX578">
        <v>1</v>
      </c>
      <c r="AY578" t="s">
        <v>412</v>
      </c>
      <c r="AZ578" t="s">
        <v>408</v>
      </c>
    </row>
    <row r="579" spans="1:52" x14ac:dyDescent="0.3">
      <c r="A579">
        <v>568</v>
      </c>
      <c r="B579" t="s">
        <v>1314</v>
      </c>
      <c r="C579" t="s">
        <v>154</v>
      </c>
      <c r="D579" t="s">
        <v>501</v>
      </c>
      <c r="E579" t="s">
        <v>417</v>
      </c>
      <c r="F579" t="s">
        <v>447</v>
      </c>
      <c r="G579">
        <v>630</v>
      </c>
      <c r="H579">
        <v>631</v>
      </c>
      <c r="I579" t="s">
        <v>738</v>
      </c>
      <c r="J579">
        <v>500</v>
      </c>
      <c r="K579">
        <v>501</v>
      </c>
      <c r="L579" t="s">
        <v>1516</v>
      </c>
      <c r="M579">
        <v>4</v>
      </c>
      <c r="N579" t="s">
        <v>165</v>
      </c>
      <c r="O579" t="s">
        <v>165</v>
      </c>
      <c r="P579" t="s">
        <v>420</v>
      </c>
      <c r="Q579" t="s">
        <v>1556</v>
      </c>
      <c r="R579" t="s">
        <v>505</v>
      </c>
      <c r="S579">
        <v>2018</v>
      </c>
      <c r="T579">
        <v>6</v>
      </c>
      <c r="U579" t="s">
        <v>408</v>
      </c>
      <c r="V579" t="s">
        <v>408</v>
      </c>
      <c r="W579">
        <v>0</v>
      </c>
      <c r="X579">
        <v>0</v>
      </c>
      <c r="Y579" t="s">
        <v>408</v>
      </c>
      <c r="Z579">
        <v>2018</v>
      </c>
      <c r="AA579">
        <v>0</v>
      </c>
      <c r="AB579" s="5">
        <v>0.228179743085</v>
      </c>
      <c r="AC579" s="5">
        <v>0.228179743085</v>
      </c>
      <c r="AD579" t="s">
        <v>408</v>
      </c>
      <c r="AE579" t="s">
        <v>411</v>
      </c>
      <c r="AF579" t="s">
        <v>447</v>
      </c>
      <c r="AG579" t="s">
        <v>152</v>
      </c>
      <c r="AH579" t="s">
        <v>408</v>
      </c>
      <c r="AI579" t="s">
        <v>408</v>
      </c>
      <c r="AJ579" t="s">
        <v>408</v>
      </c>
      <c r="AK579" t="s">
        <v>408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 s="58">
        <f t="shared" si="8"/>
        <v>1</v>
      </c>
      <c r="AU579" s="79">
        <v>43347</v>
      </c>
      <c r="AV579" s="78" t="s">
        <v>410</v>
      </c>
      <c r="AW579" t="s">
        <v>152</v>
      </c>
      <c r="AX579">
        <v>2</v>
      </c>
      <c r="AY579" t="s">
        <v>412</v>
      </c>
      <c r="AZ579" t="s">
        <v>408</v>
      </c>
    </row>
    <row r="580" spans="1:52" x14ac:dyDescent="0.3">
      <c r="A580">
        <v>569</v>
      </c>
      <c r="B580" t="s">
        <v>935</v>
      </c>
      <c r="C580" t="s">
        <v>152</v>
      </c>
      <c r="D580" t="s">
        <v>936</v>
      </c>
      <c r="E580" t="s">
        <v>460</v>
      </c>
      <c r="F580" t="s">
        <v>408</v>
      </c>
      <c r="G580">
        <v>4600</v>
      </c>
      <c r="H580">
        <v>4601</v>
      </c>
      <c r="I580" t="s">
        <v>686</v>
      </c>
      <c r="J580">
        <v>4758</v>
      </c>
      <c r="K580">
        <v>4759</v>
      </c>
      <c r="L580" t="s">
        <v>826</v>
      </c>
      <c r="M580">
        <v>2</v>
      </c>
      <c r="N580" t="s">
        <v>170</v>
      </c>
      <c r="O580" t="s">
        <v>170</v>
      </c>
      <c r="P580" t="s">
        <v>420</v>
      </c>
      <c r="Q580" t="s">
        <v>1557</v>
      </c>
      <c r="R580" t="s">
        <v>756</v>
      </c>
      <c r="S580">
        <v>2018</v>
      </c>
      <c r="T580">
        <v>6</v>
      </c>
      <c r="U580" t="s">
        <v>408</v>
      </c>
      <c r="V580" t="s">
        <v>408</v>
      </c>
      <c r="W580">
        <v>0</v>
      </c>
      <c r="X580">
        <v>0</v>
      </c>
      <c r="Y580" t="s">
        <v>408</v>
      </c>
      <c r="Z580">
        <v>2018</v>
      </c>
      <c r="AA580">
        <v>2013</v>
      </c>
      <c r="AB580" s="5">
        <v>0.25318157854200002</v>
      </c>
      <c r="AC580" s="5">
        <v>0.50636315708400004</v>
      </c>
      <c r="AD580" t="s">
        <v>408</v>
      </c>
      <c r="AE580" t="s">
        <v>152</v>
      </c>
      <c r="AF580" t="s">
        <v>408</v>
      </c>
      <c r="AG580" t="s">
        <v>408</v>
      </c>
      <c r="AH580" t="s">
        <v>408</v>
      </c>
      <c r="AI580" t="s">
        <v>408</v>
      </c>
      <c r="AJ580" t="s">
        <v>408</v>
      </c>
      <c r="AK580" t="s">
        <v>408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s="58">
        <f t="shared" si="8"/>
        <v>1</v>
      </c>
      <c r="AU580" s="79">
        <v>43343</v>
      </c>
      <c r="AV580" t="s">
        <v>410</v>
      </c>
      <c r="AW580" t="s">
        <v>408</v>
      </c>
      <c r="AX580">
        <v>2</v>
      </c>
      <c r="AY580" t="s">
        <v>412</v>
      </c>
      <c r="AZ580" t="s">
        <v>408</v>
      </c>
    </row>
    <row r="581" spans="1:52" x14ac:dyDescent="0.3">
      <c r="A581">
        <v>570</v>
      </c>
      <c r="B581" t="s">
        <v>1558</v>
      </c>
      <c r="C581" t="s">
        <v>154</v>
      </c>
      <c r="D581" t="s">
        <v>710</v>
      </c>
      <c r="E581" t="s">
        <v>426</v>
      </c>
      <c r="F581" t="s">
        <v>408</v>
      </c>
      <c r="G581">
        <v>732</v>
      </c>
      <c r="H581">
        <v>733</v>
      </c>
      <c r="I581" t="s">
        <v>711</v>
      </c>
      <c r="J581">
        <v>746</v>
      </c>
      <c r="K581">
        <v>731</v>
      </c>
      <c r="L581" t="s">
        <v>1559</v>
      </c>
      <c r="M581">
        <v>2</v>
      </c>
      <c r="N581" t="s">
        <v>167</v>
      </c>
      <c r="O581" t="s">
        <v>167</v>
      </c>
      <c r="P581" t="s">
        <v>420</v>
      </c>
      <c r="Q581" t="s">
        <v>1560</v>
      </c>
      <c r="R581" t="s">
        <v>756</v>
      </c>
      <c r="S581">
        <v>2018</v>
      </c>
      <c r="T581">
        <v>6</v>
      </c>
      <c r="U581" t="s">
        <v>408</v>
      </c>
      <c r="V581" t="s">
        <v>713</v>
      </c>
      <c r="W581">
        <v>2021</v>
      </c>
      <c r="X581">
        <v>6</v>
      </c>
      <c r="Y581" t="s">
        <v>408</v>
      </c>
      <c r="Z581">
        <v>2021</v>
      </c>
      <c r="AA581">
        <v>2021</v>
      </c>
      <c r="AB581" s="5">
        <v>4.00876156222E-2</v>
      </c>
      <c r="AC581" s="5">
        <v>8.01752312444E-2</v>
      </c>
      <c r="AD581" t="s">
        <v>408</v>
      </c>
      <c r="AE581" t="s">
        <v>152</v>
      </c>
      <c r="AF581" t="s">
        <v>408</v>
      </c>
      <c r="AG581" t="s">
        <v>408</v>
      </c>
      <c r="AH581" t="s">
        <v>408</v>
      </c>
      <c r="AI581" t="s">
        <v>408</v>
      </c>
      <c r="AJ581" t="s">
        <v>408</v>
      </c>
      <c r="AK581" t="s">
        <v>408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s="58">
        <f t="shared" si="8"/>
        <v>1</v>
      </c>
      <c r="AU581" s="79" t="s">
        <v>714</v>
      </c>
      <c r="AV581" s="78" t="s">
        <v>410</v>
      </c>
      <c r="AW581" t="s">
        <v>411</v>
      </c>
      <c r="AX581">
        <v>2</v>
      </c>
      <c r="AY581" t="s">
        <v>412</v>
      </c>
      <c r="AZ581" t="s">
        <v>408</v>
      </c>
    </row>
    <row r="582" spans="1:52" x14ac:dyDescent="0.3">
      <c r="A582">
        <v>571</v>
      </c>
      <c r="B582" t="s">
        <v>1558</v>
      </c>
      <c r="C582" t="s">
        <v>154</v>
      </c>
      <c r="D582" t="s">
        <v>710</v>
      </c>
      <c r="E582" t="s">
        <v>426</v>
      </c>
      <c r="F582" t="s">
        <v>408</v>
      </c>
      <c r="G582">
        <v>730</v>
      </c>
      <c r="H582">
        <v>729</v>
      </c>
      <c r="I582" t="s">
        <v>1559</v>
      </c>
      <c r="J582">
        <v>0</v>
      </c>
      <c r="K582">
        <v>0</v>
      </c>
      <c r="L582" t="s">
        <v>1239</v>
      </c>
      <c r="M582">
        <v>4</v>
      </c>
      <c r="N582" t="s">
        <v>163</v>
      </c>
      <c r="O582" t="s">
        <v>163</v>
      </c>
      <c r="P582" t="s">
        <v>420</v>
      </c>
      <c r="Q582" t="s">
        <v>1560</v>
      </c>
      <c r="R582" t="s">
        <v>1561</v>
      </c>
      <c r="S582">
        <v>2018</v>
      </c>
      <c r="T582">
        <v>6</v>
      </c>
      <c r="U582" t="s">
        <v>408</v>
      </c>
      <c r="V582" t="s">
        <v>408</v>
      </c>
      <c r="W582">
        <v>0</v>
      </c>
      <c r="X582">
        <v>0</v>
      </c>
      <c r="Y582" t="s">
        <v>408</v>
      </c>
      <c r="Z582">
        <v>2018</v>
      </c>
      <c r="AA582">
        <v>0</v>
      </c>
      <c r="AB582" s="5">
        <v>9.0580822822199994E-2</v>
      </c>
      <c r="AC582" s="5">
        <v>0.181161645644</v>
      </c>
      <c r="AD582" t="s">
        <v>408</v>
      </c>
      <c r="AE582" t="s">
        <v>152</v>
      </c>
      <c r="AF582" t="s">
        <v>408</v>
      </c>
      <c r="AG582" t="s">
        <v>408</v>
      </c>
      <c r="AH582" t="s">
        <v>408</v>
      </c>
      <c r="AI582" t="s">
        <v>1364</v>
      </c>
      <c r="AJ582" t="s">
        <v>400</v>
      </c>
      <c r="AK582" t="s">
        <v>408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s="58">
        <f t="shared" si="8"/>
        <v>1</v>
      </c>
      <c r="AU582" s="79" t="s">
        <v>471</v>
      </c>
      <c r="AV582" s="78" t="s">
        <v>410</v>
      </c>
      <c r="AW582" t="s">
        <v>400</v>
      </c>
      <c r="AX582">
        <v>1</v>
      </c>
      <c r="AY582" t="s">
        <v>412</v>
      </c>
      <c r="AZ582" t="s">
        <v>408</v>
      </c>
    </row>
    <row r="583" spans="1:52" x14ac:dyDescent="0.3">
      <c r="A583">
        <v>572</v>
      </c>
      <c r="B583" t="s">
        <v>1562</v>
      </c>
      <c r="C583" t="s">
        <v>152</v>
      </c>
      <c r="D583" t="s">
        <v>1563</v>
      </c>
      <c r="E583" t="s">
        <v>426</v>
      </c>
      <c r="F583" t="s">
        <v>408</v>
      </c>
      <c r="G583">
        <v>4732</v>
      </c>
      <c r="H583">
        <v>4731</v>
      </c>
      <c r="I583" t="s">
        <v>1564</v>
      </c>
      <c r="J583">
        <v>4758</v>
      </c>
      <c r="K583">
        <v>4759</v>
      </c>
      <c r="L583" t="s">
        <v>826</v>
      </c>
      <c r="M583">
        <v>4</v>
      </c>
      <c r="N583" t="s">
        <v>170</v>
      </c>
      <c r="O583" t="s">
        <v>170</v>
      </c>
      <c r="P583" t="s">
        <v>420</v>
      </c>
      <c r="Q583" t="s">
        <v>408</v>
      </c>
      <c r="R583" t="s">
        <v>756</v>
      </c>
      <c r="S583">
        <v>2018</v>
      </c>
      <c r="T583">
        <v>6</v>
      </c>
      <c r="U583" t="s">
        <v>408</v>
      </c>
      <c r="V583" t="s">
        <v>408</v>
      </c>
      <c r="W583">
        <v>0</v>
      </c>
      <c r="X583">
        <v>0</v>
      </c>
      <c r="Y583" t="s">
        <v>408</v>
      </c>
      <c r="Z583">
        <v>2018</v>
      </c>
      <c r="AA583">
        <v>0</v>
      </c>
      <c r="AB583" s="5">
        <v>6.49741483451E-2</v>
      </c>
      <c r="AC583" s="5">
        <v>0.12994829668999999</v>
      </c>
      <c r="AD583" t="s">
        <v>408</v>
      </c>
      <c r="AE583" t="s">
        <v>152</v>
      </c>
      <c r="AF583" t="s">
        <v>408</v>
      </c>
      <c r="AG583" t="s">
        <v>408</v>
      </c>
      <c r="AH583" t="s">
        <v>408</v>
      </c>
      <c r="AI583" t="s">
        <v>408</v>
      </c>
      <c r="AJ583" t="s">
        <v>408</v>
      </c>
      <c r="AK583" t="s">
        <v>408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s="58">
        <f t="shared" si="8"/>
        <v>1</v>
      </c>
      <c r="AU583" s="79">
        <v>43348</v>
      </c>
      <c r="AV583" s="78" t="s">
        <v>410</v>
      </c>
      <c r="AW583" t="s">
        <v>408</v>
      </c>
      <c r="AX583">
        <v>2</v>
      </c>
      <c r="AY583" t="s">
        <v>412</v>
      </c>
      <c r="AZ583" t="s">
        <v>408</v>
      </c>
    </row>
    <row r="584" spans="1:52" x14ac:dyDescent="0.3">
      <c r="A584">
        <v>573</v>
      </c>
      <c r="B584" t="s">
        <v>1565</v>
      </c>
      <c r="C584" t="s">
        <v>154</v>
      </c>
      <c r="D584" t="s">
        <v>1566</v>
      </c>
      <c r="E584" t="s">
        <v>449</v>
      </c>
      <c r="F584" t="s">
        <v>408</v>
      </c>
      <c r="G584">
        <v>758</v>
      </c>
      <c r="H584">
        <v>759</v>
      </c>
      <c r="I584" t="s">
        <v>921</v>
      </c>
      <c r="J584">
        <v>746</v>
      </c>
      <c r="K584">
        <v>747</v>
      </c>
      <c r="L584" t="s">
        <v>711</v>
      </c>
      <c r="M584">
        <v>4</v>
      </c>
      <c r="N584" t="s">
        <v>170</v>
      </c>
      <c r="O584" t="s">
        <v>170</v>
      </c>
      <c r="P584" t="s">
        <v>420</v>
      </c>
      <c r="Q584" t="s">
        <v>408</v>
      </c>
      <c r="R584" t="s">
        <v>756</v>
      </c>
      <c r="S584">
        <v>2018</v>
      </c>
      <c r="T584">
        <v>6</v>
      </c>
      <c r="U584" t="s">
        <v>408</v>
      </c>
      <c r="V584" t="s">
        <v>408</v>
      </c>
      <c r="W584">
        <v>0</v>
      </c>
      <c r="X584">
        <v>0</v>
      </c>
      <c r="Y584" t="s">
        <v>408</v>
      </c>
      <c r="Z584">
        <v>2018</v>
      </c>
      <c r="AA584">
        <v>0</v>
      </c>
      <c r="AB584" s="5">
        <v>3.6767531672000003E-2</v>
      </c>
      <c r="AC584" s="5">
        <v>7.3535063344000007E-2</v>
      </c>
      <c r="AD584" t="s">
        <v>408</v>
      </c>
      <c r="AE584" t="s">
        <v>152</v>
      </c>
      <c r="AF584" t="s">
        <v>408</v>
      </c>
      <c r="AG584" t="s">
        <v>408</v>
      </c>
      <c r="AH584" t="s">
        <v>408</v>
      </c>
      <c r="AI584" t="s">
        <v>408</v>
      </c>
      <c r="AJ584" t="s">
        <v>408</v>
      </c>
      <c r="AK584" t="s">
        <v>408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s="58">
        <f t="shared" si="8"/>
        <v>1</v>
      </c>
      <c r="AU584" s="79">
        <v>43348</v>
      </c>
      <c r="AV584" s="78" t="s">
        <v>410</v>
      </c>
      <c r="AW584" t="s">
        <v>408</v>
      </c>
      <c r="AX584">
        <v>3</v>
      </c>
      <c r="AY584" t="s">
        <v>412</v>
      </c>
      <c r="AZ584" t="s">
        <v>408</v>
      </c>
    </row>
    <row r="585" spans="1:52" x14ac:dyDescent="0.3">
      <c r="A585">
        <v>574</v>
      </c>
      <c r="B585" t="s">
        <v>918</v>
      </c>
      <c r="C585" t="s">
        <v>154</v>
      </c>
      <c r="D585" t="s">
        <v>919</v>
      </c>
      <c r="E585" t="s">
        <v>426</v>
      </c>
      <c r="F585" t="s">
        <v>408</v>
      </c>
      <c r="G585">
        <v>724</v>
      </c>
      <c r="H585">
        <v>723</v>
      </c>
      <c r="I585" t="s">
        <v>711</v>
      </c>
      <c r="J585">
        <v>714</v>
      </c>
      <c r="K585">
        <v>713</v>
      </c>
      <c r="L585" t="s">
        <v>1567</v>
      </c>
      <c r="M585">
        <v>4</v>
      </c>
      <c r="N585" t="s">
        <v>165</v>
      </c>
      <c r="O585" t="s">
        <v>165</v>
      </c>
      <c r="P585" t="s">
        <v>420</v>
      </c>
      <c r="Q585" t="s">
        <v>408</v>
      </c>
      <c r="R585" t="s">
        <v>756</v>
      </c>
      <c r="S585">
        <v>2018</v>
      </c>
      <c r="T585">
        <v>6</v>
      </c>
      <c r="U585" t="s">
        <v>408</v>
      </c>
      <c r="V585" t="s">
        <v>408</v>
      </c>
      <c r="W585">
        <v>0</v>
      </c>
      <c r="X585">
        <v>0</v>
      </c>
      <c r="Y585" t="s">
        <v>408</v>
      </c>
      <c r="Z585">
        <v>2018</v>
      </c>
      <c r="AA585">
        <v>0</v>
      </c>
      <c r="AB585" s="5">
        <v>3.0916146533E-2</v>
      </c>
      <c r="AC585" s="5">
        <v>6.1832293066000001E-2</v>
      </c>
      <c r="AD585" t="s">
        <v>408</v>
      </c>
      <c r="AE585" t="s">
        <v>152</v>
      </c>
      <c r="AF585" t="s">
        <v>408</v>
      </c>
      <c r="AG585" t="s">
        <v>408</v>
      </c>
      <c r="AH585" t="s">
        <v>408</v>
      </c>
      <c r="AI585" t="s">
        <v>408</v>
      </c>
      <c r="AJ585" t="s">
        <v>408</v>
      </c>
      <c r="AK585" t="s">
        <v>408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s="58">
        <f t="shared" si="8"/>
        <v>1</v>
      </c>
      <c r="AU585" s="79">
        <v>43343</v>
      </c>
      <c r="AV585" s="78" t="s">
        <v>410</v>
      </c>
      <c r="AW585" t="s">
        <v>411</v>
      </c>
      <c r="AX585">
        <v>2</v>
      </c>
      <c r="AY585" t="s">
        <v>412</v>
      </c>
      <c r="AZ585" t="s">
        <v>408</v>
      </c>
    </row>
    <row r="586" spans="1:52" x14ac:dyDescent="0.3">
      <c r="A586">
        <v>575</v>
      </c>
      <c r="B586" t="s">
        <v>918</v>
      </c>
      <c r="C586" t="s">
        <v>154</v>
      </c>
      <c r="D586" t="s">
        <v>919</v>
      </c>
      <c r="E586" t="s">
        <v>426</v>
      </c>
      <c r="F586" t="s">
        <v>408</v>
      </c>
      <c r="G586">
        <v>712</v>
      </c>
      <c r="H586">
        <v>711</v>
      </c>
      <c r="I586" t="s">
        <v>1567</v>
      </c>
      <c r="J586">
        <v>0</v>
      </c>
      <c r="K586">
        <v>0</v>
      </c>
      <c r="L586" t="s">
        <v>1239</v>
      </c>
      <c r="M586">
        <v>4</v>
      </c>
      <c r="N586" t="s">
        <v>163</v>
      </c>
      <c r="O586" t="s">
        <v>163</v>
      </c>
      <c r="P586" t="s">
        <v>420</v>
      </c>
      <c r="Q586" t="s">
        <v>408</v>
      </c>
      <c r="R586" t="s">
        <v>1561</v>
      </c>
      <c r="S586">
        <v>2018</v>
      </c>
      <c r="T586">
        <v>6</v>
      </c>
      <c r="U586" t="s">
        <v>408</v>
      </c>
      <c r="V586" t="s">
        <v>408</v>
      </c>
      <c r="W586">
        <v>0</v>
      </c>
      <c r="X586">
        <v>0</v>
      </c>
      <c r="Y586" t="s">
        <v>408</v>
      </c>
      <c r="Z586">
        <v>2018</v>
      </c>
      <c r="AA586">
        <v>0</v>
      </c>
      <c r="AB586" s="5">
        <v>8.9531924473699995E-2</v>
      </c>
      <c r="AC586" s="5">
        <v>0.179063848947</v>
      </c>
      <c r="AD586" t="s">
        <v>408</v>
      </c>
      <c r="AE586" t="s">
        <v>152</v>
      </c>
      <c r="AF586" t="s">
        <v>400</v>
      </c>
      <c r="AG586" t="s">
        <v>400</v>
      </c>
      <c r="AH586" t="s">
        <v>400</v>
      </c>
      <c r="AI586" t="s">
        <v>1364</v>
      </c>
      <c r="AJ586" t="s">
        <v>400</v>
      </c>
      <c r="AK586" t="s">
        <v>408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s="58">
        <f t="shared" si="8"/>
        <v>1</v>
      </c>
      <c r="AU586" s="79" t="s">
        <v>471</v>
      </c>
      <c r="AV586" s="78" t="s">
        <v>410</v>
      </c>
      <c r="AW586" t="s">
        <v>152</v>
      </c>
      <c r="AX586">
        <v>1</v>
      </c>
      <c r="AY586" t="s">
        <v>412</v>
      </c>
      <c r="AZ586" t="s">
        <v>408</v>
      </c>
    </row>
    <row r="587" spans="1:52" x14ac:dyDescent="0.3">
      <c r="A587">
        <v>576</v>
      </c>
      <c r="B587" t="s">
        <v>1548</v>
      </c>
      <c r="C587" t="s">
        <v>154</v>
      </c>
      <c r="D587" t="s">
        <v>1549</v>
      </c>
      <c r="E587" t="s">
        <v>460</v>
      </c>
      <c r="F587" t="s">
        <v>408</v>
      </c>
      <c r="G587">
        <v>1472</v>
      </c>
      <c r="H587">
        <v>1473</v>
      </c>
      <c r="I587" t="s">
        <v>718</v>
      </c>
      <c r="J587">
        <v>1133</v>
      </c>
      <c r="K587">
        <v>1134</v>
      </c>
      <c r="L587" t="s">
        <v>920</v>
      </c>
      <c r="M587">
        <v>4</v>
      </c>
      <c r="N587" t="s">
        <v>168</v>
      </c>
      <c r="O587" t="s">
        <v>170</v>
      </c>
      <c r="P587" t="s">
        <v>420</v>
      </c>
      <c r="Q587" t="s">
        <v>1568</v>
      </c>
      <c r="R587" t="s">
        <v>756</v>
      </c>
      <c r="S587">
        <v>2018</v>
      </c>
      <c r="T587">
        <v>6</v>
      </c>
      <c r="U587" t="s">
        <v>408</v>
      </c>
      <c r="V587" t="s">
        <v>408</v>
      </c>
      <c r="W587">
        <v>0</v>
      </c>
      <c r="X587">
        <v>0</v>
      </c>
      <c r="Y587" t="s">
        <v>408</v>
      </c>
      <c r="Z587">
        <v>2018</v>
      </c>
      <c r="AA587">
        <v>0</v>
      </c>
      <c r="AB587" s="5">
        <v>0.43720004522</v>
      </c>
      <c r="AC587" s="5">
        <v>0.87440009044</v>
      </c>
      <c r="AD587" t="s">
        <v>1551</v>
      </c>
      <c r="AE587" t="s">
        <v>152</v>
      </c>
      <c r="AF587" t="s">
        <v>408</v>
      </c>
      <c r="AG587" t="s">
        <v>408</v>
      </c>
      <c r="AH587" t="s">
        <v>408</v>
      </c>
      <c r="AI587" t="s">
        <v>408</v>
      </c>
      <c r="AJ587" t="s">
        <v>408</v>
      </c>
      <c r="AK587" t="s">
        <v>408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s="58">
        <f t="shared" ref="AT587:AT650" si="9">SUM(AM587:AS587)</f>
        <v>1</v>
      </c>
      <c r="AU587" s="79">
        <v>43348</v>
      </c>
      <c r="AV587" s="78" t="s">
        <v>410</v>
      </c>
      <c r="AW587" t="s">
        <v>408</v>
      </c>
      <c r="AX587">
        <v>3</v>
      </c>
      <c r="AY587" t="s">
        <v>17</v>
      </c>
      <c r="AZ587">
        <v>20</v>
      </c>
    </row>
    <row r="588" spans="1:52" x14ac:dyDescent="0.3">
      <c r="A588">
        <v>577</v>
      </c>
      <c r="B588" t="s">
        <v>1548</v>
      </c>
      <c r="C588" t="s">
        <v>154</v>
      </c>
      <c r="D588" t="s">
        <v>1549</v>
      </c>
      <c r="E588" t="s">
        <v>460</v>
      </c>
      <c r="F588" t="s">
        <v>408</v>
      </c>
      <c r="G588">
        <v>956</v>
      </c>
      <c r="H588">
        <v>957</v>
      </c>
      <c r="I588" t="s">
        <v>517</v>
      </c>
      <c r="J588">
        <v>900</v>
      </c>
      <c r="K588">
        <v>901</v>
      </c>
      <c r="L588" t="s">
        <v>1569</v>
      </c>
      <c r="M588">
        <v>4</v>
      </c>
      <c r="N588" t="s">
        <v>168</v>
      </c>
      <c r="O588" t="s">
        <v>170</v>
      </c>
      <c r="P588" t="s">
        <v>420</v>
      </c>
      <c r="Q588" t="s">
        <v>1568</v>
      </c>
      <c r="R588" t="s">
        <v>756</v>
      </c>
      <c r="S588">
        <v>2018</v>
      </c>
      <c r="T588">
        <v>6</v>
      </c>
      <c r="U588" t="s">
        <v>1570</v>
      </c>
      <c r="V588" t="s">
        <v>408</v>
      </c>
      <c r="W588">
        <v>0</v>
      </c>
      <c r="X588">
        <v>0</v>
      </c>
      <c r="Y588" t="s">
        <v>408</v>
      </c>
      <c r="Z588">
        <v>2018</v>
      </c>
      <c r="AA588">
        <v>0</v>
      </c>
      <c r="AB588" s="5">
        <v>0.16081847303499999</v>
      </c>
      <c r="AC588" s="5">
        <v>0.32163694606999998</v>
      </c>
      <c r="AD588" t="s">
        <v>1551</v>
      </c>
      <c r="AE588" t="s">
        <v>152</v>
      </c>
      <c r="AF588" t="s">
        <v>408</v>
      </c>
      <c r="AG588" t="s">
        <v>408</v>
      </c>
      <c r="AH588" t="s">
        <v>408</v>
      </c>
      <c r="AI588" t="s">
        <v>408</v>
      </c>
      <c r="AJ588" t="s">
        <v>408</v>
      </c>
      <c r="AK588" t="s">
        <v>408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s="58">
        <f t="shared" si="9"/>
        <v>1</v>
      </c>
      <c r="AU588" s="79">
        <v>43348</v>
      </c>
      <c r="AV588" t="s">
        <v>410</v>
      </c>
      <c r="AW588" t="s">
        <v>408</v>
      </c>
      <c r="AX588">
        <v>3</v>
      </c>
      <c r="AY588" t="s">
        <v>17</v>
      </c>
      <c r="AZ588">
        <v>20</v>
      </c>
    </row>
    <row r="589" spans="1:52" x14ac:dyDescent="0.3">
      <c r="A589">
        <v>578</v>
      </c>
      <c r="B589" t="s">
        <v>1571</v>
      </c>
      <c r="C589" t="s">
        <v>154</v>
      </c>
      <c r="D589" t="s">
        <v>1572</v>
      </c>
      <c r="E589" t="s">
        <v>460</v>
      </c>
      <c r="F589" t="s">
        <v>408</v>
      </c>
      <c r="G589">
        <v>900</v>
      </c>
      <c r="H589">
        <v>901</v>
      </c>
      <c r="I589" t="s">
        <v>1573</v>
      </c>
      <c r="J589">
        <v>800</v>
      </c>
      <c r="K589">
        <v>801</v>
      </c>
      <c r="L589" t="s">
        <v>921</v>
      </c>
      <c r="M589">
        <v>4</v>
      </c>
      <c r="N589" t="s">
        <v>168</v>
      </c>
      <c r="O589" t="s">
        <v>170</v>
      </c>
      <c r="P589" t="s">
        <v>420</v>
      </c>
      <c r="Q589" t="s">
        <v>1574</v>
      </c>
      <c r="R589" t="s">
        <v>756</v>
      </c>
      <c r="S589">
        <v>2018</v>
      </c>
      <c r="T589">
        <v>6</v>
      </c>
      <c r="U589" t="s">
        <v>1575</v>
      </c>
      <c r="V589" t="s">
        <v>408</v>
      </c>
      <c r="W589">
        <v>0</v>
      </c>
      <c r="X589">
        <v>0</v>
      </c>
      <c r="Y589" t="s">
        <v>408</v>
      </c>
      <c r="Z589">
        <v>2018</v>
      </c>
      <c r="AA589">
        <v>0</v>
      </c>
      <c r="AB589" s="5">
        <v>0.14833737234700001</v>
      </c>
      <c r="AC589" s="5">
        <v>0.29667474469400001</v>
      </c>
      <c r="AD589" t="s">
        <v>1551</v>
      </c>
      <c r="AE589" t="s">
        <v>152</v>
      </c>
      <c r="AF589" t="s">
        <v>408</v>
      </c>
      <c r="AG589" t="s">
        <v>408</v>
      </c>
      <c r="AH589" t="s">
        <v>408</v>
      </c>
      <c r="AI589" t="s">
        <v>408</v>
      </c>
      <c r="AJ589" t="s">
        <v>408</v>
      </c>
      <c r="AK589" t="s">
        <v>408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s="58">
        <f t="shared" si="9"/>
        <v>1</v>
      </c>
      <c r="AU589" s="79">
        <v>43348</v>
      </c>
      <c r="AV589" s="78" t="s">
        <v>410</v>
      </c>
      <c r="AW589" t="s">
        <v>408</v>
      </c>
      <c r="AX589">
        <v>3</v>
      </c>
      <c r="AY589" t="s">
        <v>17</v>
      </c>
      <c r="AZ589" t="s">
        <v>408</v>
      </c>
    </row>
    <row r="590" spans="1:52" x14ac:dyDescent="0.3">
      <c r="A590">
        <v>579</v>
      </c>
      <c r="B590" t="s">
        <v>1576</v>
      </c>
      <c r="C590" t="s">
        <v>154</v>
      </c>
      <c r="D590" t="s">
        <v>1577</v>
      </c>
      <c r="E590" t="s">
        <v>417</v>
      </c>
      <c r="F590" t="s">
        <v>408</v>
      </c>
      <c r="G590">
        <v>334</v>
      </c>
      <c r="H590">
        <v>335</v>
      </c>
      <c r="I590" t="s">
        <v>1141</v>
      </c>
      <c r="J590">
        <v>200</v>
      </c>
      <c r="K590">
        <v>201</v>
      </c>
      <c r="L590" t="s">
        <v>718</v>
      </c>
      <c r="M590">
        <v>4</v>
      </c>
      <c r="N590" t="s">
        <v>170</v>
      </c>
      <c r="O590" t="s">
        <v>170</v>
      </c>
      <c r="P590" t="s">
        <v>420</v>
      </c>
      <c r="Q590" t="s">
        <v>1578</v>
      </c>
      <c r="R590" t="s">
        <v>756</v>
      </c>
      <c r="S590">
        <v>2018</v>
      </c>
      <c r="T590">
        <v>5</v>
      </c>
      <c r="U590" t="s">
        <v>408</v>
      </c>
      <c r="V590" t="s">
        <v>408</v>
      </c>
      <c r="W590">
        <v>0</v>
      </c>
      <c r="X590">
        <v>0</v>
      </c>
      <c r="Y590" t="s">
        <v>408</v>
      </c>
      <c r="Z590">
        <v>2018</v>
      </c>
      <c r="AA590">
        <v>0</v>
      </c>
      <c r="AB590" s="5">
        <v>0.30813057863499999</v>
      </c>
      <c r="AC590" s="5">
        <v>0.61626115726999997</v>
      </c>
      <c r="AD590" t="s">
        <v>408</v>
      </c>
      <c r="AE590" t="s">
        <v>152</v>
      </c>
      <c r="AF590" t="s">
        <v>408</v>
      </c>
      <c r="AG590" t="s">
        <v>408</v>
      </c>
      <c r="AH590" t="s">
        <v>408</v>
      </c>
      <c r="AI590" t="s">
        <v>408</v>
      </c>
      <c r="AJ590" t="s">
        <v>408</v>
      </c>
      <c r="AK590" t="s">
        <v>408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 s="58">
        <f t="shared" si="9"/>
        <v>1</v>
      </c>
      <c r="AU590" s="79">
        <v>43348</v>
      </c>
      <c r="AV590" s="78" t="s">
        <v>410</v>
      </c>
      <c r="AW590" t="s">
        <v>408</v>
      </c>
      <c r="AX590">
        <v>2</v>
      </c>
      <c r="AY590" t="s">
        <v>1579</v>
      </c>
      <c r="AZ590" t="s">
        <v>408</v>
      </c>
    </row>
    <row r="591" spans="1:52" x14ac:dyDescent="0.3">
      <c r="A591">
        <v>580</v>
      </c>
      <c r="B591" t="s">
        <v>1104</v>
      </c>
      <c r="C591" t="s">
        <v>152</v>
      </c>
      <c r="D591" t="s">
        <v>1105</v>
      </c>
      <c r="E591" t="s">
        <v>417</v>
      </c>
      <c r="F591" t="s">
        <v>408</v>
      </c>
      <c r="G591">
        <v>1000</v>
      </c>
      <c r="H591">
        <v>1001</v>
      </c>
      <c r="I591" t="s">
        <v>540</v>
      </c>
      <c r="J591">
        <v>1158</v>
      </c>
      <c r="K591">
        <v>1159</v>
      </c>
      <c r="L591" t="s">
        <v>699</v>
      </c>
      <c r="M591">
        <v>4</v>
      </c>
      <c r="N591" t="s">
        <v>165</v>
      </c>
      <c r="O591" t="s">
        <v>165</v>
      </c>
      <c r="P591" t="s">
        <v>420</v>
      </c>
      <c r="Q591" t="s">
        <v>1580</v>
      </c>
      <c r="R591" t="s">
        <v>756</v>
      </c>
      <c r="S591">
        <v>2018</v>
      </c>
      <c r="T591">
        <v>5</v>
      </c>
      <c r="U591" t="s">
        <v>408</v>
      </c>
      <c r="V591" t="s">
        <v>408</v>
      </c>
      <c r="W591">
        <v>0</v>
      </c>
      <c r="X591">
        <v>0</v>
      </c>
      <c r="Y591" t="s">
        <v>408</v>
      </c>
      <c r="Z591">
        <v>2018</v>
      </c>
      <c r="AA591">
        <v>0</v>
      </c>
      <c r="AB591" s="5">
        <v>0.22779618981700001</v>
      </c>
      <c r="AC591" s="5">
        <v>0.45559237963400001</v>
      </c>
      <c r="AD591" t="s">
        <v>408</v>
      </c>
      <c r="AE591" t="s">
        <v>152</v>
      </c>
      <c r="AF591" t="s">
        <v>408</v>
      </c>
      <c r="AG591" t="s">
        <v>408</v>
      </c>
      <c r="AH591" t="s">
        <v>408</v>
      </c>
      <c r="AI591" t="s">
        <v>408</v>
      </c>
      <c r="AJ591" t="s">
        <v>408</v>
      </c>
      <c r="AK591" t="s">
        <v>408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 s="58">
        <f t="shared" si="9"/>
        <v>1</v>
      </c>
      <c r="AU591" s="79">
        <v>43347</v>
      </c>
      <c r="AV591" t="s">
        <v>410</v>
      </c>
      <c r="AW591" t="s">
        <v>152</v>
      </c>
      <c r="AX591">
        <v>2</v>
      </c>
      <c r="AY591" t="s">
        <v>412</v>
      </c>
      <c r="AZ591" t="s">
        <v>408</v>
      </c>
    </row>
    <row r="592" spans="1:52" x14ac:dyDescent="0.3">
      <c r="A592">
        <v>581</v>
      </c>
      <c r="B592" t="s">
        <v>1581</v>
      </c>
      <c r="C592" t="s">
        <v>155</v>
      </c>
      <c r="D592" t="s">
        <v>1582</v>
      </c>
      <c r="E592" t="s">
        <v>460</v>
      </c>
      <c r="F592" t="s">
        <v>408</v>
      </c>
      <c r="G592">
        <v>12158</v>
      </c>
      <c r="H592">
        <v>12159</v>
      </c>
      <c r="I592" t="s">
        <v>1583</v>
      </c>
      <c r="J592">
        <v>10337</v>
      </c>
      <c r="K592">
        <v>10336</v>
      </c>
      <c r="L592" t="s">
        <v>1209</v>
      </c>
      <c r="M592">
        <v>2</v>
      </c>
      <c r="N592" t="s">
        <v>165</v>
      </c>
      <c r="O592" t="s">
        <v>165</v>
      </c>
      <c r="P592" t="s">
        <v>420</v>
      </c>
      <c r="Q592" t="s">
        <v>1584</v>
      </c>
      <c r="R592" t="s">
        <v>482</v>
      </c>
      <c r="S592">
        <v>2018</v>
      </c>
      <c r="T592">
        <v>7</v>
      </c>
      <c r="U592" t="s">
        <v>370</v>
      </c>
      <c r="V592" t="s">
        <v>408</v>
      </c>
      <c r="W592">
        <v>0</v>
      </c>
      <c r="X592">
        <v>0</v>
      </c>
      <c r="Y592" t="s">
        <v>408</v>
      </c>
      <c r="Z592">
        <v>2018</v>
      </c>
      <c r="AA592">
        <v>2018</v>
      </c>
      <c r="AB592" s="5">
        <v>2.3882897398999998</v>
      </c>
      <c r="AC592" s="5">
        <v>4.7765794797999996</v>
      </c>
      <c r="AD592" t="s">
        <v>408</v>
      </c>
      <c r="AE592" t="s">
        <v>152</v>
      </c>
      <c r="AF592" t="s">
        <v>408</v>
      </c>
      <c r="AG592" t="s">
        <v>408</v>
      </c>
      <c r="AH592" t="s">
        <v>408</v>
      </c>
      <c r="AI592" t="s">
        <v>408</v>
      </c>
      <c r="AJ592" t="s">
        <v>408</v>
      </c>
      <c r="AK592" t="s">
        <v>408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 s="58">
        <f t="shared" si="9"/>
        <v>1</v>
      </c>
      <c r="AU592" s="79">
        <v>43348</v>
      </c>
      <c r="AV592" s="78" t="s">
        <v>410</v>
      </c>
      <c r="AW592" t="s">
        <v>411</v>
      </c>
      <c r="AX592">
        <v>2</v>
      </c>
      <c r="AY592" t="s">
        <v>412</v>
      </c>
      <c r="AZ592" t="s">
        <v>408</v>
      </c>
    </row>
    <row r="593" spans="1:52" x14ac:dyDescent="0.3">
      <c r="A593">
        <v>582</v>
      </c>
      <c r="B593" t="s">
        <v>855</v>
      </c>
      <c r="C593" t="s">
        <v>447</v>
      </c>
      <c r="D593" t="s">
        <v>448</v>
      </c>
      <c r="E593" t="s">
        <v>417</v>
      </c>
      <c r="F593" t="s">
        <v>408</v>
      </c>
      <c r="G593">
        <v>1500</v>
      </c>
      <c r="H593">
        <v>1501</v>
      </c>
      <c r="I593" t="s">
        <v>1585</v>
      </c>
      <c r="J593">
        <v>1570</v>
      </c>
      <c r="K593">
        <v>1551</v>
      </c>
      <c r="L593" t="s">
        <v>856</v>
      </c>
      <c r="M593">
        <v>2</v>
      </c>
      <c r="N593" t="s">
        <v>165</v>
      </c>
      <c r="O593" t="s">
        <v>165</v>
      </c>
      <c r="P593" t="s">
        <v>420</v>
      </c>
      <c r="Q593" t="s">
        <v>408</v>
      </c>
      <c r="R593" t="s">
        <v>445</v>
      </c>
      <c r="S593">
        <v>2012</v>
      </c>
      <c r="T593">
        <v>7</v>
      </c>
      <c r="U593" t="s">
        <v>408</v>
      </c>
      <c r="V593" t="s">
        <v>453</v>
      </c>
      <c r="W593">
        <v>2017</v>
      </c>
      <c r="X593">
        <v>6</v>
      </c>
      <c r="Y593" t="s">
        <v>408</v>
      </c>
      <c r="Z593">
        <v>2017</v>
      </c>
      <c r="AA593">
        <v>0</v>
      </c>
      <c r="AB593" s="5">
        <v>8.5805717180000005E-2</v>
      </c>
      <c r="AC593" s="5">
        <v>0.17161143436000001</v>
      </c>
      <c r="AD593" t="s">
        <v>408</v>
      </c>
      <c r="AE593" t="s">
        <v>152</v>
      </c>
      <c r="AF593" t="s">
        <v>408</v>
      </c>
      <c r="AG593" t="s">
        <v>152</v>
      </c>
      <c r="AH593" t="s">
        <v>408</v>
      </c>
      <c r="AI593" t="s">
        <v>408</v>
      </c>
      <c r="AJ593" t="s">
        <v>408</v>
      </c>
      <c r="AK593" t="s">
        <v>408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 s="58">
        <f t="shared" si="9"/>
        <v>1</v>
      </c>
      <c r="AU593" s="79">
        <v>43342</v>
      </c>
      <c r="AV593" t="s">
        <v>410</v>
      </c>
      <c r="AW593" t="s">
        <v>152</v>
      </c>
      <c r="AX593">
        <v>2</v>
      </c>
      <c r="AY593" t="s">
        <v>412</v>
      </c>
      <c r="AZ593" t="s">
        <v>408</v>
      </c>
    </row>
    <row r="594" spans="1:52" x14ac:dyDescent="0.3">
      <c r="A594">
        <v>583</v>
      </c>
      <c r="B594" t="s">
        <v>514</v>
      </c>
      <c r="C594" t="s">
        <v>154</v>
      </c>
      <c r="D594" t="s">
        <v>515</v>
      </c>
      <c r="E594" t="s">
        <v>460</v>
      </c>
      <c r="F594" t="s">
        <v>408</v>
      </c>
      <c r="G594">
        <v>1150</v>
      </c>
      <c r="H594">
        <v>1151</v>
      </c>
      <c r="I594" t="s">
        <v>517</v>
      </c>
      <c r="J594">
        <v>1101</v>
      </c>
      <c r="K594">
        <v>1100</v>
      </c>
      <c r="L594" t="s">
        <v>706</v>
      </c>
      <c r="M594">
        <v>4</v>
      </c>
      <c r="N594" t="s">
        <v>168</v>
      </c>
      <c r="O594" t="s">
        <v>170</v>
      </c>
      <c r="P594" t="s">
        <v>420</v>
      </c>
      <c r="Q594" t="s">
        <v>408</v>
      </c>
      <c r="R594" t="s">
        <v>445</v>
      </c>
      <c r="S594">
        <v>2012</v>
      </c>
      <c r="T594">
        <v>7</v>
      </c>
      <c r="U594" t="s">
        <v>408</v>
      </c>
      <c r="V594" t="s">
        <v>1586</v>
      </c>
      <c r="W594">
        <v>2016</v>
      </c>
      <c r="X594">
        <v>10</v>
      </c>
      <c r="Y594" t="s">
        <v>370</v>
      </c>
      <c r="Z594">
        <v>2016</v>
      </c>
      <c r="AA594">
        <v>2016</v>
      </c>
      <c r="AB594" s="5">
        <v>0.11160018304</v>
      </c>
      <c r="AC594" s="5">
        <v>0.22320036607999999</v>
      </c>
      <c r="AD594" t="s">
        <v>408</v>
      </c>
      <c r="AE594" t="s">
        <v>152</v>
      </c>
      <c r="AF594" t="s">
        <v>408</v>
      </c>
      <c r="AG594" t="s">
        <v>408</v>
      </c>
      <c r="AH594" t="s">
        <v>408</v>
      </c>
      <c r="AI594" t="s">
        <v>408</v>
      </c>
      <c r="AJ594" t="s">
        <v>408</v>
      </c>
      <c r="AK594" t="s">
        <v>408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s="58">
        <f t="shared" si="9"/>
        <v>1</v>
      </c>
      <c r="AU594" s="79">
        <v>43335</v>
      </c>
      <c r="AV594" s="78" t="s">
        <v>410</v>
      </c>
      <c r="AW594" t="s">
        <v>408</v>
      </c>
      <c r="AX594">
        <v>3</v>
      </c>
      <c r="AY594" t="s">
        <v>17</v>
      </c>
      <c r="AZ594" t="s">
        <v>408</v>
      </c>
    </row>
    <row r="595" spans="1:52" x14ac:dyDescent="0.3">
      <c r="A595">
        <v>584</v>
      </c>
      <c r="B595" t="s">
        <v>543</v>
      </c>
      <c r="C595" t="s">
        <v>154</v>
      </c>
      <c r="D595" t="s">
        <v>544</v>
      </c>
      <c r="E595" t="s">
        <v>460</v>
      </c>
      <c r="F595" t="s">
        <v>154</v>
      </c>
      <c r="G595">
        <v>1532</v>
      </c>
      <c r="H595">
        <v>1533</v>
      </c>
      <c r="I595" t="s">
        <v>545</v>
      </c>
      <c r="J595">
        <v>1401</v>
      </c>
      <c r="K595">
        <v>1400</v>
      </c>
      <c r="L595" t="s">
        <v>718</v>
      </c>
      <c r="M595">
        <v>4</v>
      </c>
      <c r="N595" t="s">
        <v>168</v>
      </c>
      <c r="O595" t="s">
        <v>170</v>
      </c>
      <c r="P595" t="s">
        <v>420</v>
      </c>
      <c r="Q595" t="s">
        <v>546</v>
      </c>
      <c r="R595" t="s">
        <v>547</v>
      </c>
      <c r="S595">
        <v>2013</v>
      </c>
      <c r="T595">
        <v>10</v>
      </c>
      <c r="U595" t="s">
        <v>1587</v>
      </c>
      <c r="V595" t="s">
        <v>408</v>
      </c>
      <c r="W595">
        <v>0</v>
      </c>
      <c r="X595">
        <v>0</v>
      </c>
      <c r="Y595" t="s">
        <v>408</v>
      </c>
      <c r="Z595">
        <v>2013</v>
      </c>
      <c r="AA595">
        <v>0</v>
      </c>
      <c r="AB595" s="5">
        <v>0.23949364838600001</v>
      </c>
      <c r="AC595" s="5">
        <v>0.47898729677200003</v>
      </c>
      <c r="AD595" t="s">
        <v>548</v>
      </c>
      <c r="AE595" t="s">
        <v>152</v>
      </c>
      <c r="AF595" t="s">
        <v>408</v>
      </c>
      <c r="AG595" t="s">
        <v>411</v>
      </c>
      <c r="AH595" t="s">
        <v>408</v>
      </c>
      <c r="AI595" t="s">
        <v>408</v>
      </c>
      <c r="AJ595" t="s">
        <v>408</v>
      </c>
      <c r="AK595" t="s">
        <v>408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s="58">
        <f t="shared" si="9"/>
        <v>1</v>
      </c>
      <c r="AU595" s="79">
        <v>43336</v>
      </c>
      <c r="AV595" t="s">
        <v>410</v>
      </c>
      <c r="AW595" t="s">
        <v>408</v>
      </c>
      <c r="AX595">
        <v>3</v>
      </c>
      <c r="AY595" t="s">
        <v>17</v>
      </c>
      <c r="AZ595" t="s">
        <v>408</v>
      </c>
    </row>
    <row r="596" spans="1:52" x14ac:dyDescent="0.3">
      <c r="A596">
        <v>585</v>
      </c>
      <c r="B596" t="s">
        <v>533</v>
      </c>
      <c r="C596" t="s">
        <v>152</v>
      </c>
      <c r="D596" t="s">
        <v>534</v>
      </c>
      <c r="E596" t="s">
        <v>417</v>
      </c>
      <c r="F596" t="s">
        <v>408</v>
      </c>
      <c r="G596">
        <v>200</v>
      </c>
      <c r="H596">
        <v>201</v>
      </c>
      <c r="I596" t="s">
        <v>628</v>
      </c>
      <c r="J596">
        <v>372</v>
      </c>
      <c r="K596">
        <v>373</v>
      </c>
      <c r="L596" t="s">
        <v>663</v>
      </c>
      <c r="M596">
        <v>4</v>
      </c>
      <c r="N596" t="s">
        <v>167</v>
      </c>
      <c r="O596" t="s">
        <v>167</v>
      </c>
      <c r="P596" t="s">
        <v>420</v>
      </c>
      <c r="Q596" t="s">
        <v>537</v>
      </c>
      <c r="R596" t="s">
        <v>445</v>
      </c>
      <c r="S596">
        <v>2012</v>
      </c>
      <c r="T596">
        <v>11</v>
      </c>
      <c r="U596" t="s">
        <v>452</v>
      </c>
      <c r="V596" t="s">
        <v>482</v>
      </c>
      <c r="W596">
        <v>2018</v>
      </c>
      <c r="X596">
        <v>9</v>
      </c>
      <c r="Y596" t="s">
        <v>370</v>
      </c>
      <c r="Z596">
        <v>2012</v>
      </c>
      <c r="AA596">
        <v>2018</v>
      </c>
      <c r="AB596" s="5">
        <v>0.23036155109600001</v>
      </c>
      <c r="AC596" s="5">
        <v>0.46072310219200002</v>
      </c>
      <c r="AD596" t="s">
        <v>408</v>
      </c>
      <c r="AE596" t="s">
        <v>152</v>
      </c>
      <c r="AF596" t="s">
        <v>408</v>
      </c>
      <c r="AG596" t="s">
        <v>408</v>
      </c>
      <c r="AH596" t="s">
        <v>408</v>
      </c>
      <c r="AI596" t="s">
        <v>408</v>
      </c>
      <c r="AJ596" t="s">
        <v>408</v>
      </c>
      <c r="AK596" t="s">
        <v>408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 s="58">
        <f t="shared" si="9"/>
        <v>1</v>
      </c>
      <c r="AU596" s="79">
        <v>43336</v>
      </c>
      <c r="AV596" s="78" t="s">
        <v>410</v>
      </c>
      <c r="AW596" t="s">
        <v>408</v>
      </c>
      <c r="AX596">
        <v>2</v>
      </c>
      <c r="AY596" t="s">
        <v>412</v>
      </c>
      <c r="AZ596" t="s">
        <v>408</v>
      </c>
    </row>
    <row r="597" spans="1:52" x14ac:dyDescent="0.3">
      <c r="A597">
        <v>586</v>
      </c>
      <c r="B597" t="s">
        <v>1538</v>
      </c>
      <c r="C597" t="s">
        <v>155</v>
      </c>
      <c r="D597" t="s">
        <v>1539</v>
      </c>
      <c r="E597" t="s">
        <v>466</v>
      </c>
      <c r="F597" t="s">
        <v>400</v>
      </c>
      <c r="G597">
        <v>500</v>
      </c>
      <c r="H597">
        <v>501</v>
      </c>
      <c r="I597" t="s">
        <v>747</v>
      </c>
      <c r="J597">
        <v>2</v>
      </c>
      <c r="K597">
        <v>1</v>
      </c>
      <c r="L597" t="s">
        <v>536</v>
      </c>
      <c r="M597">
        <v>3</v>
      </c>
      <c r="N597" t="s">
        <v>163</v>
      </c>
      <c r="O597" t="s">
        <v>163</v>
      </c>
      <c r="P597" t="s">
        <v>403</v>
      </c>
      <c r="Q597" t="s">
        <v>400</v>
      </c>
      <c r="R597" t="s">
        <v>1588</v>
      </c>
      <c r="S597">
        <v>2022</v>
      </c>
      <c r="T597">
        <v>11</v>
      </c>
      <c r="U597" t="s">
        <v>1589</v>
      </c>
      <c r="V597" t="s">
        <v>408</v>
      </c>
      <c r="W597">
        <v>0</v>
      </c>
      <c r="X597">
        <v>0</v>
      </c>
      <c r="Y597" t="s">
        <v>408</v>
      </c>
      <c r="Z597">
        <v>2022</v>
      </c>
      <c r="AA597">
        <v>2022</v>
      </c>
      <c r="AB597" s="5">
        <v>0.440601614817</v>
      </c>
      <c r="AC597" s="5">
        <v>0.88120399999999999</v>
      </c>
      <c r="AD597" t="s">
        <v>400</v>
      </c>
      <c r="AE597" t="s">
        <v>400</v>
      </c>
      <c r="AF597" t="s">
        <v>400</v>
      </c>
      <c r="AG597" t="s">
        <v>400</v>
      </c>
      <c r="AH597" t="s">
        <v>400</v>
      </c>
      <c r="AI597" t="s">
        <v>438</v>
      </c>
      <c r="AJ597" t="s">
        <v>400</v>
      </c>
      <c r="AK597" t="s">
        <v>400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 s="58">
        <f t="shared" si="9"/>
        <v>1</v>
      </c>
      <c r="AU597" s="79" t="s">
        <v>666</v>
      </c>
      <c r="AV597" t="s">
        <v>410</v>
      </c>
      <c r="AW597" t="s">
        <v>411</v>
      </c>
      <c r="AX597">
        <v>2</v>
      </c>
      <c r="AY597" t="s">
        <v>412</v>
      </c>
      <c r="AZ597">
        <v>30</v>
      </c>
    </row>
    <row r="598" spans="1:52" x14ac:dyDescent="0.3">
      <c r="A598">
        <v>587</v>
      </c>
      <c r="B598" t="s">
        <v>956</v>
      </c>
      <c r="C598" t="s">
        <v>155</v>
      </c>
      <c r="D598" t="s">
        <v>957</v>
      </c>
      <c r="E598" t="s">
        <v>417</v>
      </c>
      <c r="F598" t="s">
        <v>408</v>
      </c>
      <c r="G598">
        <v>1157</v>
      </c>
      <c r="H598">
        <v>1156</v>
      </c>
      <c r="I598" t="s">
        <v>631</v>
      </c>
      <c r="J598">
        <v>1000</v>
      </c>
      <c r="K598">
        <v>1001</v>
      </c>
      <c r="L598" t="s">
        <v>958</v>
      </c>
      <c r="M598">
        <v>4</v>
      </c>
      <c r="N598" t="s">
        <v>167</v>
      </c>
      <c r="O598" t="s">
        <v>167</v>
      </c>
      <c r="P598" t="s">
        <v>403</v>
      </c>
      <c r="Q598" t="s">
        <v>408</v>
      </c>
      <c r="R598" t="s">
        <v>1590</v>
      </c>
      <c r="S598">
        <v>1998</v>
      </c>
      <c r="T598">
        <v>7</v>
      </c>
      <c r="U598" t="s">
        <v>408</v>
      </c>
      <c r="V598" t="s">
        <v>800</v>
      </c>
      <c r="W598">
        <v>2012</v>
      </c>
      <c r="X598">
        <v>11</v>
      </c>
      <c r="Y598" t="s">
        <v>370</v>
      </c>
      <c r="Z598">
        <v>2012</v>
      </c>
      <c r="AA598">
        <v>2012</v>
      </c>
      <c r="AB598" s="5">
        <v>0.172385497272</v>
      </c>
      <c r="AC598" s="5">
        <v>0.172385497272</v>
      </c>
      <c r="AD598" t="s">
        <v>408</v>
      </c>
      <c r="AE598" t="s">
        <v>411</v>
      </c>
      <c r="AF598" t="s">
        <v>155</v>
      </c>
      <c r="AG598" t="s">
        <v>152</v>
      </c>
      <c r="AH598" t="s">
        <v>408</v>
      </c>
      <c r="AI598" t="s">
        <v>408</v>
      </c>
      <c r="AJ598" t="s">
        <v>408</v>
      </c>
      <c r="AK598" t="s">
        <v>408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 s="58">
        <f t="shared" si="9"/>
        <v>1</v>
      </c>
      <c r="AU598" s="79">
        <v>43343</v>
      </c>
      <c r="AV598" t="s">
        <v>410</v>
      </c>
      <c r="AW598" t="s">
        <v>408</v>
      </c>
      <c r="AX598">
        <v>2</v>
      </c>
      <c r="AY598" t="s">
        <v>412</v>
      </c>
      <c r="AZ598" t="s">
        <v>408</v>
      </c>
    </row>
    <row r="599" spans="1:52" x14ac:dyDescent="0.3">
      <c r="A599">
        <v>588</v>
      </c>
      <c r="B599" t="s">
        <v>557</v>
      </c>
      <c r="C599" t="s">
        <v>152</v>
      </c>
      <c r="D599" t="s">
        <v>558</v>
      </c>
      <c r="E599" t="s">
        <v>460</v>
      </c>
      <c r="F599" t="s">
        <v>408</v>
      </c>
      <c r="G599">
        <v>828</v>
      </c>
      <c r="H599">
        <v>829</v>
      </c>
      <c r="I599" t="s">
        <v>625</v>
      </c>
      <c r="J599">
        <v>900</v>
      </c>
      <c r="K599">
        <v>901</v>
      </c>
      <c r="L599" t="s">
        <v>1203</v>
      </c>
      <c r="M599">
        <v>3</v>
      </c>
      <c r="N599" t="s">
        <v>163</v>
      </c>
      <c r="O599" t="s">
        <v>163</v>
      </c>
      <c r="P599" t="s">
        <v>414</v>
      </c>
      <c r="Q599" t="s">
        <v>1591</v>
      </c>
      <c r="R599" t="s">
        <v>942</v>
      </c>
      <c r="S599">
        <v>2015</v>
      </c>
      <c r="T599">
        <v>8</v>
      </c>
      <c r="U599" t="s">
        <v>408</v>
      </c>
      <c r="V599" t="s">
        <v>487</v>
      </c>
      <c r="W599">
        <v>2020</v>
      </c>
      <c r="X599">
        <v>0</v>
      </c>
      <c r="Y599" t="s">
        <v>408</v>
      </c>
      <c r="Z599">
        <v>2020</v>
      </c>
      <c r="AA599">
        <v>2002</v>
      </c>
      <c r="AB599" s="5">
        <v>0.13733557099400001</v>
      </c>
      <c r="AC599" s="5">
        <v>0.27467114198800002</v>
      </c>
      <c r="AD599" t="s">
        <v>408</v>
      </c>
      <c r="AE599" t="s">
        <v>152</v>
      </c>
      <c r="AF599" t="s">
        <v>408</v>
      </c>
      <c r="AG599" t="s">
        <v>408</v>
      </c>
      <c r="AH599" t="s">
        <v>152</v>
      </c>
      <c r="AI599" t="s">
        <v>438</v>
      </c>
      <c r="AJ599" t="s">
        <v>408</v>
      </c>
      <c r="AK599" t="s">
        <v>408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 s="58">
        <f t="shared" si="9"/>
        <v>1</v>
      </c>
      <c r="AU599" s="79" t="s">
        <v>457</v>
      </c>
      <c r="AV599" t="s">
        <v>410</v>
      </c>
      <c r="AW599" t="s">
        <v>411</v>
      </c>
      <c r="AX599">
        <v>1</v>
      </c>
      <c r="AY599" t="s">
        <v>412</v>
      </c>
      <c r="AZ599" t="s">
        <v>408</v>
      </c>
    </row>
    <row r="600" spans="1:52" x14ac:dyDescent="0.3">
      <c r="A600">
        <v>589</v>
      </c>
      <c r="B600" t="s">
        <v>1336</v>
      </c>
      <c r="C600" t="s">
        <v>152</v>
      </c>
      <c r="D600" t="s">
        <v>1337</v>
      </c>
      <c r="E600" t="s">
        <v>460</v>
      </c>
      <c r="F600" t="s">
        <v>408</v>
      </c>
      <c r="G600">
        <v>5065</v>
      </c>
      <c r="H600">
        <v>5064</v>
      </c>
      <c r="I600" t="s">
        <v>1087</v>
      </c>
      <c r="J600">
        <v>5200</v>
      </c>
      <c r="K600">
        <v>5201</v>
      </c>
      <c r="L600" t="s">
        <v>1019</v>
      </c>
      <c r="M600">
        <v>4</v>
      </c>
      <c r="N600" t="s">
        <v>168</v>
      </c>
      <c r="O600" t="s">
        <v>170</v>
      </c>
      <c r="P600" t="s">
        <v>414</v>
      </c>
      <c r="Q600" t="s">
        <v>1339</v>
      </c>
      <c r="R600" t="s">
        <v>547</v>
      </c>
      <c r="S600">
        <v>2017</v>
      </c>
      <c r="T600">
        <v>5</v>
      </c>
      <c r="U600" t="s">
        <v>408</v>
      </c>
      <c r="V600" t="s">
        <v>487</v>
      </c>
      <c r="W600">
        <v>2020</v>
      </c>
      <c r="X600">
        <v>0</v>
      </c>
      <c r="Y600" t="s">
        <v>408</v>
      </c>
      <c r="Z600">
        <v>2020</v>
      </c>
      <c r="AA600">
        <v>0</v>
      </c>
      <c r="AB600" s="5">
        <v>0.11778909297</v>
      </c>
      <c r="AC600" s="5">
        <v>0.23557818593999999</v>
      </c>
      <c r="AD600" t="s">
        <v>1342</v>
      </c>
      <c r="AE600" t="s">
        <v>152</v>
      </c>
      <c r="AF600" t="s">
        <v>408</v>
      </c>
      <c r="AG600" t="s">
        <v>408</v>
      </c>
      <c r="AH600" t="s">
        <v>408</v>
      </c>
      <c r="AI600" t="s">
        <v>408</v>
      </c>
      <c r="AJ600" t="s">
        <v>408</v>
      </c>
      <c r="AK600" t="s">
        <v>408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s="58">
        <f t="shared" si="9"/>
        <v>1</v>
      </c>
      <c r="AU600" s="79" t="s">
        <v>488</v>
      </c>
      <c r="AV600" s="78" t="s">
        <v>410</v>
      </c>
      <c r="AW600" t="s">
        <v>408</v>
      </c>
      <c r="AX600">
        <v>3</v>
      </c>
      <c r="AY600" t="s">
        <v>17</v>
      </c>
      <c r="AZ600">
        <v>20</v>
      </c>
    </row>
    <row r="601" spans="1:52" x14ac:dyDescent="0.3">
      <c r="A601">
        <v>590</v>
      </c>
      <c r="B601" t="s">
        <v>898</v>
      </c>
      <c r="C601" t="s">
        <v>154</v>
      </c>
      <c r="D601" t="s">
        <v>899</v>
      </c>
      <c r="E601" t="s">
        <v>417</v>
      </c>
      <c r="F601" t="s">
        <v>408</v>
      </c>
      <c r="G601">
        <v>227</v>
      </c>
      <c r="H601">
        <v>226</v>
      </c>
      <c r="I601" t="s">
        <v>1401</v>
      </c>
      <c r="J601">
        <v>200</v>
      </c>
      <c r="K601">
        <v>201</v>
      </c>
      <c r="L601" t="s">
        <v>931</v>
      </c>
      <c r="M601">
        <v>2</v>
      </c>
      <c r="N601" t="s">
        <v>163</v>
      </c>
      <c r="O601" t="s">
        <v>163</v>
      </c>
      <c r="P601" t="s">
        <v>420</v>
      </c>
      <c r="Q601" t="s">
        <v>408</v>
      </c>
      <c r="R601" t="s">
        <v>445</v>
      </c>
      <c r="S601">
        <v>2012</v>
      </c>
      <c r="T601">
        <v>10</v>
      </c>
      <c r="U601" t="s">
        <v>1213</v>
      </c>
      <c r="V601" t="s">
        <v>482</v>
      </c>
      <c r="W601">
        <v>2017</v>
      </c>
      <c r="X601">
        <v>11</v>
      </c>
      <c r="Y601" t="s">
        <v>370</v>
      </c>
      <c r="Z601">
        <v>2017</v>
      </c>
      <c r="AA601">
        <v>2017</v>
      </c>
      <c r="AB601" s="5">
        <v>6.2368533573700001E-2</v>
      </c>
      <c r="AC601" s="5">
        <v>0.124737067147</v>
      </c>
      <c r="AD601" t="s">
        <v>400</v>
      </c>
      <c r="AE601" t="s">
        <v>152</v>
      </c>
      <c r="AF601" t="s">
        <v>400</v>
      </c>
      <c r="AG601" t="s">
        <v>408</v>
      </c>
      <c r="AH601" t="s">
        <v>408</v>
      </c>
      <c r="AI601" t="s">
        <v>456</v>
      </c>
      <c r="AJ601" t="s">
        <v>400</v>
      </c>
      <c r="AK601" t="s">
        <v>408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 s="58">
        <f t="shared" si="9"/>
        <v>1</v>
      </c>
      <c r="AU601" s="79" t="s">
        <v>457</v>
      </c>
      <c r="AV601" t="s">
        <v>410</v>
      </c>
      <c r="AW601" t="s">
        <v>400</v>
      </c>
      <c r="AX601">
        <v>1</v>
      </c>
      <c r="AY601" t="s">
        <v>412</v>
      </c>
      <c r="AZ601" t="s">
        <v>408</v>
      </c>
    </row>
    <row r="602" spans="1:52" x14ac:dyDescent="0.3">
      <c r="A602">
        <v>591</v>
      </c>
      <c r="B602" t="s">
        <v>819</v>
      </c>
      <c r="C602" t="s">
        <v>154</v>
      </c>
      <c r="D602" t="s">
        <v>820</v>
      </c>
      <c r="E602" t="s">
        <v>417</v>
      </c>
      <c r="F602" t="s">
        <v>447</v>
      </c>
      <c r="G602">
        <v>170</v>
      </c>
      <c r="H602">
        <v>171</v>
      </c>
      <c r="I602" t="s">
        <v>739</v>
      </c>
      <c r="J602">
        <v>140</v>
      </c>
      <c r="K602">
        <v>141</v>
      </c>
      <c r="L602" t="s">
        <v>821</v>
      </c>
      <c r="M602">
        <v>4</v>
      </c>
      <c r="N602" t="s">
        <v>167</v>
      </c>
      <c r="O602" t="s">
        <v>167</v>
      </c>
      <c r="P602" t="s">
        <v>414</v>
      </c>
      <c r="Q602" t="s">
        <v>408</v>
      </c>
      <c r="R602" t="s">
        <v>547</v>
      </c>
      <c r="S602">
        <v>2010</v>
      </c>
      <c r="T602">
        <v>11</v>
      </c>
      <c r="U602" t="s">
        <v>452</v>
      </c>
      <c r="V602" t="s">
        <v>487</v>
      </c>
      <c r="W602">
        <v>2020</v>
      </c>
      <c r="X602">
        <v>0</v>
      </c>
      <c r="Y602" t="s">
        <v>408</v>
      </c>
      <c r="Z602">
        <v>2020</v>
      </c>
      <c r="AA602">
        <v>2015</v>
      </c>
      <c r="AB602" s="5">
        <v>7.6873539265100002E-2</v>
      </c>
      <c r="AC602" s="5">
        <v>7.6873539265100002E-2</v>
      </c>
      <c r="AD602" t="s">
        <v>408</v>
      </c>
      <c r="AE602" t="s">
        <v>411</v>
      </c>
      <c r="AF602" t="s">
        <v>447</v>
      </c>
      <c r="AG602" t="s">
        <v>152</v>
      </c>
      <c r="AH602" t="s">
        <v>408</v>
      </c>
      <c r="AI602" t="s">
        <v>408</v>
      </c>
      <c r="AJ602" t="s">
        <v>408</v>
      </c>
      <c r="AK602" t="s">
        <v>408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</v>
      </c>
      <c r="AT602" s="58">
        <f t="shared" si="9"/>
        <v>1</v>
      </c>
      <c r="AU602" s="79" t="s">
        <v>488</v>
      </c>
      <c r="AV602" s="78" t="s">
        <v>410</v>
      </c>
      <c r="AW602" t="s">
        <v>408</v>
      </c>
      <c r="AX602">
        <v>2</v>
      </c>
      <c r="AY602" t="s">
        <v>412</v>
      </c>
      <c r="AZ602" t="s">
        <v>408</v>
      </c>
    </row>
    <row r="603" spans="1:52" x14ac:dyDescent="0.3">
      <c r="A603">
        <v>592</v>
      </c>
      <c r="B603" t="s">
        <v>1336</v>
      </c>
      <c r="C603" t="s">
        <v>152</v>
      </c>
      <c r="D603" t="s">
        <v>1337</v>
      </c>
      <c r="E603" t="s">
        <v>460</v>
      </c>
      <c r="F603" t="s">
        <v>408</v>
      </c>
      <c r="G603">
        <v>6200</v>
      </c>
      <c r="H603">
        <v>6201</v>
      </c>
      <c r="I603" t="s">
        <v>1546</v>
      </c>
      <c r="J603">
        <v>6354</v>
      </c>
      <c r="K603">
        <v>6359</v>
      </c>
      <c r="L603" t="s">
        <v>613</v>
      </c>
      <c r="M603">
        <v>4</v>
      </c>
      <c r="N603" t="s">
        <v>168</v>
      </c>
      <c r="O603" t="s">
        <v>170</v>
      </c>
      <c r="P603" t="s">
        <v>420</v>
      </c>
      <c r="Q603" t="s">
        <v>1547</v>
      </c>
      <c r="R603" t="s">
        <v>1542</v>
      </c>
      <c r="S603">
        <v>2018</v>
      </c>
      <c r="T603">
        <v>5</v>
      </c>
      <c r="U603" t="s">
        <v>408</v>
      </c>
      <c r="V603" t="s">
        <v>408</v>
      </c>
      <c r="W603">
        <v>0</v>
      </c>
      <c r="X603">
        <v>0</v>
      </c>
      <c r="Y603" t="s">
        <v>408</v>
      </c>
      <c r="Z603">
        <v>2018</v>
      </c>
      <c r="AA603">
        <v>0</v>
      </c>
      <c r="AB603" s="5">
        <v>0.18417854892800001</v>
      </c>
      <c r="AC603" s="5">
        <v>0.36835709785600002</v>
      </c>
      <c r="AD603" t="s">
        <v>1342</v>
      </c>
      <c r="AE603" t="s">
        <v>152</v>
      </c>
      <c r="AF603" t="s">
        <v>408</v>
      </c>
      <c r="AG603" t="s">
        <v>408</v>
      </c>
      <c r="AH603" t="s">
        <v>408</v>
      </c>
      <c r="AI603" t="s">
        <v>408</v>
      </c>
      <c r="AJ603" t="s">
        <v>408</v>
      </c>
      <c r="AK603" t="s">
        <v>408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s="58">
        <f t="shared" si="9"/>
        <v>1</v>
      </c>
      <c r="AU603" s="79">
        <v>43348</v>
      </c>
      <c r="AV603" t="s">
        <v>410</v>
      </c>
      <c r="AW603" t="s">
        <v>408</v>
      </c>
      <c r="AX603">
        <v>3</v>
      </c>
      <c r="AY603" t="s">
        <v>17</v>
      </c>
      <c r="AZ603">
        <v>20</v>
      </c>
    </row>
    <row r="604" spans="1:52" x14ac:dyDescent="0.3">
      <c r="A604">
        <v>593</v>
      </c>
      <c r="B604" t="s">
        <v>1592</v>
      </c>
      <c r="C604" t="s">
        <v>447</v>
      </c>
      <c r="D604" t="s">
        <v>1593</v>
      </c>
      <c r="E604" t="s">
        <v>417</v>
      </c>
      <c r="F604" t="s">
        <v>408</v>
      </c>
      <c r="G604">
        <v>101</v>
      </c>
      <c r="H604">
        <v>100</v>
      </c>
      <c r="I604" t="s">
        <v>905</v>
      </c>
      <c r="J604">
        <v>701</v>
      </c>
      <c r="K604">
        <v>700</v>
      </c>
      <c r="L604" t="s">
        <v>496</v>
      </c>
      <c r="M604">
        <v>2</v>
      </c>
      <c r="N604" t="s">
        <v>167</v>
      </c>
      <c r="O604" t="s">
        <v>167</v>
      </c>
      <c r="P604" t="s">
        <v>420</v>
      </c>
      <c r="Q604" t="s">
        <v>408</v>
      </c>
      <c r="R604" t="s">
        <v>422</v>
      </c>
      <c r="S604">
        <v>2011</v>
      </c>
      <c r="T604">
        <v>5</v>
      </c>
      <c r="U604" t="s">
        <v>408</v>
      </c>
      <c r="V604" t="s">
        <v>692</v>
      </c>
      <c r="W604">
        <v>2015</v>
      </c>
      <c r="X604">
        <v>1</v>
      </c>
      <c r="Y604" t="s">
        <v>370</v>
      </c>
      <c r="Z604">
        <v>2015</v>
      </c>
      <c r="AA604">
        <v>2015</v>
      </c>
      <c r="AB604" s="5">
        <v>0.70967831419899996</v>
      </c>
      <c r="AC604" s="5">
        <v>1.4193566284000001</v>
      </c>
      <c r="AD604" t="s">
        <v>408</v>
      </c>
      <c r="AE604" t="s">
        <v>152</v>
      </c>
      <c r="AF604" t="s">
        <v>408</v>
      </c>
      <c r="AG604" t="s">
        <v>408</v>
      </c>
      <c r="AH604" t="s">
        <v>408</v>
      </c>
      <c r="AI604" t="s">
        <v>408</v>
      </c>
      <c r="AJ604" t="s">
        <v>408</v>
      </c>
      <c r="AK604" t="s">
        <v>408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 s="58">
        <f t="shared" si="9"/>
        <v>1</v>
      </c>
      <c r="AU604" s="79">
        <v>43350</v>
      </c>
      <c r="AV604" t="s">
        <v>410</v>
      </c>
      <c r="AW604" t="s">
        <v>408</v>
      </c>
      <c r="AX604">
        <v>2</v>
      </c>
      <c r="AY604" t="s">
        <v>412</v>
      </c>
      <c r="AZ604" t="s">
        <v>408</v>
      </c>
    </row>
    <row r="605" spans="1:52" x14ac:dyDescent="0.3">
      <c r="A605">
        <v>594</v>
      </c>
      <c r="B605" t="s">
        <v>709</v>
      </c>
      <c r="C605" t="s">
        <v>154</v>
      </c>
      <c r="D605" t="s">
        <v>710</v>
      </c>
      <c r="E605" t="s">
        <v>460</v>
      </c>
      <c r="F605" t="s">
        <v>408</v>
      </c>
      <c r="G605">
        <v>2900</v>
      </c>
      <c r="H605">
        <v>2901</v>
      </c>
      <c r="I605" t="s">
        <v>1594</v>
      </c>
      <c r="J605">
        <v>2800</v>
      </c>
      <c r="K605">
        <v>2801</v>
      </c>
      <c r="L605" t="s">
        <v>761</v>
      </c>
      <c r="M605">
        <v>2</v>
      </c>
      <c r="N605" t="s">
        <v>167</v>
      </c>
      <c r="O605" t="s">
        <v>167</v>
      </c>
      <c r="P605" t="s">
        <v>414</v>
      </c>
      <c r="Q605" t="s">
        <v>408</v>
      </c>
      <c r="R605" t="s">
        <v>510</v>
      </c>
      <c r="S605">
        <v>2002</v>
      </c>
      <c r="T605">
        <v>6</v>
      </c>
      <c r="U605" t="s">
        <v>408</v>
      </c>
      <c r="V605" t="s">
        <v>487</v>
      </c>
      <c r="W605">
        <v>2020</v>
      </c>
      <c r="X605">
        <v>0</v>
      </c>
      <c r="Y605" t="s">
        <v>408</v>
      </c>
      <c r="Z605">
        <v>2020</v>
      </c>
      <c r="AA605">
        <v>2006</v>
      </c>
      <c r="AB605" s="5">
        <v>0.16842941836799999</v>
      </c>
      <c r="AC605" s="5">
        <v>0.33685883673599998</v>
      </c>
      <c r="AD605" t="s">
        <v>408</v>
      </c>
      <c r="AE605" t="s">
        <v>152</v>
      </c>
      <c r="AF605" t="s">
        <v>408</v>
      </c>
      <c r="AG605" t="s">
        <v>408</v>
      </c>
      <c r="AH605" t="s">
        <v>408</v>
      </c>
      <c r="AI605" t="s">
        <v>408</v>
      </c>
      <c r="AJ605" t="s">
        <v>408</v>
      </c>
      <c r="AK605" t="s">
        <v>408</v>
      </c>
      <c r="AL605">
        <v>0</v>
      </c>
      <c r="AM605">
        <v>0.75</v>
      </c>
      <c r="AN605">
        <v>0.25</v>
      </c>
      <c r="AO605">
        <v>0</v>
      </c>
      <c r="AP605">
        <v>0</v>
      </c>
      <c r="AQ605">
        <v>0</v>
      </c>
      <c r="AR605">
        <v>0</v>
      </c>
      <c r="AS605">
        <v>0</v>
      </c>
      <c r="AT605" s="58">
        <f t="shared" si="9"/>
        <v>1</v>
      </c>
      <c r="AU605" s="79" t="s">
        <v>488</v>
      </c>
      <c r="AV605" t="s">
        <v>410</v>
      </c>
      <c r="AW605" t="s">
        <v>408</v>
      </c>
      <c r="AX605">
        <v>2</v>
      </c>
      <c r="AY605" t="s">
        <v>412</v>
      </c>
      <c r="AZ605" t="s">
        <v>408</v>
      </c>
    </row>
    <row r="606" spans="1:52" x14ac:dyDescent="0.3">
      <c r="A606">
        <v>595</v>
      </c>
      <c r="B606" t="s">
        <v>898</v>
      </c>
      <c r="C606" t="s">
        <v>447</v>
      </c>
      <c r="D606" t="s">
        <v>899</v>
      </c>
      <c r="E606" t="s">
        <v>417</v>
      </c>
      <c r="F606" t="s">
        <v>400</v>
      </c>
      <c r="G606">
        <v>400</v>
      </c>
      <c r="H606">
        <v>401</v>
      </c>
      <c r="I606" t="s">
        <v>508</v>
      </c>
      <c r="J606">
        <v>500</v>
      </c>
      <c r="K606">
        <v>501</v>
      </c>
      <c r="L606" t="s">
        <v>496</v>
      </c>
      <c r="M606">
        <v>2</v>
      </c>
      <c r="N606" t="s">
        <v>163</v>
      </c>
      <c r="O606" t="s">
        <v>163</v>
      </c>
      <c r="P606" t="s">
        <v>420</v>
      </c>
      <c r="Q606" t="s">
        <v>408</v>
      </c>
      <c r="R606" t="s">
        <v>445</v>
      </c>
      <c r="S606">
        <v>2012</v>
      </c>
      <c r="T606">
        <v>10</v>
      </c>
      <c r="U606" t="s">
        <v>452</v>
      </c>
      <c r="V606" t="s">
        <v>513</v>
      </c>
      <c r="W606">
        <v>2013</v>
      </c>
      <c r="X606">
        <v>10</v>
      </c>
      <c r="Y606" t="s">
        <v>408</v>
      </c>
      <c r="Z606">
        <v>2013</v>
      </c>
      <c r="AA606">
        <v>2013</v>
      </c>
      <c r="AB606" s="5">
        <v>0.18705213146499999</v>
      </c>
      <c r="AC606" s="5">
        <v>0.37410426292999999</v>
      </c>
      <c r="AD606" t="s">
        <v>400</v>
      </c>
      <c r="AE606" t="s">
        <v>152</v>
      </c>
      <c r="AF606" t="s">
        <v>400</v>
      </c>
      <c r="AG606" t="s">
        <v>400</v>
      </c>
      <c r="AH606" t="s">
        <v>400</v>
      </c>
      <c r="AI606" t="s">
        <v>470</v>
      </c>
      <c r="AJ606" t="s">
        <v>400</v>
      </c>
      <c r="AK606" t="s">
        <v>408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 s="58">
        <f t="shared" si="9"/>
        <v>1</v>
      </c>
      <c r="AU606" s="79" t="s">
        <v>602</v>
      </c>
      <c r="AV606" t="s">
        <v>410</v>
      </c>
      <c r="AW606" t="s">
        <v>411</v>
      </c>
      <c r="AX606">
        <v>1</v>
      </c>
      <c r="AY606" t="s">
        <v>412</v>
      </c>
      <c r="AZ606" t="s">
        <v>408</v>
      </c>
    </row>
    <row r="607" spans="1:52" x14ac:dyDescent="0.3">
      <c r="A607">
        <v>596</v>
      </c>
      <c r="B607" t="s">
        <v>898</v>
      </c>
      <c r="C607" t="s">
        <v>447</v>
      </c>
      <c r="D607" t="s">
        <v>899</v>
      </c>
      <c r="E607" t="s">
        <v>417</v>
      </c>
      <c r="F607" t="s">
        <v>400</v>
      </c>
      <c r="G607">
        <v>300</v>
      </c>
      <c r="H607">
        <v>301</v>
      </c>
      <c r="I607" t="s">
        <v>1394</v>
      </c>
      <c r="J607">
        <v>401</v>
      </c>
      <c r="K607">
        <v>400</v>
      </c>
      <c r="L607" t="s">
        <v>508</v>
      </c>
      <c r="M607">
        <v>2</v>
      </c>
      <c r="N607" t="s">
        <v>163</v>
      </c>
      <c r="O607" t="s">
        <v>163</v>
      </c>
      <c r="P607" t="s">
        <v>420</v>
      </c>
      <c r="Q607" t="s">
        <v>408</v>
      </c>
      <c r="R607" t="s">
        <v>902</v>
      </c>
      <c r="S607">
        <v>2012</v>
      </c>
      <c r="T607">
        <v>10</v>
      </c>
      <c r="U607" t="s">
        <v>1595</v>
      </c>
      <c r="V607" t="s">
        <v>513</v>
      </c>
      <c r="W607">
        <v>2013</v>
      </c>
      <c r="X607">
        <v>10</v>
      </c>
      <c r="Y607" t="s">
        <v>408</v>
      </c>
      <c r="Z607">
        <v>2013</v>
      </c>
      <c r="AA607">
        <v>2012</v>
      </c>
      <c r="AB607" s="5">
        <v>0.12177404563499999</v>
      </c>
      <c r="AC607" s="5">
        <v>0.24354809126999999</v>
      </c>
      <c r="AD607" t="s">
        <v>400</v>
      </c>
      <c r="AE607" t="s">
        <v>152</v>
      </c>
      <c r="AF607" t="s">
        <v>408</v>
      </c>
      <c r="AG607" t="s">
        <v>408</v>
      </c>
      <c r="AH607" t="s">
        <v>408</v>
      </c>
      <c r="AI607" t="s">
        <v>470</v>
      </c>
      <c r="AJ607" t="s">
        <v>400</v>
      </c>
      <c r="AK607" t="s">
        <v>408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s="58">
        <f t="shared" si="9"/>
        <v>1</v>
      </c>
      <c r="AU607" s="79" t="s">
        <v>602</v>
      </c>
      <c r="AV607" s="78" t="s">
        <v>410</v>
      </c>
      <c r="AW607" t="s">
        <v>411</v>
      </c>
      <c r="AX607">
        <v>1</v>
      </c>
      <c r="AY607" t="s">
        <v>412</v>
      </c>
      <c r="AZ607" t="s">
        <v>408</v>
      </c>
    </row>
    <row r="608" spans="1:52" x14ac:dyDescent="0.3">
      <c r="A608">
        <v>597</v>
      </c>
      <c r="B608" t="s">
        <v>724</v>
      </c>
      <c r="C608" t="s">
        <v>154</v>
      </c>
      <c r="D608" t="s">
        <v>725</v>
      </c>
      <c r="E608" t="s">
        <v>417</v>
      </c>
      <c r="F608" t="s">
        <v>408</v>
      </c>
      <c r="G608">
        <v>1525</v>
      </c>
      <c r="H608">
        <v>1526</v>
      </c>
      <c r="I608" t="s">
        <v>625</v>
      </c>
      <c r="J608">
        <v>1500</v>
      </c>
      <c r="K608">
        <v>1501</v>
      </c>
      <c r="L608" t="s">
        <v>1415</v>
      </c>
      <c r="M608">
        <v>3</v>
      </c>
      <c r="N608" t="s">
        <v>167</v>
      </c>
      <c r="O608" t="s">
        <v>167</v>
      </c>
      <c r="P608" t="s">
        <v>420</v>
      </c>
      <c r="Q608" t="s">
        <v>408</v>
      </c>
      <c r="R608" t="s">
        <v>671</v>
      </c>
      <c r="S608">
        <v>2002</v>
      </c>
      <c r="T608">
        <v>8</v>
      </c>
      <c r="U608" t="s">
        <v>408</v>
      </c>
      <c r="V608" t="s">
        <v>407</v>
      </c>
      <c r="W608">
        <v>2020</v>
      </c>
      <c r="X608">
        <v>0</v>
      </c>
      <c r="Y608" t="s">
        <v>408</v>
      </c>
      <c r="Z608">
        <v>2020</v>
      </c>
      <c r="AA608">
        <v>2016</v>
      </c>
      <c r="AB608" s="5">
        <v>5.8139282781899997E-2</v>
      </c>
      <c r="AC608" s="5">
        <v>0.116278565564</v>
      </c>
      <c r="AD608" t="s">
        <v>408</v>
      </c>
      <c r="AE608" t="s">
        <v>152</v>
      </c>
      <c r="AF608" t="s">
        <v>408</v>
      </c>
      <c r="AG608" t="s">
        <v>408</v>
      </c>
      <c r="AH608" t="s">
        <v>408</v>
      </c>
      <c r="AI608" t="s">
        <v>408</v>
      </c>
      <c r="AJ608" t="s">
        <v>408</v>
      </c>
      <c r="AK608" t="s">
        <v>408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 s="58">
        <f t="shared" si="9"/>
        <v>1</v>
      </c>
      <c r="AU608" s="79" t="s">
        <v>431</v>
      </c>
      <c r="AV608" t="s">
        <v>410</v>
      </c>
      <c r="AW608" t="s">
        <v>408</v>
      </c>
      <c r="AX608">
        <v>2</v>
      </c>
      <c r="AY608" t="s">
        <v>412</v>
      </c>
      <c r="AZ608" t="s">
        <v>408</v>
      </c>
    </row>
    <row r="609" spans="1:52" x14ac:dyDescent="0.3">
      <c r="A609">
        <v>598</v>
      </c>
      <c r="B609" t="s">
        <v>837</v>
      </c>
      <c r="C609" t="s">
        <v>154</v>
      </c>
      <c r="D609" t="s">
        <v>838</v>
      </c>
      <c r="E609" t="s">
        <v>460</v>
      </c>
      <c r="F609" t="s">
        <v>408</v>
      </c>
      <c r="G609">
        <v>3200</v>
      </c>
      <c r="H609">
        <v>3201</v>
      </c>
      <c r="I609" t="s">
        <v>434</v>
      </c>
      <c r="J609">
        <v>3225</v>
      </c>
      <c r="K609">
        <v>3226</v>
      </c>
      <c r="L609" t="s">
        <v>1013</v>
      </c>
      <c r="M609">
        <v>2</v>
      </c>
      <c r="N609" t="s">
        <v>167</v>
      </c>
      <c r="O609" t="s">
        <v>167</v>
      </c>
      <c r="P609" t="s">
        <v>420</v>
      </c>
      <c r="Q609" t="s">
        <v>408</v>
      </c>
      <c r="R609" t="s">
        <v>510</v>
      </c>
      <c r="S609">
        <v>2002</v>
      </c>
      <c r="T609">
        <v>7</v>
      </c>
      <c r="U609" t="s">
        <v>408</v>
      </c>
      <c r="V609" t="s">
        <v>487</v>
      </c>
      <c r="W609">
        <v>2020</v>
      </c>
      <c r="X609">
        <v>0</v>
      </c>
      <c r="Y609" t="s">
        <v>408</v>
      </c>
      <c r="Z609">
        <v>2020</v>
      </c>
      <c r="AA609">
        <v>2003</v>
      </c>
      <c r="AB609" s="5">
        <v>0.196360005536</v>
      </c>
      <c r="AC609" s="5">
        <v>0.392720011072</v>
      </c>
      <c r="AD609" t="s">
        <v>408</v>
      </c>
      <c r="AE609" t="s">
        <v>152</v>
      </c>
      <c r="AF609" t="s">
        <v>408</v>
      </c>
      <c r="AG609" t="s">
        <v>408</v>
      </c>
      <c r="AH609" t="s">
        <v>408</v>
      </c>
      <c r="AI609" t="s">
        <v>408</v>
      </c>
      <c r="AJ609" t="s">
        <v>408</v>
      </c>
      <c r="AK609" t="s">
        <v>408</v>
      </c>
      <c r="AL609">
        <v>0</v>
      </c>
      <c r="AM609">
        <v>0.5</v>
      </c>
      <c r="AN609">
        <v>0.5</v>
      </c>
      <c r="AO609">
        <v>0</v>
      </c>
      <c r="AP609">
        <v>0</v>
      </c>
      <c r="AQ609">
        <v>0</v>
      </c>
      <c r="AR609">
        <v>0</v>
      </c>
      <c r="AS609">
        <v>0</v>
      </c>
      <c r="AT609" s="58">
        <f t="shared" si="9"/>
        <v>1</v>
      </c>
      <c r="AU609" s="79" t="s">
        <v>488</v>
      </c>
      <c r="AV609" t="s">
        <v>410</v>
      </c>
      <c r="AW609" t="s">
        <v>408</v>
      </c>
      <c r="AX609">
        <v>2</v>
      </c>
      <c r="AY609" t="s">
        <v>412</v>
      </c>
      <c r="AZ609" t="s">
        <v>408</v>
      </c>
    </row>
    <row r="610" spans="1:52" x14ac:dyDescent="0.3">
      <c r="A610">
        <v>599</v>
      </c>
      <c r="B610" t="s">
        <v>1031</v>
      </c>
      <c r="C610" t="s">
        <v>447</v>
      </c>
      <c r="D610" t="s">
        <v>1032</v>
      </c>
      <c r="E610" t="s">
        <v>417</v>
      </c>
      <c r="F610" t="s">
        <v>408</v>
      </c>
      <c r="G610">
        <v>3200</v>
      </c>
      <c r="H610">
        <v>3201</v>
      </c>
      <c r="I610" t="s">
        <v>1449</v>
      </c>
      <c r="J610">
        <v>0</v>
      </c>
      <c r="K610">
        <v>0</v>
      </c>
      <c r="L610" t="s">
        <v>1033</v>
      </c>
      <c r="M610">
        <v>2</v>
      </c>
      <c r="N610" t="s">
        <v>167</v>
      </c>
      <c r="O610" t="s">
        <v>167</v>
      </c>
      <c r="P610" t="s">
        <v>420</v>
      </c>
      <c r="Q610" t="s">
        <v>408</v>
      </c>
      <c r="R610" t="s">
        <v>697</v>
      </c>
      <c r="S610">
        <v>1996</v>
      </c>
      <c r="T610">
        <v>5</v>
      </c>
      <c r="U610" t="s">
        <v>408</v>
      </c>
      <c r="V610" t="s">
        <v>469</v>
      </c>
      <c r="W610">
        <v>2018</v>
      </c>
      <c r="X610">
        <v>5</v>
      </c>
      <c r="Y610" t="s">
        <v>408</v>
      </c>
      <c r="Z610">
        <v>2018</v>
      </c>
      <c r="AA610">
        <v>0</v>
      </c>
      <c r="AB610" s="5">
        <v>0.13101846966299999</v>
      </c>
      <c r="AC610" s="5">
        <v>0.26203693932599997</v>
      </c>
      <c r="AD610" t="s">
        <v>408</v>
      </c>
      <c r="AE610" t="s">
        <v>152</v>
      </c>
      <c r="AF610" t="s">
        <v>408</v>
      </c>
      <c r="AG610" t="s">
        <v>408</v>
      </c>
      <c r="AH610" t="s">
        <v>408</v>
      </c>
      <c r="AI610" t="s">
        <v>408</v>
      </c>
      <c r="AJ610" t="s">
        <v>408</v>
      </c>
      <c r="AK610" t="s">
        <v>408</v>
      </c>
      <c r="AL610">
        <v>0</v>
      </c>
      <c r="AM610">
        <v>0</v>
      </c>
      <c r="AN610">
        <v>0</v>
      </c>
      <c r="AO610">
        <v>0</v>
      </c>
      <c r="AP610">
        <v>0.5</v>
      </c>
      <c r="AQ610">
        <v>0</v>
      </c>
      <c r="AR610">
        <v>0.5</v>
      </c>
      <c r="AS610">
        <v>0</v>
      </c>
      <c r="AT610" s="58">
        <f t="shared" si="9"/>
        <v>1</v>
      </c>
      <c r="AU610" s="79">
        <v>43349</v>
      </c>
      <c r="AV610" t="s">
        <v>410</v>
      </c>
      <c r="AW610" t="s">
        <v>408</v>
      </c>
      <c r="AX610">
        <v>2</v>
      </c>
      <c r="AY610" t="s">
        <v>412</v>
      </c>
      <c r="AZ610" t="s">
        <v>408</v>
      </c>
    </row>
    <row r="611" spans="1:52" x14ac:dyDescent="0.3">
      <c r="A611">
        <v>600</v>
      </c>
      <c r="B611" t="s">
        <v>918</v>
      </c>
      <c r="C611" t="s">
        <v>154</v>
      </c>
      <c r="D611" t="s">
        <v>919</v>
      </c>
      <c r="E611" t="s">
        <v>460</v>
      </c>
      <c r="F611" t="s">
        <v>408</v>
      </c>
      <c r="G611">
        <v>2137</v>
      </c>
      <c r="H611">
        <v>2136</v>
      </c>
      <c r="I611" t="s">
        <v>1276</v>
      </c>
      <c r="J611">
        <v>2101</v>
      </c>
      <c r="K611">
        <v>2100</v>
      </c>
      <c r="L611" t="s">
        <v>1058</v>
      </c>
      <c r="M611">
        <v>4</v>
      </c>
      <c r="N611" t="s">
        <v>170</v>
      </c>
      <c r="O611" t="s">
        <v>170</v>
      </c>
      <c r="P611" t="s">
        <v>414</v>
      </c>
      <c r="Q611" t="s">
        <v>408</v>
      </c>
      <c r="R611" t="s">
        <v>815</v>
      </c>
      <c r="S611">
        <v>2008</v>
      </c>
      <c r="T611">
        <v>9</v>
      </c>
      <c r="U611" t="s">
        <v>408</v>
      </c>
      <c r="V611" t="s">
        <v>679</v>
      </c>
      <c r="W611">
        <v>2014</v>
      </c>
      <c r="X611">
        <v>6</v>
      </c>
      <c r="Y611" t="s">
        <v>370</v>
      </c>
      <c r="Z611">
        <v>2014</v>
      </c>
      <c r="AA611">
        <v>2014</v>
      </c>
      <c r="AB611" s="5">
        <v>8.3460449054099994E-2</v>
      </c>
      <c r="AC611" s="5">
        <v>0.16692089810800001</v>
      </c>
      <c r="AD611" t="s">
        <v>408</v>
      </c>
      <c r="AE611" t="s">
        <v>152</v>
      </c>
      <c r="AF611" t="s">
        <v>408</v>
      </c>
      <c r="AG611" t="s">
        <v>408</v>
      </c>
      <c r="AH611" t="s">
        <v>408</v>
      </c>
      <c r="AI611" t="s">
        <v>408</v>
      </c>
      <c r="AJ611" t="s">
        <v>408</v>
      </c>
      <c r="AK611" t="s">
        <v>408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s="58">
        <f t="shared" si="9"/>
        <v>1</v>
      </c>
      <c r="AU611" s="79">
        <v>43350</v>
      </c>
      <c r="AV611" t="s">
        <v>410</v>
      </c>
      <c r="AW611" t="s">
        <v>408</v>
      </c>
      <c r="AX611">
        <v>2</v>
      </c>
      <c r="AY611" t="s">
        <v>412</v>
      </c>
      <c r="AZ611" t="s">
        <v>408</v>
      </c>
    </row>
    <row r="612" spans="1:52" x14ac:dyDescent="0.3">
      <c r="A612">
        <v>601</v>
      </c>
      <c r="B612" t="s">
        <v>440</v>
      </c>
      <c r="C612" t="s">
        <v>152</v>
      </c>
      <c r="D612" t="s">
        <v>441</v>
      </c>
      <c r="E612" t="s">
        <v>417</v>
      </c>
      <c r="F612" t="s">
        <v>155</v>
      </c>
      <c r="G612">
        <v>251</v>
      </c>
      <c r="H612">
        <v>250</v>
      </c>
      <c r="I612" t="s">
        <v>753</v>
      </c>
      <c r="J612">
        <v>325</v>
      </c>
      <c r="K612">
        <v>326</v>
      </c>
      <c r="L612" t="s">
        <v>1378</v>
      </c>
      <c r="M612">
        <v>4</v>
      </c>
      <c r="N612" t="s">
        <v>165</v>
      </c>
      <c r="O612" t="s">
        <v>165</v>
      </c>
      <c r="P612" t="s">
        <v>403</v>
      </c>
      <c r="Q612" t="s">
        <v>408</v>
      </c>
      <c r="R612" t="s">
        <v>445</v>
      </c>
      <c r="S612">
        <v>2012</v>
      </c>
      <c r="T612">
        <v>6</v>
      </c>
      <c r="U612" t="s">
        <v>408</v>
      </c>
      <c r="V612" t="s">
        <v>1596</v>
      </c>
      <c r="W612">
        <v>2013</v>
      </c>
      <c r="X612">
        <v>11</v>
      </c>
      <c r="Y612" t="s">
        <v>370</v>
      </c>
      <c r="Z612">
        <v>2013</v>
      </c>
      <c r="AA612">
        <v>2013</v>
      </c>
      <c r="AB612" s="5">
        <v>8.0377522496699993E-2</v>
      </c>
      <c r="AC612" s="5">
        <v>8.0377522496699993E-2</v>
      </c>
      <c r="AD612" t="s">
        <v>408</v>
      </c>
      <c r="AE612" t="s">
        <v>411</v>
      </c>
      <c r="AF612" t="s">
        <v>155</v>
      </c>
      <c r="AG612" t="s">
        <v>152</v>
      </c>
      <c r="AH612" t="s">
        <v>408</v>
      </c>
      <c r="AI612" t="s">
        <v>408</v>
      </c>
      <c r="AJ612" t="s">
        <v>408</v>
      </c>
      <c r="AK612" t="s">
        <v>408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 s="58">
        <f t="shared" si="9"/>
        <v>1</v>
      </c>
      <c r="AU612" s="79">
        <v>43350</v>
      </c>
      <c r="AV612" s="78" t="s">
        <v>410</v>
      </c>
      <c r="AW612" t="s">
        <v>152</v>
      </c>
      <c r="AX612">
        <v>2</v>
      </c>
      <c r="AY612" t="s">
        <v>412</v>
      </c>
      <c r="AZ612" t="s">
        <v>408</v>
      </c>
    </row>
    <row r="613" spans="1:52" x14ac:dyDescent="0.3">
      <c r="A613">
        <v>602</v>
      </c>
      <c r="B613" t="s">
        <v>693</v>
      </c>
      <c r="C613" t="s">
        <v>152</v>
      </c>
      <c r="D613" t="s">
        <v>694</v>
      </c>
      <c r="E613" t="s">
        <v>460</v>
      </c>
      <c r="F613" t="s">
        <v>408</v>
      </c>
      <c r="G613">
        <v>1300</v>
      </c>
      <c r="H613">
        <v>1301</v>
      </c>
      <c r="I613" t="s">
        <v>1597</v>
      </c>
      <c r="J613">
        <v>1401</v>
      </c>
      <c r="K613">
        <v>1400</v>
      </c>
      <c r="L613" t="s">
        <v>733</v>
      </c>
      <c r="M613">
        <v>3</v>
      </c>
      <c r="N613" t="s">
        <v>167</v>
      </c>
      <c r="O613" t="s">
        <v>167</v>
      </c>
      <c r="P613" t="s">
        <v>414</v>
      </c>
      <c r="Q613" t="s">
        <v>408</v>
      </c>
      <c r="R613" t="s">
        <v>510</v>
      </c>
      <c r="S613">
        <v>2008</v>
      </c>
      <c r="T613">
        <v>8</v>
      </c>
      <c r="U613" t="s">
        <v>408</v>
      </c>
      <c r="V613" t="s">
        <v>695</v>
      </c>
      <c r="W613">
        <v>2020</v>
      </c>
      <c r="X613">
        <v>0</v>
      </c>
      <c r="Y613" t="s">
        <v>370</v>
      </c>
      <c r="Z613">
        <v>2020</v>
      </c>
      <c r="AA613">
        <v>2020</v>
      </c>
      <c r="AB613" s="5">
        <v>0.14758897250299999</v>
      </c>
      <c r="AC613" s="5">
        <v>0.29517794500599998</v>
      </c>
      <c r="AD613" t="s">
        <v>408</v>
      </c>
      <c r="AE613" t="s">
        <v>152</v>
      </c>
      <c r="AF613" t="s">
        <v>408</v>
      </c>
      <c r="AG613" t="s">
        <v>408</v>
      </c>
      <c r="AH613" t="s">
        <v>408</v>
      </c>
      <c r="AI613" t="s">
        <v>408</v>
      </c>
      <c r="AJ613" t="s">
        <v>408</v>
      </c>
      <c r="AK613" t="s">
        <v>408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 s="58">
        <f t="shared" si="9"/>
        <v>1</v>
      </c>
      <c r="AU613" s="79" t="s">
        <v>431</v>
      </c>
      <c r="AV613" s="78" t="s">
        <v>410</v>
      </c>
      <c r="AW613" t="s">
        <v>408</v>
      </c>
      <c r="AX613">
        <v>2</v>
      </c>
      <c r="AY613" t="s">
        <v>412</v>
      </c>
      <c r="AZ613" t="s">
        <v>408</v>
      </c>
    </row>
    <row r="614" spans="1:52" x14ac:dyDescent="0.3">
      <c r="A614">
        <v>603</v>
      </c>
      <c r="B614" t="s">
        <v>693</v>
      </c>
      <c r="C614" t="s">
        <v>152</v>
      </c>
      <c r="D614" t="s">
        <v>694</v>
      </c>
      <c r="E614" t="s">
        <v>460</v>
      </c>
      <c r="F614" t="s">
        <v>408</v>
      </c>
      <c r="G614">
        <v>1401</v>
      </c>
      <c r="H614">
        <v>1400</v>
      </c>
      <c r="I614" t="s">
        <v>733</v>
      </c>
      <c r="J614">
        <v>1501</v>
      </c>
      <c r="K614">
        <v>1500</v>
      </c>
      <c r="L614" t="s">
        <v>770</v>
      </c>
      <c r="M614">
        <v>3</v>
      </c>
      <c r="N614" t="s">
        <v>167</v>
      </c>
      <c r="O614" t="s">
        <v>167</v>
      </c>
      <c r="P614" t="s">
        <v>420</v>
      </c>
      <c r="Q614" t="s">
        <v>408</v>
      </c>
      <c r="R614" t="s">
        <v>510</v>
      </c>
      <c r="S614">
        <v>2008</v>
      </c>
      <c r="T614">
        <v>8</v>
      </c>
      <c r="U614" t="s">
        <v>408</v>
      </c>
      <c r="V614" t="s">
        <v>695</v>
      </c>
      <c r="W614">
        <v>2020</v>
      </c>
      <c r="X614">
        <v>0</v>
      </c>
      <c r="Y614" t="s">
        <v>370</v>
      </c>
      <c r="Z614">
        <v>2020</v>
      </c>
      <c r="AA614">
        <v>2020</v>
      </c>
      <c r="AB614" s="5">
        <v>7.6982736872200003E-2</v>
      </c>
      <c r="AC614" s="5">
        <v>0.15396547374399999</v>
      </c>
      <c r="AD614" t="s">
        <v>408</v>
      </c>
      <c r="AE614" t="s">
        <v>152</v>
      </c>
      <c r="AF614" t="s">
        <v>408</v>
      </c>
      <c r="AG614" t="s">
        <v>408</v>
      </c>
      <c r="AH614" t="s">
        <v>408</v>
      </c>
      <c r="AI614" t="s">
        <v>408</v>
      </c>
      <c r="AJ614" t="s">
        <v>408</v>
      </c>
      <c r="AK614" t="s">
        <v>408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 s="58">
        <f t="shared" si="9"/>
        <v>1</v>
      </c>
      <c r="AU614" s="79" t="s">
        <v>431</v>
      </c>
      <c r="AV614" s="78" t="s">
        <v>410</v>
      </c>
      <c r="AW614" t="s">
        <v>408</v>
      </c>
      <c r="AX614">
        <v>2</v>
      </c>
      <c r="AY614" t="s">
        <v>412</v>
      </c>
      <c r="AZ614" t="s">
        <v>408</v>
      </c>
    </row>
    <row r="615" spans="1:52" x14ac:dyDescent="0.3">
      <c r="A615">
        <v>604</v>
      </c>
      <c r="B615" t="s">
        <v>873</v>
      </c>
      <c r="C615" t="s">
        <v>447</v>
      </c>
      <c r="D615" t="s">
        <v>874</v>
      </c>
      <c r="E615" t="s">
        <v>417</v>
      </c>
      <c r="F615" t="s">
        <v>400</v>
      </c>
      <c r="G615">
        <v>130</v>
      </c>
      <c r="H615">
        <v>131</v>
      </c>
      <c r="I615" t="s">
        <v>1312</v>
      </c>
      <c r="J615">
        <v>601</v>
      </c>
      <c r="K615">
        <v>600</v>
      </c>
      <c r="L615" t="s">
        <v>1239</v>
      </c>
      <c r="M615">
        <v>7</v>
      </c>
      <c r="N615" t="s">
        <v>163</v>
      </c>
      <c r="O615" t="s">
        <v>163</v>
      </c>
      <c r="P615" t="s">
        <v>420</v>
      </c>
      <c r="Q615" t="s">
        <v>408</v>
      </c>
      <c r="R615" t="s">
        <v>601</v>
      </c>
      <c r="S615">
        <v>2018</v>
      </c>
      <c r="T615">
        <v>8</v>
      </c>
      <c r="U615" t="s">
        <v>1598</v>
      </c>
      <c r="V615" t="s">
        <v>408</v>
      </c>
      <c r="W615">
        <v>0</v>
      </c>
      <c r="X615">
        <v>0</v>
      </c>
      <c r="Y615" t="s">
        <v>408</v>
      </c>
      <c r="Z615">
        <v>2018</v>
      </c>
      <c r="AA615">
        <v>0</v>
      </c>
      <c r="AB615" s="5">
        <v>0.52101643490100003</v>
      </c>
      <c r="AC615" s="5">
        <v>1.0420328698000001</v>
      </c>
      <c r="AD615" t="s">
        <v>400</v>
      </c>
      <c r="AE615" t="s">
        <v>152</v>
      </c>
      <c r="AF615" t="s">
        <v>400</v>
      </c>
      <c r="AG615" t="s">
        <v>400</v>
      </c>
      <c r="AH615" t="s">
        <v>400</v>
      </c>
      <c r="AI615" t="s">
        <v>470</v>
      </c>
      <c r="AJ615" t="s">
        <v>400</v>
      </c>
      <c r="AK615" t="s">
        <v>408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</v>
      </c>
      <c r="AT615" s="58">
        <f t="shared" si="9"/>
        <v>1</v>
      </c>
      <c r="AU615" s="79" t="s">
        <v>457</v>
      </c>
      <c r="AV615" t="s">
        <v>410</v>
      </c>
      <c r="AW615" t="s">
        <v>411</v>
      </c>
      <c r="AX615">
        <v>1</v>
      </c>
      <c r="AY615" t="s">
        <v>412</v>
      </c>
      <c r="AZ615" t="s">
        <v>408</v>
      </c>
    </row>
    <row r="616" spans="1:52" x14ac:dyDescent="0.3">
      <c r="A616">
        <v>605</v>
      </c>
      <c r="B616" t="s">
        <v>667</v>
      </c>
      <c r="C616" t="s">
        <v>154</v>
      </c>
      <c r="D616" t="s">
        <v>668</v>
      </c>
      <c r="E616" t="s">
        <v>460</v>
      </c>
      <c r="F616" t="s">
        <v>408</v>
      </c>
      <c r="G616">
        <v>5201</v>
      </c>
      <c r="H616">
        <v>5200</v>
      </c>
      <c r="I616" t="s">
        <v>1069</v>
      </c>
      <c r="J616">
        <v>5601</v>
      </c>
      <c r="K616">
        <v>5600</v>
      </c>
      <c r="L616" t="s">
        <v>1136</v>
      </c>
      <c r="M616">
        <v>3</v>
      </c>
      <c r="N616" t="s">
        <v>167</v>
      </c>
      <c r="O616" t="s">
        <v>569</v>
      </c>
      <c r="P616" t="s">
        <v>403</v>
      </c>
      <c r="Q616" t="s">
        <v>408</v>
      </c>
      <c r="R616" t="s">
        <v>782</v>
      </c>
      <c r="S616">
        <v>2021</v>
      </c>
      <c r="T616">
        <v>10</v>
      </c>
      <c r="U616" t="s">
        <v>783</v>
      </c>
      <c r="V616" t="s">
        <v>408</v>
      </c>
      <c r="W616">
        <v>0</v>
      </c>
      <c r="X616">
        <v>0</v>
      </c>
      <c r="Y616" t="s">
        <v>408</v>
      </c>
      <c r="Z616">
        <v>2021</v>
      </c>
      <c r="AA616">
        <v>0</v>
      </c>
      <c r="AB616" s="5">
        <v>0.50647443408399995</v>
      </c>
      <c r="AC616" s="5">
        <v>1.0129488681700001</v>
      </c>
      <c r="AD616" t="s">
        <v>408</v>
      </c>
      <c r="AE616" t="s">
        <v>152</v>
      </c>
      <c r="AF616" t="s">
        <v>408</v>
      </c>
      <c r="AG616" t="s">
        <v>152</v>
      </c>
      <c r="AH616" t="s">
        <v>408</v>
      </c>
      <c r="AI616" t="s">
        <v>408</v>
      </c>
      <c r="AJ616" t="s">
        <v>408</v>
      </c>
      <c r="AK616" t="s">
        <v>408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s="58">
        <f t="shared" si="9"/>
        <v>1</v>
      </c>
      <c r="AU616" s="79" t="s">
        <v>784</v>
      </c>
      <c r="AV616" s="78" t="s">
        <v>410</v>
      </c>
      <c r="AW616" t="s">
        <v>152</v>
      </c>
      <c r="AX616">
        <v>2</v>
      </c>
      <c r="AY616" t="s">
        <v>412</v>
      </c>
      <c r="AZ616" t="s">
        <v>408</v>
      </c>
    </row>
    <row r="617" spans="1:52" x14ac:dyDescent="0.3">
      <c r="A617">
        <v>606</v>
      </c>
      <c r="B617" t="s">
        <v>1599</v>
      </c>
      <c r="C617" t="s">
        <v>152</v>
      </c>
      <c r="D617" t="s">
        <v>1600</v>
      </c>
      <c r="E617" t="s">
        <v>460</v>
      </c>
      <c r="F617" t="s">
        <v>408</v>
      </c>
      <c r="G617">
        <v>101</v>
      </c>
      <c r="H617">
        <v>100</v>
      </c>
      <c r="I617" t="s">
        <v>1601</v>
      </c>
      <c r="J617">
        <v>151</v>
      </c>
      <c r="K617">
        <v>150</v>
      </c>
      <c r="L617" t="s">
        <v>1405</v>
      </c>
      <c r="M617">
        <v>3</v>
      </c>
      <c r="N617" t="s">
        <v>163</v>
      </c>
      <c r="O617" t="s">
        <v>163</v>
      </c>
      <c r="P617" t="s">
        <v>420</v>
      </c>
      <c r="Q617" t="s">
        <v>408</v>
      </c>
      <c r="R617" t="s">
        <v>505</v>
      </c>
      <c r="S617">
        <v>2018</v>
      </c>
      <c r="T617">
        <v>7</v>
      </c>
      <c r="U617" t="s">
        <v>408</v>
      </c>
      <c r="V617" t="s">
        <v>408</v>
      </c>
      <c r="W617">
        <v>0</v>
      </c>
      <c r="X617">
        <v>0</v>
      </c>
      <c r="Y617" t="s">
        <v>408</v>
      </c>
      <c r="Z617">
        <v>2018</v>
      </c>
      <c r="AA617">
        <v>0</v>
      </c>
      <c r="AB617" s="5">
        <v>8.5663296830799998E-2</v>
      </c>
      <c r="AC617" s="5">
        <v>8.5663296830799998E-2</v>
      </c>
      <c r="AD617" t="s">
        <v>408</v>
      </c>
      <c r="AE617" t="s">
        <v>411</v>
      </c>
      <c r="AF617" t="s">
        <v>152</v>
      </c>
      <c r="AG617" t="s">
        <v>152</v>
      </c>
      <c r="AH617" t="s">
        <v>408</v>
      </c>
      <c r="AI617" t="s">
        <v>470</v>
      </c>
      <c r="AJ617" t="s">
        <v>152</v>
      </c>
      <c r="AK617" t="s">
        <v>408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T617" s="58">
        <f t="shared" si="9"/>
        <v>1</v>
      </c>
      <c r="AU617" s="79" t="s">
        <v>602</v>
      </c>
      <c r="AV617" s="78" t="s">
        <v>410</v>
      </c>
      <c r="AW617" t="s">
        <v>411</v>
      </c>
      <c r="AX617">
        <v>1</v>
      </c>
      <c r="AY617" t="s">
        <v>412</v>
      </c>
      <c r="AZ617" t="s">
        <v>408</v>
      </c>
    </row>
    <row r="618" spans="1:52" x14ac:dyDescent="0.3">
      <c r="A618">
        <v>607</v>
      </c>
      <c r="B618" t="s">
        <v>1602</v>
      </c>
      <c r="C618" t="s">
        <v>154</v>
      </c>
      <c r="D618" t="s">
        <v>1603</v>
      </c>
      <c r="E618" t="s">
        <v>460</v>
      </c>
      <c r="F618" t="s">
        <v>408</v>
      </c>
      <c r="G618">
        <v>1101</v>
      </c>
      <c r="H618">
        <v>1100</v>
      </c>
      <c r="I618" t="s">
        <v>684</v>
      </c>
      <c r="J618">
        <v>1051</v>
      </c>
      <c r="K618">
        <v>1050</v>
      </c>
      <c r="L618" t="s">
        <v>707</v>
      </c>
      <c r="M618">
        <v>4</v>
      </c>
      <c r="N618" t="s">
        <v>167</v>
      </c>
      <c r="O618" t="s">
        <v>167</v>
      </c>
      <c r="P618" t="s">
        <v>420</v>
      </c>
      <c r="Q618" t="s">
        <v>408</v>
      </c>
      <c r="R618" t="s">
        <v>1542</v>
      </c>
      <c r="S618">
        <v>2018</v>
      </c>
      <c r="T618">
        <v>7</v>
      </c>
      <c r="U618" t="s">
        <v>408</v>
      </c>
      <c r="V618" t="s">
        <v>408</v>
      </c>
      <c r="W618">
        <v>0</v>
      </c>
      <c r="X618">
        <v>0</v>
      </c>
      <c r="Y618" t="s">
        <v>408</v>
      </c>
      <c r="Z618">
        <v>2018</v>
      </c>
      <c r="AA618">
        <v>0</v>
      </c>
      <c r="AB618" s="5">
        <v>0.17780462459599999</v>
      </c>
      <c r="AC618" s="5">
        <v>0.35560924919199999</v>
      </c>
      <c r="AD618" t="s">
        <v>408</v>
      </c>
      <c r="AE618" t="s">
        <v>152</v>
      </c>
      <c r="AF618" t="s">
        <v>408</v>
      </c>
      <c r="AG618" t="s">
        <v>408</v>
      </c>
      <c r="AH618" t="s">
        <v>408</v>
      </c>
      <c r="AI618" t="s">
        <v>408</v>
      </c>
      <c r="AJ618" t="s">
        <v>408</v>
      </c>
      <c r="AK618" t="s">
        <v>408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s="58">
        <f t="shared" si="9"/>
        <v>1</v>
      </c>
      <c r="AU618" s="79">
        <v>43350</v>
      </c>
      <c r="AV618" s="78" t="s">
        <v>410</v>
      </c>
      <c r="AW618" t="s">
        <v>408</v>
      </c>
      <c r="AX618">
        <v>3</v>
      </c>
      <c r="AY618" t="s">
        <v>1579</v>
      </c>
      <c r="AZ618" t="s">
        <v>408</v>
      </c>
    </row>
    <row r="619" spans="1:52" x14ac:dyDescent="0.3">
      <c r="A619">
        <v>608</v>
      </c>
      <c r="B619" t="s">
        <v>1296</v>
      </c>
      <c r="C619" t="s">
        <v>154</v>
      </c>
      <c r="D619" t="s">
        <v>1297</v>
      </c>
      <c r="E619" t="s">
        <v>466</v>
      </c>
      <c r="F619" t="s">
        <v>408</v>
      </c>
      <c r="G619">
        <v>2001</v>
      </c>
      <c r="H619">
        <v>2000</v>
      </c>
      <c r="I619" t="s">
        <v>1010</v>
      </c>
      <c r="J619">
        <v>1201</v>
      </c>
      <c r="K619">
        <v>1200</v>
      </c>
      <c r="L619" t="s">
        <v>517</v>
      </c>
      <c r="M619">
        <v>3</v>
      </c>
      <c r="N619" t="s">
        <v>170</v>
      </c>
      <c r="O619" t="s">
        <v>170</v>
      </c>
      <c r="P619" t="s">
        <v>420</v>
      </c>
      <c r="Q619" t="s">
        <v>408</v>
      </c>
      <c r="R619" t="s">
        <v>547</v>
      </c>
      <c r="S619">
        <v>2018</v>
      </c>
      <c r="T619">
        <v>7</v>
      </c>
      <c r="U619" t="s">
        <v>408</v>
      </c>
      <c r="V619" t="s">
        <v>408</v>
      </c>
      <c r="W619">
        <v>0</v>
      </c>
      <c r="X619">
        <v>0</v>
      </c>
      <c r="Y619" t="s">
        <v>408</v>
      </c>
      <c r="Z619">
        <v>2018</v>
      </c>
      <c r="AA619">
        <v>0</v>
      </c>
      <c r="AB619" s="5">
        <v>0.99126210917799995</v>
      </c>
      <c r="AC619" s="5">
        <v>1.98252421836</v>
      </c>
      <c r="AD619" t="s">
        <v>408</v>
      </c>
      <c r="AE619" t="s">
        <v>152</v>
      </c>
      <c r="AF619" t="s">
        <v>408</v>
      </c>
      <c r="AG619" t="s">
        <v>408</v>
      </c>
      <c r="AH619" t="s">
        <v>408</v>
      </c>
      <c r="AI619" t="s">
        <v>408</v>
      </c>
      <c r="AJ619" t="s">
        <v>408</v>
      </c>
      <c r="AK619" t="s">
        <v>408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s="58">
        <f t="shared" si="9"/>
        <v>1</v>
      </c>
      <c r="AU619" s="79">
        <v>43350</v>
      </c>
      <c r="AV619" t="s">
        <v>410</v>
      </c>
      <c r="AW619" t="s">
        <v>408</v>
      </c>
      <c r="AX619">
        <v>2</v>
      </c>
      <c r="AY619" t="s">
        <v>412</v>
      </c>
      <c r="AZ619">
        <v>20</v>
      </c>
    </row>
    <row r="620" spans="1:52" x14ac:dyDescent="0.3">
      <c r="A620">
        <v>609</v>
      </c>
      <c r="B620" t="s">
        <v>1037</v>
      </c>
      <c r="C620" t="s">
        <v>155</v>
      </c>
      <c r="D620" t="s">
        <v>1038</v>
      </c>
      <c r="E620" t="s">
        <v>417</v>
      </c>
      <c r="F620" t="s">
        <v>152</v>
      </c>
      <c r="G620">
        <v>751</v>
      </c>
      <c r="H620">
        <v>750</v>
      </c>
      <c r="I620" t="s">
        <v>632</v>
      </c>
      <c r="J620">
        <v>551</v>
      </c>
      <c r="K620">
        <v>550</v>
      </c>
      <c r="L620" t="s">
        <v>535</v>
      </c>
      <c r="M620">
        <v>4</v>
      </c>
      <c r="N620" t="s">
        <v>163</v>
      </c>
      <c r="O620" t="s">
        <v>163</v>
      </c>
      <c r="P620" t="s">
        <v>403</v>
      </c>
      <c r="Q620" t="s">
        <v>408</v>
      </c>
      <c r="R620" t="s">
        <v>648</v>
      </c>
      <c r="S620">
        <v>2018</v>
      </c>
      <c r="T620">
        <v>10</v>
      </c>
      <c r="U620" t="s">
        <v>1163</v>
      </c>
      <c r="V620" t="s">
        <v>695</v>
      </c>
      <c r="W620">
        <v>2020</v>
      </c>
      <c r="X620">
        <v>2020</v>
      </c>
      <c r="Y620" t="s">
        <v>370</v>
      </c>
      <c r="Z620">
        <v>2020</v>
      </c>
      <c r="AA620">
        <v>2020</v>
      </c>
      <c r="AB620" s="5">
        <v>0.15583750314100001</v>
      </c>
      <c r="AC620" s="5">
        <v>0.31167500628200001</v>
      </c>
      <c r="AD620" t="s">
        <v>400</v>
      </c>
      <c r="AE620" t="s">
        <v>152</v>
      </c>
      <c r="AF620" t="s">
        <v>400</v>
      </c>
      <c r="AG620" t="s">
        <v>400</v>
      </c>
      <c r="AH620" t="s">
        <v>408</v>
      </c>
      <c r="AI620" t="s">
        <v>438</v>
      </c>
      <c r="AJ620" t="s">
        <v>400</v>
      </c>
      <c r="AK620" t="s">
        <v>408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 s="58">
        <f t="shared" si="9"/>
        <v>1</v>
      </c>
      <c r="AU620" s="79" t="s">
        <v>457</v>
      </c>
      <c r="AV620" t="s">
        <v>410</v>
      </c>
      <c r="AW620" t="s">
        <v>411</v>
      </c>
      <c r="AX620">
        <v>1</v>
      </c>
      <c r="AY620" t="s">
        <v>412</v>
      </c>
      <c r="AZ620" t="s">
        <v>408</v>
      </c>
    </row>
    <row r="621" spans="1:52" x14ac:dyDescent="0.3">
      <c r="A621">
        <v>610</v>
      </c>
      <c r="B621" t="s">
        <v>1604</v>
      </c>
      <c r="C621" t="s">
        <v>154</v>
      </c>
      <c r="D621" t="s">
        <v>1605</v>
      </c>
      <c r="E621" t="s">
        <v>460</v>
      </c>
      <c r="F621" t="s">
        <v>408</v>
      </c>
      <c r="G621">
        <v>5501</v>
      </c>
      <c r="H621">
        <v>5500</v>
      </c>
      <c r="I621" t="s">
        <v>1606</v>
      </c>
      <c r="J621">
        <v>4951</v>
      </c>
      <c r="K621">
        <v>4950</v>
      </c>
      <c r="L621" t="s">
        <v>625</v>
      </c>
      <c r="M621">
        <v>3</v>
      </c>
      <c r="N621" t="s">
        <v>167</v>
      </c>
      <c r="O621" t="s">
        <v>167</v>
      </c>
      <c r="P621" t="s">
        <v>420</v>
      </c>
      <c r="Q621" t="s">
        <v>408</v>
      </c>
      <c r="R621" t="s">
        <v>1494</v>
      </c>
      <c r="S621">
        <v>2018</v>
      </c>
      <c r="T621">
        <v>7</v>
      </c>
      <c r="U621" t="s">
        <v>408</v>
      </c>
      <c r="V621" t="s">
        <v>408</v>
      </c>
      <c r="W621">
        <v>0</v>
      </c>
      <c r="X621">
        <v>0</v>
      </c>
      <c r="Y621" t="s">
        <v>408</v>
      </c>
      <c r="Z621">
        <v>2018</v>
      </c>
      <c r="AA621">
        <v>0</v>
      </c>
      <c r="AB621" s="5">
        <v>0.72074061211600005</v>
      </c>
      <c r="AC621" s="5">
        <v>1.4414812242299999</v>
      </c>
      <c r="AD621" t="s">
        <v>408</v>
      </c>
      <c r="AE621" t="s">
        <v>152</v>
      </c>
      <c r="AF621" t="s">
        <v>408</v>
      </c>
      <c r="AG621" t="s">
        <v>408</v>
      </c>
      <c r="AH621" t="s">
        <v>408</v>
      </c>
      <c r="AI621" t="s">
        <v>408</v>
      </c>
      <c r="AJ621" t="s">
        <v>408</v>
      </c>
      <c r="AK621" t="s">
        <v>408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 s="58">
        <f t="shared" si="9"/>
        <v>1</v>
      </c>
      <c r="AU621" s="79">
        <v>43350</v>
      </c>
      <c r="AV621" s="78" t="s">
        <v>410</v>
      </c>
      <c r="AW621" t="s">
        <v>408</v>
      </c>
      <c r="AX621">
        <v>2</v>
      </c>
      <c r="AY621" t="s">
        <v>412</v>
      </c>
      <c r="AZ621" t="s">
        <v>408</v>
      </c>
    </row>
    <row r="622" spans="1:52" x14ac:dyDescent="0.3">
      <c r="A622">
        <v>611</v>
      </c>
      <c r="B622" t="s">
        <v>873</v>
      </c>
      <c r="C622" t="s">
        <v>154</v>
      </c>
      <c r="D622" t="s">
        <v>874</v>
      </c>
      <c r="E622" t="s">
        <v>417</v>
      </c>
      <c r="F622" t="s">
        <v>154</v>
      </c>
      <c r="G622">
        <v>301</v>
      </c>
      <c r="H622">
        <v>300</v>
      </c>
      <c r="I622" t="s">
        <v>1607</v>
      </c>
      <c r="J622">
        <v>201</v>
      </c>
      <c r="K622">
        <v>200</v>
      </c>
      <c r="L622" t="s">
        <v>739</v>
      </c>
      <c r="M622">
        <v>4</v>
      </c>
      <c r="N622" t="s">
        <v>163</v>
      </c>
      <c r="O622" t="s">
        <v>163</v>
      </c>
      <c r="P622" t="s">
        <v>414</v>
      </c>
      <c r="Q622" t="s">
        <v>408</v>
      </c>
      <c r="R622" t="s">
        <v>505</v>
      </c>
      <c r="S622">
        <v>2018</v>
      </c>
      <c r="T622">
        <v>6</v>
      </c>
      <c r="U622" t="s">
        <v>408</v>
      </c>
      <c r="V622" t="s">
        <v>408</v>
      </c>
      <c r="W622">
        <v>0</v>
      </c>
      <c r="X622">
        <v>0</v>
      </c>
      <c r="Y622" t="s">
        <v>408</v>
      </c>
      <c r="Z622">
        <v>2018</v>
      </c>
      <c r="AA622">
        <v>0</v>
      </c>
      <c r="AB622" s="5">
        <v>7.6550324018599999E-2</v>
      </c>
      <c r="AC622" s="5">
        <v>7.6550324018599999E-2</v>
      </c>
      <c r="AD622" t="s">
        <v>505</v>
      </c>
      <c r="AE622" t="s">
        <v>411</v>
      </c>
      <c r="AF622" t="s">
        <v>154</v>
      </c>
      <c r="AG622" t="s">
        <v>152</v>
      </c>
      <c r="AH622" t="s">
        <v>408</v>
      </c>
      <c r="AI622" t="s">
        <v>470</v>
      </c>
      <c r="AJ622" t="s">
        <v>400</v>
      </c>
      <c r="AK622" t="s">
        <v>408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 s="58">
        <f t="shared" si="9"/>
        <v>1</v>
      </c>
      <c r="AU622" s="79" t="s">
        <v>457</v>
      </c>
      <c r="AV622" t="s">
        <v>410</v>
      </c>
      <c r="AW622" t="s">
        <v>411</v>
      </c>
      <c r="AX622">
        <v>1</v>
      </c>
      <c r="AY622" t="s">
        <v>412</v>
      </c>
      <c r="AZ622" t="s">
        <v>408</v>
      </c>
    </row>
    <row r="623" spans="1:52" x14ac:dyDescent="0.3">
      <c r="A623">
        <v>612</v>
      </c>
      <c r="B623" t="s">
        <v>873</v>
      </c>
      <c r="C623" t="s">
        <v>154</v>
      </c>
      <c r="D623" t="s">
        <v>874</v>
      </c>
      <c r="E623" t="s">
        <v>417</v>
      </c>
      <c r="F623" t="s">
        <v>154</v>
      </c>
      <c r="G623">
        <v>0</v>
      </c>
      <c r="H623">
        <v>0</v>
      </c>
      <c r="I623" t="s">
        <v>1516</v>
      </c>
      <c r="J623">
        <v>0</v>
      </c>
      <c r="K623">
        <v>0</v>
      </c>
      <c r="L623" t="s">
        <v>1607</v>
      </c>
      <c r="M623">
        <v>4</v>
      </c>
      <c r="N623" t="s">
        <v>163</v>
      </c>
      <c r="O623" t="s">
        <v>163</v>
      </c>
      <c r="P623" t="s">
        <v>420</v>
      </c>
      <c r="Q623" t="s">
        <v>408</v>
      </c>
      <c r="R623" t="s">
        <v>505</v>
      </c>
      <c r="S623">
        <v>2016</v>
      </c>
      <c r="T623">
        <v>11</v>
      </c>
      <c r="U623" t="s">
        <v>1608</v>
      </c>
      <c r="V623" t="s">
        <v>408</v>
      </c>
      <c r="W623">
        <v>0</v>
      </c>
      <c r="X623">
        <v>0</v>
      </c>
      <c r="Y623" t="s">
        <v>408</v>
      </c>
      <c r="Z623">
        <v>2016</v>
      </c>
      <c r="AA623">
        <v>0</v>
      </c>
      <c r="AB623" s="5">
        <v>0.22801041892599999</v>
      </c>
      <c r="AC623" s="5">
        <v>0.22801041892599999</v>
      </c>
      <c r="AD623" t="s">
        <v>505</v>
      </c>
      <c r="AE623" t="s">
        <v>411</v>
      </c>
      <c r="AF623" t="s">
        <v>154</v>
      </c>
      <c r="AG623" t="s">
        <v>152</v>
      </c>
      <c r="AH623" t="s">
        <v>408</v>
      </c>
      <c r="AI623" t="s">
        <v>470</v>
      </c>
      <c r="AJ623" t="s">
        <v>400</v>
      </c>
      <c r="AK623" t="s">
        <v>411</v>
      </c>
      <c r="AL623">
        <v>2017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 s="58">
        <f t="shared" si="9"/>
        <v>1</v>
      </c>
      <c r="AU623" s="79" t="s">
        <v>457</v>
      </c>
      <c r="AV623" t="s">
        <v>410</v>
      </c>
      <c r="AW623" t="s">
        <v>411</v>
      </c>
      <c r="AX623">
        <v>1</v>
      </c>
      <c r="AY623" t="s">
        <v>412</v>
      </c>
      <c r="AZ623" t="s">
        <v>408</v>
      </c>
    </row>
    <row r="624" spans="1:52" x14ac:dyDescent="0.3">
      <c r="A624">
        <v>613</v>
      </c>
      <c r="B624" t="s">
        <v>1609</v>
      </c>
      <c r="C624" t="s">
        <v>155</v>
      </c>
      <c r="D624" t="s">
        <v>1610</v>
      </c>
      <c r="E624" t="s">
        <v>460</v>
      </c>
      <c r="F624" t="s">
        <v>400</v>
      </c>
      <c r="G624">
        <v>1901</v>
      </c>
      <c r="H624">
        <v>1900</v>
      </c>
      <c r="I624" t="s">
        <v>651</v>
      </c>
      <c r="J624">
        <v>1600</v>
      </c>
      <c r="K624">
        <v>1601</v>
      </c>
      <c r="L624" t="s">
        <v>1611</v>
      </c>
      <c r="M624">
        <v>4</v>
      </c>
      <c r="N624" t="s">
        <v>163</v>
      </c>
      <c r="O624" t="s">
        <v>163</v>
      </c>
      <c r="P624" t="s">
        <v>403</v>
      </c>
      <c r="Q624" t="s">
        <v>400</v>
      </c>
      <c r="R624" t="s">
        <v>1612</v>
      </c>
      <c r="S624">
        <v>2022</v>
      </c>
      <c r="T624">
        <v>11</v>
      </c>
      <c r="U624" t="s">
        <v>1613</v>
      </c>
      <c r="V624" t="s">
        <v>408</v>
      </c>
      <c r="W624">
        <v>0</v>
      </c>
      <c r="X624">
        <v>0</v>
      </c>
      <c r="Y624" t="s">
        <v>408</v>
      </c>
      <c r="Z624">
        <v>2022</v>
      </c>
      <c r="AA624">
        <v>2017</v>
      </c>
      <c r="AB624" s="5">
        <v>0.16537323932799999</v>
      </c>
      <c r="AC624" s="5">
        <v>0.32075629710199999</v>
      </c>
      <c r="AD624" t="s">
        <v>400</v>
      </c>
      <c r="AE624" t="s">
        <v>400</v>
      </c>
      <c r="AF624" t="s">
        <v>400</v>
      </c>
      <c r="AG624" t="s">
        <v>400</v>
      </c>
      <c r="AH624" t="s">
        <v>400</v>
      </c>
      <c r="AI624" t="s">
        <v>438</v>
      </c>
      <c r="AJ624" t="s">
        <v>408</v>
      </c>
      <c r="AK624" t="s">
        <v>408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 s="58">
        <f t="shared" si="9"/>
        <v>1</v>
      </c>
      <c r="AU624" s="79" t="s">
        <v>439</v>
      </c>
      <c r="AV624" s="78" t="s">
        <v>410</v>
      </c>
      <c r="AW624" t="s">
        <v>411</v>
      </c>
      <c r="AX624">
        <v>2</v>
      </c>
      <c r="AY624" t="s">
        <v>412</v>
      </c>
      <c r="AZ624" t="s">
        <v>408</v>
      </c>
    </row>
    <row r="625" spans="1:52" x14ac:dyDescent="0.3">
      <c r="A625">
        <v>614</v>
      </c>
      <c r="B625" t="s">
        <v>1614</v>
      </c>
      <c r="C625" t="s">
        <v>152</v>
      </c>
      <c r="D625" t="s">
        <v>335</v>
      </c>
      <c r="E625" t="s">
        <v>460</v>
      </c>
      <c r="F625" t="s">
        <v>408</v>
      </c>
      <c r="G625">
        <v>4501</v>
      </c>
      <c r="H625">
        <v>4500</v>
      </c>
      <c r="I625" t="s">
        <v>1615</v>
      </c>
      <c r="J625">
        <v>4801</v>
      </c>
      <c r="K625">
        <v>4800</v>
      </c>
      <c r="L625" t="s">
        <v>826</v>
      </c>
      <c r="M625">
        <v>2</v>
      </c>
      <c r="N625" t="s">
        <v>170</v>
      </c>
      <c r="O625" t="s">
        <v>170</v>
      </c>
      <c r="P625" t="s">
        <v>420</v>
      </c>
      <c r="Q625" t="s">
        <v>408</v>
      </c>
      <c r="R625" t="s">
        <v>1494</v>
      </c>
      <c r="S625">
        <v>2017</v>
      </c>
      <c r="T625">
        <v>9</v>
      </c>
      <c r="U625" t="s">
        <v>408</v>
      </c>
      <c r="V625" t="s">
        <v>408</v>
      </c>
      <c r="W625">
        <v>0</v>
      </c>
      <c r="X625">
        <v>0</v>
      </c>
      <c r="Y625" t="s">
        <v>408</v>
      </c>
      <c r="Z625">
        <v>2017</v>
      </c>
      <c r="AA625">
        <v>0</v>
      </c>
      <c r="AB625" s="5">
        <v>0.37481275336300002</v>
      </c>
      <c r="AC625" s="5">
        <v>0.74962550672600003</v>
      </c>
      <c r="AD625" t="s">
        <v>408</v>
      </c>
      <c r="AE625" t="s">
        <v>152</v>
      </c>
      <c r="AF625" t="s">
        <v>408</v>
      </c>
      <c r="AG625" t="s">
        <v>408</v>
      </c>
      <c r="AH625" t="s">
        <v>408</v>
      </c>
      <c r="AI625" t="s">
        <v>408</v>
      </c>
      <c r="AJ625" t="s">
        <v>408</v>
      </c>
      <c r="AK625" t="s">
        <v>408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 s="58">
        <f t="shared" si="9"/>
        <v>1</v>
      </c>
      <c r="AU625" s="79">
        <v>43350</v>
      </c>
      <c r="AV625" t="s">
        <v>410</v>
      </c>
      <c r="AW625" t="s">
        <v>408</v>
      </c>
      <c r="AX625">
        <v>2</v>
      </c>
      <c r="AY625" t="s">
        <v>412</v>
      </c>
      <c r="AZ625" t="s">
        <v>408</v>
      </c>
    </row>
    <row r="626" spans="1:52" x14ac:dyDescent="0.3">
      <c r="A626">
        <v>615</v>
      </c>
      <c r="B626" t="s">
        <v>1614</v>
      </c>
      <c r="C626" t="s">
        <v>152</v>
      </c>
      <c r="D626" t="s">
        <v>335</v>
      </c>
      <c r="E626" t="s">
        <v>460</v>
      </c>
      <c r="F626" t="s">
        <v>408</v>
      </c>
      <c r="G626">
        <v>4801</v>
      </c>
      <c r="H626">
        <v>4800</v>
      </c>
      <c r="I626" t="s">
        <v>826</v>
      </c>
      <c r="J626">
        <v>4901</v>
      </c>
      <c r="K626">
        <v>4900</v>
      </c>
      <c r="L626" t="s">
        <v>1432</v>
      </c>
      <c r="M626">
        <v>2</v>
      </c>
      <c r="N626" t="s">
        <v>165</v>
      </c>
      <c r="O626" t="s">
        <v>165</v>
      </c>
      <c r="P626" t="s">
        <v>420</v>
      </c>
      <c r="Q626" t="s">
        <v>408</v>
      </c>
      <c r="R626" t="s">
        <v>1494</v>
      </c>
      <c r="S626">
        <v>2017</v>
      </c>
      <c r="T626">
        <v>9</v>
      </c>
      <c r="U626" t="s">
        <v>408</v>
      </c>
      <c r="V626" t="s">
        <v>408</v>
      </c>
      <c r="W626">
        <v>0</v>
      </c>
      <c r="X626">
        <v>0</v>
      </c>
      <c r="Y626" t="s">
        <v>408</v>
      </c>
      <c r="Z626">
        <v>2017</v>
      </c>
      <c r="AA626">
        <v>0</v>
      </c>
      <c r="AB626" s="5">
        <v>0.12545127050499999</v>
      </c>
      <c r="AC626" s="5">
        <v>0.25090254100999998</v>
      </c>
      <c r="AD626" t="s">
        <v>408</v>
      </c>
      <c r="AE626" t="s">
        <v>152</v>
      </c>
      <c r="AF626" t="s">
        <v>408</v>
      </c>
      <c r="AG626" t="s">
        <v>408</v>
      </c>
      <c r="AH626" t="s">
        <v>408</v>
      </c>
      <c r="AI626" t="s">
        <v>408</v>
      </c>
      <c r="AJ626" t="s">
        <v>408</v>
      </c>
      <c r="AK626" t="s">
        <v>408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 s="58">
        <f t="shared" si="9"/>
        <v>1</v>
      </c>
      <c r="AU626" s="79">
        <v>43350</v>
      </c>
      <c r="AV626" t="s">
        <v>410</v>
      </c>
      <c r="AW626" t="s">
        <v>152</v>
      </c>
      <c r="AX626">
        <v>2</v>
      </c>
      <c r="AY626" t="s">
        <v>412</v>
      </c>
      <c r="AZ626" t="s">
        <v>408</v>
      </c>
    </row>
    <row r="627" spans="1:52" x14ac:dyDescent="0.3">
      <c r="A627">
        <v>616</v>
      </c>
      <c r="B627" t="s">
        <v>1614</v>
      </c>
      <c r="C627" t="s">
        <v>152</v>
      </c>
      <c r="D627" t="s">
        <v>335</v>
      </c>
      <c r="E627" t="s">
        <v>460</v>
      </c>
      <c r="F627" t="s">
        <v>408</v>
      </c>
      <c r="G627">
        <v>4901</v>
      </c>
      <c r="H627">
        <v>4900</v>
      </c>
      <c r="I627" t="s">
        <v>1432</v>
      </c>
      <c r="J627">
        <v>5001</v>
      </c>
      <c r="K627">
        <v>5000</v>
      </c>
      <c r="L627" t="s">
        <v>1616</v>
      </c>
      <c r="M627">
        <v>0</v>
      </c>
      <c r="N627" t="s">
        <v>167</v>
      </c>
      <c r="O627" t="s">
        <v>167</v>
      </c>
      <c r="P627" t="s">
        <v>420</v>
      </c>
      <c r="Q627" t="s">
        <v>408</v>
      </c>
      <c r="R627" t="s">
        <v>1494</v>
      </c>
      <c r="S627">
        <v>2017</v>
      </c>
      <c r="T627">
        <v>9</v>
      </c>
      <c r="U627" t="s">
        <v>408</v>
      </c>
      <c r="V627" t="s">
        <v>408</v>
      </c>
      <c r="W627">
        <v>0</v>
      </c>
      <c r="X627">
        <v>0</v>
      </c>
      <c r="Y627" t="s">
        <v>408</v>
      </c>
      <c r="Z627">
        <v>2017</v>
      </c>
      <c r="AA627">
        <v>0</v>
      </c>
      <c r="AB627" s="5">
        <v>0.12761894547399999</v>
      </c>
      <c r="AC627" s="5">
        <v>0.25523789094799998</v>
      </c>
      <c r="AD627" t="s">
        <v>408</v>
      </c>
      <c r="AE627" t="s">
        <v>152</v>
      </c>
      <c r="AF627" t="s">
        <v>408</v>
      </c>
      <c r="AG627" t="s">
        <v>408</v>
      </c>
      <c r="AH627" t="s">
        <v>408</v>
      </c>
      <c r="AI627" t="s">
        <v>408</v>
      </c>
      <c r="AJ627" t="s">
        <v>408</v>
      </c>
      <c r="AK627" t="s">
        <v>408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 s="58">
        <f t="shared" si="9"/>
        <v>1</v>
      </c>
      <c r="AU627" s="79">
        <v>43350</v>
      </c>
      <c r="AV627" s="78" t="s">
        <v>410</v>
      </c>
      <c r="AW627" t="s">
        <v>408</v>
      </c>
      <c r="AX627">
        <v>2</v>
      </c>
      <c r="AY627" t="s">
        <v>412</v>
      </c>
      <c r="AZ627" t="s">
        <v>408</v>
      </c>
    </row>
    <row r="628" spans="1:52" x14ac:dyDescent="0.3">
      <c r="A628">
        <v>617</v>
      </c>
      <c r="B628" t="s">
        <v>867</v>
      </c>
      <c r="C628" t="s">
        <v>154</v>
      </c>
      <c r="D628" t="s">
        <v>868</v>
      </c>
      <c r="E628" t="s">
        <v>466</v>
      </c>
      <c r="F628" t="s">
        <v>408</v>
      </c>
      <c r="G628">
        <v>3601</v>
      </c>
      <c r="H628">
        <v>3600</v>
      </c>
      <c r="I628" t="s">
        <v>1617</v>
      </c>
      <c r="J628">
        <v>3531</v>
      </c>
      <c r="K628">
        <v>3530</v>
      </c>
      <c r="L628" t="s">
        <v>1618</v>
      </c>
      <c r="M628">
        <v>4</v>
      </c>
      <c r="N628" t="s">
        <v>165</v>
      </c>
      <c r="O628" t="s">
        <v>165</v>
      </c>
      <c r="P628" t="s">
        <v>403</v>
      </c>
      <c r="Q628" t="s">
        <v>408</v>
      </c>
      <c r="R628" t="s">
        <v>562</v>
      </c>
      <c r="S628">
        <v>2014</v>
      </c>
      <c r="T628">
        <v>11</v>
      </c>
      <c r="U628" t="s">
        <v>370</v>
      </c>
      <c r="V628" t="s">
        <v>408</v>
      </c>
      <c r="W628">
        <v>0</v>
      </c>
      <c r="X628">
        <v>0</v>
      </c>
      <c r="Y628" t="s">
        <v>408</v>
      </c>
      <c r="Z628">
        <v>2014</v>
      </c>
      <c r="AA628">
        <v>2014</v>
      </c>
      <c r="AB628" s="5">
        <v>6.2923230488500001E-2</v>
      </c>
      <c r="AC628" s="5">
        <v>0.125846460977</v>
      </c>
      <c r="AD628" t="s">
        <v>408</v>
      </c>
      <c r="AE628" t="s">
        <v>152</v>
      </c>
      <c r="AF628" t="s">
        <v>408</v>
      </c>
      <c r="AG628" t="s">
        <v>408</v>
      </c>
      <c r="AH628" t="s">
        <v>408</v>
      </c>
      <c r="AI628" t="s">
        <v>408</v>
      </c>
      <c r="AJ628" t="s">
        <v>408</v>
      </c>
      <c r="AK628" t="s">
        <v>408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 s="58">
        <f t="shared" si="9"/>
        <v>1</v>
      </c>
      <c r="AU628" s="79">
        <v>43353</v>
      </c>
      <c r="AV628" t="s">
        <v>410</v>
      </c>
      <c r="AW628" t="s">
        <v>152</v>
      </c>
      <c r="AX628">
        <v>2</v>
      </c>
      <c r="AY628" t="s">
        <v>412</v>
      </c>
      <c r="AZ628" t="s">
        <v>408</v>
      </c>
    </row>
    <row r="629" spans="1:52" x14ac:dyDescent="0.3">
      <c r="A629">
        <v>618</v>
      </c>
      <c r="B629" t="s">
        <v>867</v>
      </c>
      <c r="C629" t="s">
        <v>154</v>
      </c>
      <c r="D629" t="s">
        <v>868</v>
      </c>
      <c r="E629" t="s">
        <v>466</v>
      </c>
      <c r="F629" t="s">
        <v>408</v>
      </c>
      <c r="G629">
        <v>3531</v>
      </c>
      <c r="H629">
        <v>3530</v>
      </c>
      <c r="I629" t="s">
        <v>1618</v>
      </c>
      <c r="J629">
        <v>3431</v>
      </c>
      <c r="K629">
        <v>3430</v>
      </c>
      <c r="L629" t="s">
        <v>1619</v>
      </c>
      <c r="M629">
        <v>4</v>
      </c>
      <c r="N629" t="s">
        <v>165</v>
      </c>
      <c r="O629" t="s">
        <v>165</v>
      </c>
      <c r="P629" t="s">
        <v>403</v>
      </c>
      <c r="Q629" t="s">
        <v>408</v>
      </c>
      <c r="R629" t="s">
        <v>562</v>
      </c>
      <c r="S629">
        <v>2014</v>
      </c>
      <c r="T629">
        <v>11</v>
      </c>
      <c r="U629" t="s">
        <v>408</v>
      </c>
      <c r="V629" t="s">
        <v>513</v>
      </c>
      <c r="W629">
        <v>2017</v>
      </c>
      <c r="X629">
        <v>9</v>
      </c>
      <c r="Y629" t="s">
        <v>370</v>
      </c>
      <c r="Z629">
        <v>2017</v>
      </c>
      <c r="AA629">
        <v>2017</v>
      </c>
      <c r="AB629" s="5">
        <v>0.12579897462799999</v>
      </c>
      <c r="AC629" s="5">
        <v>0.25159794925599999</v>
      </c>
      <c r="AD629" t="s">
        <v>408</v>
      </c>
      <c r="AE629" t="s">
        <v>152</v>
      </c>
      <c r="AF629" t="s">
        <v>408</v>
      </c>
      <c r="AG629" t="s">
        <v>408</v>
      </c>
      <c r="AH629" t="s">
        <v>408</v>
      </c>
      <c r="AI629" t="s">
        <v>408</v>
      </c>
      <c r="AJ629" t="s">
        <v>408</v>
      </c>
      <c r="AK629" t="s">
        <v>408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 s="58">
        <f t="shared" si="9"/>
        <v>1</v>
      </c>
      <c r="AU629" s="79">
        <v>43353</v>
      </c>
      <c r="AV629" t="s">
        <v>410</v>
      </c>
      <c r="AW629" t="s">
        <v>152</v>
      </c>
      <c r="AX629">
        <v>2</v>
      </c>
      <c r="AY629" t="s">
        <v>412</v>
      </c>
      <c r="AZ629" t="s">
        <v>408</v>
      </c>
    </row>
    <row r="630" spans="1:52" x14ac:dyDescent="0.3">
      <c r="A630">
        <v>619</v>
      </c>
      <c r="B630" t="s">
        <v>720</v>
      </c>
      <c r="C630" t="s">
        <v>152</v>
      </c>
      <c r="D630" t="s">
        <v>721</v>
      </c>
      <c r="E630" t="s">
        <v>460</v>
      </c>
      <c r="F630" t="s">
        <v>408</v>
      </c>
      <c r="G630">
        <v>1825</v>
      </c>
      <c r="H630">
        <v>1826</v>
      </c>
      <c r="I630" t="s">
        <v>1191</v>
      </c>
      <c r="J630">
        <v>1958</v>
      </c>
      <c r="K630">
        <v>1959</v>
      </c>
      <c r="L630" t="s">
        <v>479</v>
      </c>
      <c r="M630">
        <v>2</v>
      </c>
      <c r="N630" t="s">
        <v>165</v>
      </c>
      <c r="O630" t="s">
        <v>165</v>
      </c>
      <c r="P630" t="s">
        <v>403</v>
      </c>
      <c r="Q630" t="s">
        <v>408</v>
      </c>
      <c r="R630" t="s">
        <v>885</v>
      </c>
      <c r="S630">
        <v>2013</v>
      </c>
      <c r="T630">
        <v>9</v>
      </c>
      <c r="U630" t="s">
        <v>408</v>
      </c>
      <c r="V630" t="s">
        <v>511</v>
      </c>
      <c r="W630">
        <v>2018</v>
      </c>
      <c r="X630">
        <v>8</v>
      </c>
      <c r="Y630" t="s">
        <v>1400</v>
      </c>
      <c r="Z630">
        <v>2018</v>
      </c>
      <c r="AA630">
        <v>2014</v>
      </c>
      <c r="AB630" s="5">
        <v>0.18817901197199999</v>
      </c>
      <c r="AC630" s="5">
        <v>0.37635802394399998</v>
      </c>
      <c r="AD630" t="s">
        <v>408</v>
      </c>
      <c r="AE630" t="s">
        <v>152</v>
      </c>
      <c r="AF630" t="s">
        <v>408</v>
      </c>
      <c r="AG630" t="s">
        <v>408</v>
      </c>
      <c r="AH630" t="s">
        <v>408</v>
      </c>
      <c r="AI630" t="s">
        <v>408</v>
      </c>
      <c r="AJ630" t="s">
        <v>408</v>
      </c>
      <c r="AK630" t="s">
        <v>408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 s="58">
        <f t="shared" si="9"/>
        <v>1</v>
      </c>
      <c r="AU630" s="79">
        <v>43363</v>
      </c>
      <c r="AV630" t="s">
        <v>410</v>
      </c>
      <c r="AW630" t="s">
        <v>152</v>
      </c>
      <c r="AX630">
        <v>2</v>
      </c>
      <c r="AY630" t="s">
        <v>412</v>
      </c>
      <c r="AZ630" t="s">
        <v>408</v>
      </c>
    </row>
    <row r="631" spans="1:52" x14ac:dyDescent="0.3">
      <c r="A631">
        <v>620</v>
      </c>
      <c r="B631" t="s">
        <v>720</v>
      </c>
      <c r="C631" t="s">
        <v>152</v>
      </c>
      <c r="D631" t="s">
        <v>721</v>
      </c>
      <c r="E631" t="s">
        <v>460</v>
      </c>
      <c r="F631" t="s">
        <v>408</v>
      </c>
      <c r="G631">
        <v>1600</v>
      </c>
      <c r="H631">
        <v>1601</v>
      </c>
      <c r="I631" t="s">
        <v>541</v>
      </c>
      <c r="J631">
        <v>1650</v>
      </c>
      <c r="K631">
        <v>1651</v>
      </c>
      <c r="L631" t="s">
        <v>1620</v>
      </c>
      <c r="M631">
        <v>2</v>
      </c>
      <c r="N631" t="s">
        <v>165</v>
      </c>
      <c r="O631" t="s">
        <v>165</v>
      </c>
      <c r="P631" t="s">
        <v>403</v>
      </c>
      <c r="Q631" t="s">
        <v>408</v>
      </c>
      <c r="R631" t="s">
        <v>885</v>
      </c>
      <c r="S631">
        <v>2013</v>
      </c>
      <c r="T631">
        <v>9</v>
      </c>
      <c r="U631" t="s">
        <v>408</v>
      </c>
      <c r="V631" t="s">
        <v>511</v>
      </c>
      <c r="W631">
        <v>2018</v>
      </c>
      <c r="X631">
        <v>8</v>
      </c>
      <c r="Y631" t="s">
        <v>1400</v>
      </c>
      <c r="Z631">
        <v>2018</v>
      </c>
      <c r="AA631">
        <v>2014</v>
      </c>
      <c r="AB631" s="5">
        <v>0.127744805771</v>
      </c>
      <c r="AC631" s="5">
        <v>0.25548961154200001</v>
      </c>
      <c r="AD631" t="s">
        <v>408</v>
      </c>
      <c r="AE631" t="s">
        <v>152</v>
      </c>
      <c r="AF631" t="s">
        <v>408</v>
      </c>
      <c r="AG631" t="s">
        <v>408</v>
      </c>
      <c r="AH631" t="s">
        <v>408</v>
      </c>
      <c r="AI631" t="s">
        <v>408</v>
      </c>
      <c r="AJ631" t="s">
        <v>408</v>
      </c>
      <c r="AK631" t="s">
        <v>408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 s="58">
        <f t="shared" si="9"/>
        <v>1</v>
      </c>
      <c r="AU631" s="79">
        <v>43363</v>
      </c>
      <c r="AV631" s="78" t="s">
        <v>410</v>
      </c>
      <c r="AW631" t="s">
        <v>152</v>
      </c>
      <c r="AX631">
        <v>2</v>
      </c>
      <c r="AY631" t="s">
        <v>412</v>
      </c>
      <c r="AZ631" t="s">
        <v>408</v>
      </c>
    </row>
    <row r="632" spans="1:52" x14ac:dyDescent="0.3">
      <c r="A632">
        <v>621</v>
      </c>
      <c r="B632" t="s">
        <v>811</v>
      </c>
      <c r="C632" t="s">
        <v>154</v>
      </c>
      <c r="D632" t="s">
        <v>812</v>
      </c>
      <c r="E632" t="s">
        <v>399</v>
      </c>
      <c r="F632" t="s">
        <v>408</v>
      </c>
      <c r="G632">
        <v>2801</v>
      </c>
      <c r="H632">
        <v>2800</v>
      </c>
      <c r="I632" t="s">
        <v>683</v>
      </c>
      <c r="J632">
        <v>2701</v>
      </c>
      <c r="K632">
        <v>2700</v>
      </c>
      <c r="L632" t="s">
        <v>1152</v>
      </c>
      <c r="M632">
        <v>2</v>
      </c>
      <c r="N632" t="s">
        <v>167</v>
      </c>
      <c r="O632" t="s">
        <v>167</v>
      </c>
      <c r="P632" t="s">
        <v>420</v>
      </c>
      <c r="Q632" t="s">
        <v>408</v>
      </c>
      <c r="R632" t="s">
        <v>697</v>
      </c>
      <c r="S632">
        <v>1996</v>
      </c>
      <c r="T632">
        <v>8</v>
      </c>
      <c r="U632" t="s">
        <v>408</v>
      </c>
      <c r="V632" t="s">
        <v>1621</v>
      </c>
      <c r="W632">
        <v>2016</v>
      </c>
      <c r="X632">
        <v>7</v>
      </c>
      <c r="Y632" t="s">
        <v>370</v>
      </c>
      <c r="Z632">
        <v>2016</v>
      </c>
      <c r="AA632">
        <v>2016</v>
      </c>
      <c r="AB632" s="5">
        <v>0.191947076114</v>
      </c>
      <c r="AC632" s="5">
        <v>0.383894152228</v>
      </c>
      <c r="AD632" t="s">
        <v>408</v>
      </c>
      <c r="AE632" t="s">
        <v>152</v>
      </c>
      <c r="AF632" t="s">
        <v>408</v>
      </c>
      <c r="AG632" t="s">
        <v>408</v>
      </c>
      <c r="AH632" t="s">
        <v>408</v>
      </c>
      <c r="AI632" t="s">
        <v>408</v>
      </c>
      <c r="AJ632" t="s">
        <v>408</v>
      </c>
      <c r="AK632" t="s">
        <v>408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s="58">
        <f t="shared" si="9"/>
        <v>1</v>
      </c>
      <c r="AU632" s="79">
        <v>43354</v>
      </c>
      <c r="AV632" s="78" t="s">
        <v>410</v>
      </c>
      <c r="AW632" t="s">
        <v>408</v>
      </c>
      <c r="AX632">
        <v>2</v>
      </c>
      <c r="AY632" t="s">
        <v>412</v>
      </c>
      <c r="AZ632" t="s">
        <v>408</v>
      </c>
    </row>
    <row r="633" spans="1:52" x14ac:dyDescent="0.3">
      <c r="A633">
        <v>622</v>
      </c>
      <c r="B633" t="s">
        <v>811</v>
      </c>
      <c r="C633" t="s">
        <v>154</v>
      </c>
      <c r="D633" t="s">
        <v>812</v>
      </c>
      <c r="E633" t="s">
        <v>399</v>
      </c>
      <c r="F633" t="s">
        <v>408</v>
      </c>
      <c r="G633">
        <v>2457</v>
      </c>
      <c r="H633">
        <v>2456</v>
      </c>
      <c r="I633" t="s">
        <v>1153</v>
      </c>
      <c r="J633">
        <v>2401</v>
      </c>
      <c r="K633">
        <v>2400</v>
      </c>
      <c r="L633" t="s">
        <v>576</v>
      </c>
      <c r="M633">
        <v>2</v>
      </c>
      <c r="N633" t="s">
        <v>167</v>
      </c>
      <c r="O633" t="s">
        <v>167</v>
      </c>
      <c r="P633" t="s">
        <v>420</v>
      </c>
      <c r="Q633" t="s">
        <v>408</v>
      </c>
      <c r="R633" t="s">
        <v>697</v>
      </c>
      <c r="S633">
        <v>1996</v>
      </c>
      <c r="T633">
        <v>8</v>
      </c>
      <c r="U633" t="s">
        <v>408</v>
      </c>
      <c r="V633" t="s">
        <v>1621</v>
      </c>
      <c r="W633">
        <v>2016</v>
      </c>
      <c r="X633">
        <v>7</v>
      </c>
      <c r="Y633" t="s">
        <v>370</v>
      </c>
      <c r="Z633">
        <v>2016</v>
      </c>
      <c r="AA633">
        <v>2016</v>
      </c>
      <c r="AB633" s="5">
        <v>0.12565969104300001</v>
      </c>
      <c r="AC633" s="5">
        <v>0.25131938208600002</v>
      </c>
      <c r="AD633" t="s">
        <v>408</v>
      </c>
      <c r="AE633" t="s">
        <v>152</v>
      </c>
      <c r="AF633" t="s">
        <v>408</v>
      </c>
      <c r="AG633" t="s">
        <v>408</v>
      </c>
      <c r="AH633" t="s">
        <v>408</v>
      </c>
      <c r="AI633" t="s">
        <v>408</v>
      </c>
      <c r="AJ633" t="s">
        <v>408</v>
      </c>
      <c r="AK633" t="s">
        <v>408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 s="58">
        <f t="shared" si="9"/>
        <v>1</v>
      </c>
      <c r="AU633" s="79">
        <v>43354</v>
      </c>
      <c r="AV633" t="s">
        <v>410</v>
      </c>
      <c r="AW633" t="s">
        <v>408</v>
      </c>
      <c r="AX633">
        <v>2</v>
      </c>
      <c r="AY633" t="s">
        <v>412</v>
      </c>
      <c r="AZ633" t="s">
        <v>408</v>
      </c>
    </row>
    <row r="634" spans="1:52" x14ac:dyDescent="0.3">
      <c r="A634">
        <v>623</v>
      </c>
      <c r="B634" t="s">
        <v>1187</v>
      </c>
      <c r="C634" t="s">
        <v>154</v>
      </c>
      <c r="D634" t="s">
        <v>1234</v>
      </c>
      <c r="E634" t="s">
        <v>417</v>
      </c>
      <c r="F634" t="s">
        <v>400</v>
      </c>
      <c r="G634">
        <v>4000</v>
      </c>
      <c r="H634">
        <v>4001</v>
      </c>
      <c r="I634" t="s">
        <v>1236</v>
      </c>
      <c r="J634">
        <v>3000</v>
      </c>
      <c r="K634">
        <v>3001</v>
      </c>
      <c r="L634" t="s">
        <v>413</v>
      </c>
      <c r="M634">
        <v>0</v>
      </c>
      <c r="N634" t="s">
        <v>167</v>
      </c>
      <c r="O634" t="s">
        <v>569</v>
      </c>
      <c r="P634" t="s">
        <v>403</v>
      </c>
      <c r="Q634" t="s">
        <v>1622</v>
      </c>
      <c r="R634" t="s">
        <v>1623</v>
      </c>
      <c r="S634">
        <v>2022</v>
      </c>
      <c r="T634">
        <v>11</v>
      </c>
      <c r="U634" t="s">
        <v>408</v>
      </c>
      <c r="V634" t="s">
        <v>408</v>
      </c>
      <c r="W634">
        <v>0</v>
      </c>
      <c r="X634">
        <v>0</v>
      </c>
      <c r="Y634" t="s">
        <v>408</v>
      </c>
      <c r="Z634">
        <v>2022</v>
      </c>
      <c r="AA634">
        <v>0</v>
      </c>
      <c r="AB634" s="5">
        <v>1.2598184137799999</v>
      </c>
      <c r="AC634" s="5">
        <v>2.5196360000000002</v>
      </c>
      <c r="AD634" t="s">
        <v>408</v>
      </c>
      <c r="AE634" t="s">
        <v>400</v>
      </c>
      <c r="AF634" t="s">
        <v>400</v>
      </c>
      <c r="AG634" t="s">
        <v>400</v>
      </c>
      <c r="AH634" t="s">
        <v>400</v>
      </c>
      <c r="AI634" t="s">
        <v>400</v>
      </c>
      <c r="AJ634" t="s">
        <v>408</v>
      </c>
      <c r="AK634" t="s">
        <v>408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 s="58">
        <f t="shared" si="9"/>
        <v>1</v>
      </c>
      <c r="AU634" s="79" t="s">
        <v>666</v>
      </c>
      <c r="AV634" t="s">
        <v>410</v>
      </c>
      <c r="AW634" t="s">
        <v>400</v>
      </c>
      <c r="AX634">
        <v>2</v>
      </c>
      <c r="AY634" t="s">
        <v>412</v>
      </c>
      <c r="AZ634">
        <v>30</v>
      </c>
    </row>
    <row r="635" spans="1:52" x14ac:dyDescent="0.3">
      <c r="A635">
        <v>624</v>
      </c>
      <c r="B635" t="s">
        <v>1581</v>
      </c>
      <c r="C635" t="s">
        <v>155</v>
      </c>
      <c r="D635" t="s">
        <v>1582</v>
      </c>
      <c r="E635" t="s">
        <v>460</v>
      </c>
      <c r="F635" t="s">
        <v>400</v>
      </c>
      <c r="G635">
        <v>5900</v>
      </c>
      <c r="H635">
        <v>5901</v>
      </c>
      <c r="I635" t="s">
        <v>1624</v>
      </c>
      <c r="J635">
        <v>5600</v>
      </c>
      <c r="K635">
        <v>5601</v>
      </c>
      <c r="L635" t="s">
        <v>1625</v>
      </c>
      <c r="M635">
        <v>2</v>
      </c>
      <c r="N635" t="s">
        <v>165</v>
      </c>
      <c r="O635" t="s">
        <v>165</v>
      </c>
      <c r="P635" t="s">
        <v>420</v>
      </c>
      <c r="Q635" t="s">
        <v>408</v>
      </c>
      <c r="R635" t="s">
        <v>596</v>
      </c>
      <c r="S635">
        <v>2022</v>
      </c>
      <c r="T635">
        <v>8</v>
      </c>
      <c r="U635" t="s">
        <v>408</v>
      </c>
      <c r="V635" t="s">
        <v>408</v>
      </c>
      <c r="W635">
        <v>0</v>
      </c>
      <c r="X635">
        <v>0</v>
      </c>
      <c r="Y635" t="s">
        <v>408</v>
      </c>
      <c r="Z635">
        <v>2022</v>
      </c>
      <c r="AA635">
        <v>2022</v>
      </c>
      <c r="AB635" s="5">
        <v>0.378463364192</v>
      </c>
      <c r="AC635" s="5">
        <v>0.75692672838499997</v>
      </c>
      <c r="AD635" t="s">
        <v>400</v>
      </c>
      <c r="AE635" t="s">
        <v>400</v>
      </c>
      <c r="AF635" t="s">
        <v>400</v>
      </c>
      <c r="AG635" t="s">
        <v>400</v>
      </c>
      <c r="AH635" t="s">
        <v>400</v>
      </c>
      <c r="AI635" t="s">
        <v>400</v>
      </c>
      <c r="AJ635" t="s">
        <v>400</v>
      </c>
      <c r="AK635" t="s">
        <v>400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 s="58">
        <f t="shared" si="9"/>
        <v>1</v>
      </c>
      <c r="AU635" s="79" t="s">
        <v>597</v>
      </c>
      <c r="AV635" s="78" t="s">
        <v>410</v>
      </c>
      <c r="AW635" t="s">
        <v>400</v>
      </c>
      <c r="AX635">
        <v>2</v>
      </c>
      <c r="AY635" t="s">
        <v>412</v>
      </c>
      <c r="AZ635">
        <v>30</v>
      </c>
    </row>
    <row r="636" spans="1:52" x14ac:dyDescent="0.3">
      <c r="A636">
        <v>625</v>
      </c>
      <c r="B636" t="s">
        <v>1626</v>
      </c>
      <c r="C636" t="s">
        <v>152</v>
      </c>
      <c r="D636" t="s">
        <v>861</v>
      </c>
      <c r="E636" t="s">
        <v>460</v>
      </c>
      <c r="F636" t="s">
        <v>152</v>
      </c>
      <c r="G636">
        <v>5124</v>
      </c>
      <c r="H636">
        <v>5125</v>
      </c>
      <c r="I636" t="s">
        <v>593</v>
      </c>
      <c r="J636">
        <v>5100</v>
      </c>
      <c r="K636">
        <v>5101</v>
      </c>
      <c r="L636" t="s">
        <v>862</v>
      </c>
      <c r="M636">
        <v>4</v>
      </c>
      <c r="N636" t="s">
        <v>165</v>
      </c>
      <c r="O636" t="s">
        <v>165</v>
      </c>
      <c r="P636" t="s">
        <v>420</v>
      </c>
      <c r="Q636" t="s">
        <v>408</v>
      </c>
      <c r="R636" t="s">
        <v>601</v>
      </c>
      <c r="S636">
        <v>2018</v>
      </c>
      <c r="T636">
        <v>10</v>
      </c>
      <c r="U636" t="s">
        <v>408</v>
      </c>
      <c r="V636" t="s">
        <v>408</v>
      </c>
      <c r="W636">
        <v>0</v>
      </c>
      <c r="X636">
        <v>0</v>
      </c>
      <c r="Y636" t="s">
        <v>864</v>
      </c>
      <c r="Z636">
        <v>2018</v>
      </c>
      <c r="AA636">
        <v>0</v>
      </c>
      <c r="AB636" s="5">
        <v>2.5955997658699999E-2</v>
      </c>
      <c r="AC636" s="5">
        <v>2.5955997658699999E-2</v>
      </c>
      <c r="AD636" t="s">
        <v>408</v>
      </c>
      <c r="AE636" t="s">
        <v>411</v>
      </c>
      <c r="AF636" t="s">
        <v>152</v>
      </c>
      <c r="AG636" t="s">
        <v>152</v>
      </c>
      <c r="AH636" t="s">
        <v>408</v>
      </c>
      <c r="AI636" t="s">
        <v>408</v>
      </c>
      <c r="AJ636" t="s">
        <v>408</v>
      </c>
      <c r="AK636" t="s">
        <v>408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0</v>
      </c>
      <c r="AT636" s="58">
        <f t="shared" si="9"/>
        <v>1</v>
      </c>
      <c r="AU636" s="79">
        <v>43374</v>
      </c>
      <c r="AV636" s="78" t="s">
        <v>410</v>
      </c>
      <c r="AW636" t="s">
        <v>411</v>
      </c>
      <c r="AX636">
        <v>2</v>
      </c>
      <c r="AY636" t="s">
        <v>412</v>
      </c>
      <c r="AZ636" t="s">
        <v>408</v>
      </c>
    </row>
    <row r="637" spans="1:52" x14ac:dyDescent="0.3">
      <c r="A637">
        <v>626</v>
      </c>
      <c r="B637" t="s">
        <v>861</v>
      </c>
      <c r="C637" t="s">
        <v>155</v>
      </c>
      <c r="D637" t="s">
        <v>861</v>
      </c>
      <c r="E637" t="s">
        <v>460</v>
      </c>
      <c r="F637" t="s">
        <v>408</v>
      </c>
      <c r="G637">
        <v>5444</v>
      </c>
      <c r="H637">
        <v>5445</v>
      </c>
      <c r="I637" t="s">
        <v>451</v>
      </c>
      <c r="J637">
        <v>5124</v>
      </c>
      <c r="K637">
        <v>5125</v>
      </c>
      <c r="L637" t="s">
        <v>593</v>
      </c>
      <c r="M637">
        <v>4</v>
      </c>
      <c r="N637" t="s">
        <v>170</v>
      </c>
      <c r="O637" t="s">
        <v>170</v>
      </c>
      <c r="P637" t="s">
        <v>414</v>
      </c>
      <c r="Q637" t="s">
        <v>408</v>
      </c>
      <c r="R637" t="s">
        <v>601</v>
      </c>
      <c r="S637">
        <v>0</v>
      </c>
      <c r="T637">
        <v>0</v>
      </c>
      <c r="U637" t="s">
        <v>1627</v>
      </c>
      <c r="V637" t="s">
        <v>408</v>
      </c>
      <c r="W637">
        <v>0</v>
      </c>
      <c r="X637">
        <v>0</v>
      </c>
      <c r="Y637" t="s">
        <v>408</v>
      </c>
      <c r="Z637">
        <v>2018</v>
      </c>
      <c r="AA637">
        <v>0</v>
      </c>
      <c r="AB637" s="5">
        <v>0.46072357436099998</v>
      </c>
      <c r="AC637" s="5">
        <v>0.92144714872199995</v>
      </c>
      <c r="AD637" t="s">
        <v>408</v>
      </c>
      <c r="AE637" t="s">
        <v>152</v>
      </c>
      <c r="AF637" t="s">
        <v>408</v>
      </c>
      <c r="AG637" t="s">
        <v>408</v>
      </c>
      <c r="AH637" t="s">
        <v>408</v>
      </c>
      <c r="AI637" t="s">
        <v>408</v>
      </c>
      <c r="AJ637" t="s">
        <v>408</v>
      </c>
      <c r="AK637" t="s">
        <v>408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0</v>
      </c>
      <c r="AT637" s="58">
        <f t="shared" si="9"/>
        <v>1</v>
      </c>
      <c r="AU637" s="79">
        <v>43374</v>
      </c>
      <c r="AV637" s="78" t="s">
        <v>410</v>
      </c>
      <c r="AW637" t="s">
        <v>408</v>
      </c>
      <c r="AX637">
        <v>3</v>
      </c>
      <c r="AY637" t="s">
        <v>1579</v>
      </c>
      <c r="AZ637" t="s">
        <v>408</v>
      </c>
    </row>
    <row r="638" spans="1:52" x14ac:dyDescent="0.3">
      <c r="A638">
        <v>627</v>
      </c>
      <c r="B638" t="s">
        <v>432</v>
      </c>
      <c r="C638" t="s">
        <v>154</v>
      </c>
      <c r="D638" t="s">
        <v>433</v>
      </c>
      <c r="E638" t="s">
        <v>417</v>
      </c>
      <c r="F638" t="s">
        <v>408</v>
      </c>
      <c r="G638">
        <v>1600</v>
      </c>
      <c r="H638">
        <v>1601</v>
      </c>
      <c r="I638" t="s">
        <v>1628</v>
      </c>
      <c r="J638">
        <v>800</v>
      </c>
      <c r="K638">
        <v>801</v>
      </c>
      <c r="L638" t="s">
        <v>477</v>
      </c>
      <c r="M638">
        <v>3</v>
      </c>
      <c r="N638" t="s">
        <v>165</v>
      </c>
      <c r="O638" t="s">
        <v>165</v>
      </c>
      <c r="P638" t="s">
        <v>420</v>
      </c>
      <c r="Q638" t="s">
        <v>408</v>
      </c>
      <c r="R638" t="s">
        <v>601</v>
      </c>
      <c r="S638">
        <v>2018</v>
      </c>
      <c r="T638">
        <v>0</v>
      </c>
      <c r="U638" t="s">
        <v>408</v>
      </c>
      <c r="V638" t="s">
        <v>408</v>
      </c>
      <c r="W638">
        <v>0</v>
      </c>
      <c r="X638">
        <v>0</v>
      </c>
      <c r="Y638" t="s">
        <v>408</v>
      </c>
      <c r="Z638">
        <v>2018</v>
      </c>
      <c r="AA638">
        <v>0</v>
      </c>
      <c r="AB638" s="5">
        <v>1.0052292762499999</v>
      </c>
      <c r="AC638" s="5">
        <v>2.0104585524999998</v>
      </c>
      <c r="AD638" t="s">
        <v>408</v>
      </c>
      <c r="AE638" t="s">
        <v>152</v>
      </c>
      <c r="AF638" t="s">
        <v>408</v>
      </c>
      <c r="AG638" t="s">
        <v>408</v>
      </c>
      <c r="AH638" t="s">
        <v>408</v>
      </c>
      <c r="AI638" t="s">
        <v>408</v>
      </c>
      <c r="AJ638" t="s">
        <v>408</v>
      </c>
      <c r="AK638" t="s">
        <v>408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 s="58">
        <f t="shared" si="9"/>
        <v>1</v>
      </c>
      <c r="AU638" s="79">
        <v>43374</v>
      </c>
      <c r="AV638" s="78" t="s">
        <v>410</v>
      </c>
      <c r="AW638" t="s">
        <v>152</v>
      </c>
      <c r="AX638">
        <v>2</v>
      </c>
      <c r="AY638" t="s">
        <v>412</v>
      </c>
      <c r="AZ638" t="s">
        <v>408</v>
      </c>
    </row>
    <row r="639" spans="1:52" x14ac:dyDescent="0.3">
      <c r="A639">
        <v>628</v>
      </c>
      <c r="B639" t="s">
        <v>1592</v>
      </c>
      <c r="C639" t="s">
        <v>154</v>
      </c>
      <c r="D639" t="s">
        <v>1593</v>
      </c>
      <c r="E639" t="s">
        <v>417</v>
      </c>
      <c r="F639" t="s">
        <v>408</v>
      </c>
      <c r="G639">
        <v>1300</v>
      </c>
      <c r="H639">
        <v>1301</v>
      </c>
      <c r="I639" t="s">
        <v>509</v>
      </c>
      <c r="J639">
        <v>526</v>
      </c>
      <c r="K639">
        <v>525</v>
      </c>
      <c r="L639" t="s">
        <v>1629</v>
      </c>
      <c r="M639">
        <v>2</v>
      </c>
      <c r="N639" t="s">
        <v>165</v>
      </c>
      <c r="O639" t="s">
        <v>165</v>
      </c>
      <c r="P639" t="s">
        <v>420</v>
      </c>
      <c r="Q639" t="s">
        <v>408</v>
      </c>
      <c r="R639" t="s">
        <v>756</v>
      </c>
      <c r="S639">
        <v>2018</v>
      </c>
      <c r="T639">
        <v>0</v>
      </c>
      <c r="U639" t="s">
        <v>408</v>
      </c>
      <c r="V639" t="s">
        <v>408</v>
      </c>
      <c r="W639">
        <v>0</v>
      </c>
      <c r="X639">
        <v>0</v>
      </c>
      <c r="Y639" t="s">
        <v>408</v>
      </c>
      <c r="Z639">
        <v>2018</v>
      </c>
      <c r="AA639">
        <v>0</v>
      </c>
      <c r="AB639" s="5">
        <v>0.99601104039900001</v>
      </c>
      <c r="AC639" s="5">
        <v>1.9920220808</v>
      </c>
      <c r="AD639" t="s">
        <v>408</v>
      </c>
      <c r="AE639" t="s">
        <v>152</v>
      </c>
      <c r="AF639" t="s">
        <v>408</v>
      </c>
      <c r="AG639" t="s">
        <v>408</v>
      </c>
      <c r="AH639" t="s">
        <v>408</v>
      </c>
      <c r="AI639" t="s">
        <v>408</v>
      </c>
      <c r="AJ639" t="s">
        <v>408</v>
      </c>
      <c r="AK639" t="s">
        <v>408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 s="58">
        <f t="shared" si="9"/>
        <v>1</v>
      </c>
      <c r="AU639" s="79" t="s">
        <v>499</v>
      </c>
      <c r="AV639" s="78" t="s">
        <v>410</v>
      </c>
      <c r="AW639" t="s">
        <v>152</v>
      </c>
      <c r="AX639">
        <v>2</v>
      </c>
      <c r="AY639" t="s">
        <v>412</v>
      </c>
      <c r="AZ639" t="s">
        <v>408</v>
      </c>
    </row>
    <row r="640" spans="1:52" x14ac:dyDescent="0.3">
      <c r="A640">
        <v>629</v>
      </c>
      <c r="B640" t="s">
        <v>1336</v>
      </c>
      <c r="C640" t="s">
        <v>152</v>
      </c>
      <c r="D640" t="s">
        <v>1337</v>
      </c>
      <c r="E640" t="s">
        <v>460</v>
      </c>
      <c r="F640" t="s">
        <v>408</v>
      </c>
      <c r="G640">
        <v>6400</v>
      </c>
      <c r="H640">
        <v>6401</v>
      </c>
      <c r="I640" t="s">
        <v>613</v>
      </c>
      <c r="J640">
        <v>6800</v>
      </c>
      <c r="K640">
        <v>6801</v>
      </c>
      <c r="L640" t="s">
        <v>1216</v>
      </c>
      <c r="M640">
        <v>4</v>
      </c>
      <c r="N640" t="s">
        <v>168</v>
      </c>
      <c r="O640" t="s">
        <v>170</v>
      </c>
      <c r="P640" t="s">
        <v>420</v>
      </c>
      <c r="Q640" t="s">
        <v>408</v>
      </c>
      <c r="R640" t="s">
        <v>1630</v>
      </c>
      <c r="S640">
        <v>2018</v>
      </c>
      <c r="T640">
        <v>11</v>
      </c>
      <c r="U640" t="s">
        <v>408</v>
      </c>
      <c r="V640" t="s">
        <v>408</v>
      </c>
      <c r="W640">
        <v>0</v>
      </c>
      <c r="X640">
        <v>0</v>
      </c>
      <c r="Y640" t="s">
        <v>408</v>
      </c>
      <c r="Z640">
        <v>2018</v>
      </c>
      <c r="AA640">
        <v>0</v>
      </c>
      <c r="AB640" s="5">
        <v>0.50577727894199997</v>
      </c>
      <c r="AC640" s="5">
        <v>1.01155455788</v>
      </c>
      <c r="AD640" t="s">
        <v>1342</v>
      </c>
      <c r="AE640" t="s">
        <v>152</v>
      </c>
      <c r="AF640" t="s">
        <v>408</v>
      </c>
      <c r="AG640" t="s">
        <v>408</v>
      </c>
      <c r="AH640" t="s">
        <v>408</v>
      </c>
      <c r="AI640" t="s">
        <v>408</v>
      </c>
      <c r="AJ640" t="s">
        <v>408</v>
      </c>
      <c r="AK640" t="s">
        <v>408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s="58">
        <f t="shared" si="9"/>
        <v>1</v>
      </c>
      <c r="AU640" s="79">
        <v>43374</v>
      </c>
      <c r="AV640" t="s">
        <v>410</v>
      </c>
      <c r="AW640" t="s">
        <v>408</v>
      </c>
      <c r="AX640">
        <v>3</v>
      </c>
      <c r="AY640" t="s">
        <v>17</v>
      </c>
      <c r="AZ640">
        <v>20</v>
      </c>
    </row>
    <row r="641" spans="1:52" x14ac:dyDescent="0.3">
      <c r="A641">
        <v>630</v>
      </c>
      <c r="B641" t="s">
        <v>1631</v>
      </c>
      <c r="C641" t="s">
        <v>152</v>
      </c>
      <c r="D641" t="s">
        <v>1632</v>
      </c>
      <c r="E641" t="s">
        <v>460</v>
      </c>
      <c r="F641" t="s">
        <v>408</v>
      </c>
      <c r="G641">
        <v>6800</v>
      </c>
      <c r="H641">
        <v>6801</v>
      </c>
      <c r="I641" t="s">
        <v>1633</v>
      </c>
      <c r="J641">
        <v>7654</v>
      </c>
      <c r="K641">
        <v>7655</v>
      </c>
      <c r="L641" t="s">
        <v>1634</v>
      </c>
      <c r="M641">
        <v>4</v>
      </c>
      <c r="N641" t="s">
        <v>168</v>
      </c>
      <c r="O641" t="s">
        <v>170</v>
      </c>
      <c r="P641" t="s">
        <v>420</v>
      </c>
      <c r="Q641" t="s">
        <v>408</v>
      </c>
      <c r="R641" t="s">
        <v>1630</v>
      </c>
      <c r="S641">
        <v>2018</v>
      </c>
      <c r="T641">
        <v>11</v>
      </c>
      <c r="U641" t="s">
        <v>408</v>
      </c>
      <c r="V641" t="s">
        <v>408</v>
      </c>
      <c r="W641">
        <v>0</v>
      </c>
      <c r="X641">
        <v>0</v>
      </c>
      <c r="Y641" t="s">
        <v>408</v>
      </c>
      <c r="Z641">
        <v>2018</v>
      </c>
      <c r="AA641">
        <v>0</v>
      </c>
      <c r="AB641" s="5">
        <v>0.99973056101900004</v>
      </c>
      <c r="AC641" s="5">
        <v>1.99946112204</v>
      </c>
      <c r="AD641" t="s">
        <v>1342</v>
      </c>
      <c r="AE641" t="s">
        <v>152</v>
      </c>
      <c r="AF641" t="s">
        <v>408</v>
      </c>
      <c r="AG641" t="s">
        <v>408</v>
      </c>
      <c r="AH641" t="s">
        <v>408</v>
      </c>
      <c r="AI641" t="s">
        <v>408</v>
      </c>
      <c r="AJ641" t="s">
        <v>408</v>
      </c>
      <c r="AK641" t="s">
        <v>408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s="58">
        <f t="shared" si="9"/>
        <v>1</v>
      </c>
      <c r="AU641" s="79">
        <v>43374</v>
      </c>
      <c r="AV641" t="s">
        <v>410</v>
      </c>
      <c r="AW641" t="s">
        <v>408</v>
      </c>
      <c r="AX641">
        <v>3</v>
      </c>
      <c r="AY641" t="s">
        <v>17</v>
      </c>
      <c r="AZ641">
        <v>20</v>
      </c>
    </row>
    <row r="642" spans="1:52" x14ac:dyDescent="0.3">
      <c r="A642">
        <v>631</v>
      </c>
      <c r="B642" t="s">
        <v>1635</v>
      </c>
      <c r="C642" t="s">
        <v>154</v>
      </c>
      <c r="D642" t="s">
        <v>1636</v>
      </c>
      <c r="E642" t="s">
        <v>1637</v>
      </c>
      <c r="F642" t="s">
        <v>408</v>
      </c>
      <c r="G642">
        <v>1654</v>
      </c>
      <c r="H642">
        <v>1655</v>
      </c>
      <c r="I642" t="s">
        <v>728</v>
      </c>
      <c r="J642">
        <v>1442</v>
      </c>
      <c r="K642">
        <v>1443</v>
      </c>
      <c r="L642" t="s">
        <v>928</v>
      </c>
      <c r="M642">
        <v>4</v>
      </c>
      <c r="N642" t="s">
        <v>168</v>
      </c>
      <c r="O642" t="s">
        <v>170</v>
      </c>
      <c r="P642" t="s">
        <v>420</v>
      </c>
      <c r="Q642" t="s">
        <v>408</v>
      </c>
      <c r="R642" t="s">
        <v>1630</v>
      </c>
      <c r="S642">
        <v>2018</v>
      </c>
      <c r="T642">
        <v>11</v>
      </c>
      <c r="U642" t="s">
        <v>408</v>
      </c>
      <c r="V642" t="s">
        <v>408</v>
      </c>
      <c r="W642">
        <v>0</v>
      </c>
      <c r="X642">
        <v>0</v>
      </c>
      <c r="Y642" t="s">
        <v>408</v>
      </c>
      <c r="Z642">
        <v>2018</v>
      </c>
      <c r="AA642">
        <v>0</v>
      </c>
      <c r="AB642" s="5">
        <v>0.249211348049</v>
      </c>
      <c r="AC642" s="5">
        <v>0.498422696098</v>
      </c>
      <c r="AD642" t="s">
        <v>1342</v>
      </c>
      <c r="AE642" t="s">
        <v>152</v>
      </c>
      <c r="AF642" t="s">
        <v>408</v>
      </c>
      <c r="AG642" t="s">
        <v>408</v>
      </c>
      <c r="AH642" t="s">
        <v>408</v>
      </c>
      <c r="AI642" t="s">
        <v>408</v>
      </c>
      <c r="AJ642" t="s">
        <v>408</v>
      </c>
      <c r="AK642" t="s">
        <v>408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s="58">
        <f t="shared" si="9"/>
        <v>1</v>
      </c>
      <c r="AU642" s="79">
        <v>43374</v>
      </c>
      <c r="AV642" t="s">
        <v>410</v>
      </c>
      <c r="AW642" t="s">
        <v>408</v>
      </c>
      <c r="AX642">
        <v>3</v>
      </c>
      <c r="AY642" t="s">
        <v>17</v>
      </c>
      <c r="AZ642">
        <v>20</v>
      </c>
    </row>
    <row r="643" spans="1:52" x14ac:dyDescent="0.3">
      <c r="A643">
        <v>632</v>
      </c>
      <c r="B643" t="s">
        <v>1638</v>
      </c>
      <c r="C643" t="s">
        <v>152</v>
      </c>
      <c r="D643" t="s">
        <v>1639</v>
      </c>
      <c r="E643" t="s">
        <v>417</v>
      </c>
      <c r="F643" t="s">
        <v>408</v>
      </c>
      <c r="G643">
        <v>7700</v>
      </c>
      <c r="H643">
        <v>7701</v>
      </c>
      <c r="I643" t="s">
        <v>1634</v>
      </c>
      <c r="J643">
        <v>7750</v>
      </c>
      <c r="K643">
        <v>7751</v>
      </c>
      <c r="L643" t="s">
        <v>1640</v>
      </c>
      <c r="M643">
        <v>4</v>
      </c>
      <c r="N643" t="s">
        <v>168</v>
      </c>
      <c r="O643" t="s">
        <v>170</v>
      </c>
      <c r="P643" t="s">
        <v>420</v>
      </c>
      <c r="Q643" t="s">
        <v>408</v>
      </c>
      <c r="R643" t="s">
        <v>1630</v>
      </c>
      <c r="S643">
        <v>2018</v>
      </c>
      <c r="T643">
        <v>11</v>
      </c>
      <c r="U643" t="s">
        <v>408</v>
      </c>
      <c r="V643" t="s">
        <v>408</v>
      </c>
      <c r="W643">
        <v>0</v>
      </c>
      <c r="X643">
        <v>0</v>
      </c>
      <c r="Y643" t="s">
        <v>408</v>
      </c>
      <c r="Z643">
        <v>2018</v>
      </c>
      <c r="AA643">
        <v>0</v>
      </c>
      <c r="AB643" s="5">
        <v>9.3508118143599994E-2</v>
      </c>
      <c r="AC643" s="5">
        <v>0.18701623628700001</v>
      </c>
      <c r="AD643" t="s">
        <v>1342</v>
      </c>
      <c r="AE643" t="s">
        <v>152</v>
      </c>
      <c r="AF643" t="s">
        <v>408</v>
      </c>
      <c r="AG643" t="s">
        <v>408</v>
      </c>
      <c r="AH643" t="s">
        <v>408</v>
      </c>
      <c r="AI643" t="s">
        <v>408</v>
      </c>
      <c r="AJ643" t="s">
        <v>408</v>
      </c>
      <c r="AK643" t="s">
        <v>408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s="58">
        <f t="shared" si="9"/>
        <v>1</v>
      </c>
      <c r="AU643" s="79">
        <v>43374</v>
      </c>
      <c r="AV643" s="78" t="s">
        <v>410</v>
      </c>
      <c r="AW643" t="s">
        <v>408</v>
      </c>
      <c r="AX643">
        <v>3</v>
      </c>
      <c r="AY643" t="s">
        <v>17</v>
      </c>
      <c r="AZ643">
        <v>20</v>
      </c>
    </row>
    <row r="644" spans="1:52" x14ac:dyDescent="0.3">
      <c r="A644">
        <v>633</v>
      </c>
      <c r="B644" t="s">
        <v>1641</v>
      </c>
      <c r="C644" t="s">
        <v>154</v>
      </c>
      <c r="D644" t="s">
        <v>1642</v>
      </c>
      <c r="E644" t="s">
        <v>1637</v>
      </c>
      <c r="F644" t="s">
        <v>447</v>
      </c>
      <c r="G644">
        <v>1850</v>
      </c>
      <c r="H644">
        <v>1851</v>
      </c>
      <c r="I644" t="s">
        <v>1643</v>
      </c>
      <c r="J644">
        <v>1700</v>
      </c>
      <c r="K644">
        <v>1701</v>
      </c>
      <c r="L644" t="s">
        <v>728</v>
      </c>
      <c r="M644">
        <v>4</v>
      </c>
      <c r="N644" t="s">
        <v>168</v>
      </c>
      <c r="O644" t="s">
        <v>170</v>
      </c>
      <c r="P644" t="s">
        <v>420</v>
      </c>
      <c r="Q644" t="s">
        <v>408</v>
      </c>
      <c r="R644" t="s">
        <v>1630</v>
      </c>
      <c r="S644">
        <v>2018</v>
      </c>
      <c r="T644">
        <v>11</v>
      </c>
      <c r="U644" t="s">
        <v>376</v>
      </c>
      <c r="V644" t="s">
        <v>408</v>
      </c>
      <c r="W644">
        <v>0</v>
      </c>
      <c r="X644">
        <v>0</v>
      </c>
      <c r="Y644" t="s">
        <v>408</v>
      </c>
      <c r="Z644">
        <v>2018</v>
      </c>
      <c r="AA644">
        <v>0</v>
      </c>
      <c r="AB644" s="5">
        <v>0.18772413162000001</v>
      </c>
      <c r="AC644" s="5">
        <v>0.37544826324000002</v>
      </c>
      <c r="AD644" t="s">
        <v>1342</v>
      </c>
      <c r="AE644" t="s">
        <v>152</v>
      </c>
      <c r="AF644" t="s">
        <v>408</v>
      </c>
      <c r="AG644" t="s">
        <v>411</v>
      </c>
      <c r="AH644" t="s">
        <v>408</v>
      </c>
      <c r="AI644" t="s">
        <v>408</v>
      </c>
      <c r="AJ644" t="s">
        <v>408</v>
      </c>
      <c r="AK644" t="s">
        <v>408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s="58">
        <f t="shared" si="9"/>
        <v>1</v>
      </c>
      <c r="AU644" s="79">
        <v>43374</v>
      </c>
      <c r="AV644" s="78" t="s">
        <v>410</v>
      </c>
      <c r="AW644" t="s">
        <v>408</v>
      </c>
      <c r="AX644">
        <v>3</v>
      </c>
      <c r="AY644" t="s">
        <v>17</v>
      </c>
      <c r="AZ644">
        <v>20</v>
      </c>
    </row>
    <row r="645" spans="1:52" x14ac:dyDescent="0.3">
      <c r="A645">
        <v>634</v>
      </c>
      <c r="B645" t="s">
        <v>1644</v>
      </c>
      <c r="C645" t="s">
        <v>152</v>
      </c>
      <c r="D645" t="s">
        <v>1645</v>
      </c>
      <c r="E645" t="s">
        <v>460</v>
      </c>
      <c r="F645" t="s">
        <v>408</v>
      </c>
      <c r="G645">
        <v>4400</v>
      </c>
      <c r="H645">
        <v>4401</v>
      </c>
      <c r="I645" t="s">
        <v>685</v>
      </c>
      <c r="J645">
        <v>4800</v>
      </c>
      <c r="K645">
        <v>4801</v>
      </c>
      <c r="L645" t="s">
        <v>826</v>
      </c>
      <c r="M645">
        <v>4</v>
      </c>
      <c r="N645" t="s">
        <v>168</v>
      </c>
      <c r="O645" t="s">
        <v>170</v>
      </c>
      <c r="P645" t="s">
        <v>420</v>
      </c>
      <c r="Q645" t="s">
        <v>408</v>
      </c>
      <c r="R645" t="s">
        <v>1630</v>
      </c>
      <c r="S645">
        <v>2018</v>
      </c>
      <c r="T645">
        <v>11</v>
      </c>
      <c r="U645" t="s">
        <v>408</v>
      </c>
      <c r="V645" t="s">
        <v>408</v>
      </c>
      <c r="W645">
        <v>0</v>
      </c>
      <c r="X645">
        <v>0</v>
      </c>
      <c r="Y645" t="s">
        <v>408</v>
      </c>
      <c r="Z645">
        <v>2018</v>
      </c>
      <c r="AA645">
        <v>0</v>
      </c>
      <c r="AB645" s="5">
        <v>0.59557367748599999</v>
      </c>
      <c r="AC645" s="5">
        <v>1.19114735497</v>
      </c>
      <c r="AD645" t="s">
        <v>1646</v>
      </c>
      <c r="AE645" t="s">
        <v>152</v>
      </c>
      <c r="AF645" t="s">
        <v>408</v>
      </c>
      <c r="AG645" t="s">
        <v>408</v>
      </c>
      <c r="AH645" t="s">
        <v>408</v>
      </c>
      <c r="AI645" t="s">
        <v>408</v>
      </c>
      <c r="AJ645" t="s">
        <v>408</v>
      </c>
      <c r="AK645" t="s">
        <v>408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s="58">
        <f t="shared" si="9"/>
        <v>1</v>
      </c>
      <c r="AU645" s="79">
        <v>43374</v>
      </c>
      <c r="AV645" s="78" t="s">
        <v>410</v>
      </c>
      <c r="AW645" t="s">
        <v>408</v>
      </c>
      <c r="AX645">
        <v>3</v>
      </c>
      <c r="AY645" t="s">
        <v>17</v>
      </c>
      <c r="AZ645" t="s">
        <v>408</v>
      </c>
    </row>
    <row r="646" spans="1:52" x14ac:dyDescent="0.3">
      <c r="A646">
        <v>635</v>
      </c>
      <c r="B646" t="s">
        <v>1647</v>
      </c>
      <c r="C646" t="s">
        <v>154</v>
      </c>
      <c r="D646" t="s">
        <v>1648</v>
      </c>
      <c r="E646" t="s">
        <v>460</v>
      </c>
      <c r="F646" t="s">
        <v>447</v>
      </c>
      <c r="G646">
        <v>550</v>
      </c>
      <c r="H646">
        <v>551</v>
      </c>
      <c r="I646" t="s">
        <v>920</v>
      </c>
      <c r="J646">
        <v>400</v>
      </c>
      <c r="K646">
        <v>401</v>
      </c>
      <c r="L646" t="s">
        <v>1530</v>
      </c>
      <c r="M646">
        <v>4</v>
      </c>
      <c r="N646" t="s">
        <v>168</v>
      </c>
      <c r="O646" t="s">
        <v>167</v>
      </c>
      <c r="P646" t="s">
        <v>420</v>
      </c>
      <c r="Q646" t="s">
        <v>408</v>
      </c>
      <c r="R646" t="s">
        <v>1630</v>
      </c>
      <c r="S646">
        <v>2018</v>
      </c>
      <c r="T646">
        <v>9</v>
      </c>
      <c r="U646" t="s">
        <v>408</v>
      </c>
      <c r="V646" t="s">
        <v>408</v>
      </c>
      <c r="W646">
        <v>0</v>
      </c>
      <c r="X646">
        <v>0</v>
      </c>
      <c r="Y646" t="s">
        <v>408</v>
      </c>
      <c r="Z646">
        <v>2018</v>
      </c>
      <c r="AA646">
        <v>0</v>
      </c>
      <c r="AB646" s="5">
        <v>0.233282138364</v>
      </c>
      <c r="AC646" s="5">
        <v>0.233282138364</v>
      </c>
      <c r="AD646" t="s">
        <v>1649</v>
      </c>
      <c r="AE646" t="s">
        <v>411</v>
      </c>
      <c r="AF646" t="s">
        <v>447</v>
      </c>
      <c r="AG646" t="s">
        <v>152</v>
      </c>
      <c r="AH646" t="s">
        <v>408</v>
      </c>
      <c r="AI646" t="s">
        <v>408</v>
      </c>
      <c r="AJ646" t="s">
        <v>408</v>
      </c>
      <c r="AK646" t="s">
        <v>408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s="58">
        <f t="shared" si="9"/>
        <v>1</v>
      </c>
      <c r="AU646" s="79">
        <v>43374</v>
      </c>
      <c r="AV646" s="78" t="s">
        <v>410</v>
      </c>
      <c r="AW646" t="s">
        <v>408</v>
      </c>
      <c r="AX646">
        <v>3</v>
      </c>
      <c r="AY646" t="s">
        <v>17</v>
      </c>
      <c r="AZ646">
        <v>20</v>
      </c>
    </row>
    <row r="647" spans="1:52" x14ac:dyDescent="0.3">
      <c r="A647">
        <v>636</v>
      </c>
      <c r="B647" t="s">
        <v>684</v>
      </c>
      <c r="C647" t="s">
        <v>152</v>
      </c>
      <c r="D647" t="s">
        <v>684</v>
      </c>
      <c r="E647" t="s">
        <v>408</v>
      </c>
      <c r="F647" t="s">
        <v>408</v>
      </c>
      <c r="G647">
        <v>3310</v>
      </c>
      <c r="H647">
        <v>3311</v>
      </c>
      <c r="I647" t="s">
        <v>809</v>
      </c>
      <c r="J647">
        <v>3300</v>
      </c>
      <c r="K647">
        <v>3301</v>
      </c>
      <c r="L647" t="s">
        <v>809</v>
      </c>
      <c r="M647">
        <v>3</v>
      </c>
      <c r="N647" t="s">
        <v>168</v>
      </c>
      <c r="O647" t="s">
        <v>165</v>
      </c>
      <c r="P647" t="s">
        <v>420</v>
      </c>
      <c r="Q647" t="s">
        <v>408</v>
      </c>
      <c r="R647" t="s">
        <v>1630</v>
      </c>
      <c r="S647">
        <v>2018</v>
      </c>
      <c r="T647">
        <v>9</v>
      </c>
      <c r="U647" t="s">
        <v>1650</v>
      </c>
      <c r="V647" t="s">
        <v>408</v>
      </c>
      <c r="W647">
        <v>0</v>
      </c>
      <c r="X647">
        <v>0</v>
      </c>
      <c r="Y647" t="s">
        <v>408</v>
      </c>
      <c r="Z647">
        <v>2018</v>
      </c>
      <c r="AA647">
        <v>0</v>
      </c>
      <c r="AB647" s="5">
        <v>2.4941552962599998E-2</v>
      </c>
      <c r="AC647" s="5">
        <v>2.4941552962599998E-2</v>
      </c>
      <c r="AD647" t="s">
        <v>1649</v>
      </c>
      <c r="AE647" t="s">
        <v>411</v>
      </c>
      <c r="AF647" t="s">
        <v>152</v>
      </c>
      <c r="AG647" t="s">
        <v>152</v>
      </c>
      <c r="AH647" t="s">
        <v>408</v>
      </c>
      <c r="AI647" t="s">
        <v>408</v>
      </c>
      <c r="AJ647" t="s">
        <v>408</v>
      </c>
      <c r="AK647" t="s">
        <v>408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s="58">
        <f t="shared" si="9"/>
        <v>1</v>
      </c>
      <c r="AU647" s="79">
        <v>43374</v>
      </c>
      <c r="AV647" s="78" t="s">
        <v>410</v>
      </c>
      <c r="AW647" t="s">
        <v>408</v>
      </c>
      <c r="AX647">
        <v>3</v>
      </c>
      <c r="AY647" t="s">
        <v>17</v>
      </c>
      <c r="AZ647" t="s">
        <v>408</v>
      </c>
    </row>
    <row r="648" spans="1:52" x14ac:dyDescent="0.3">
      <c r="A648">
        <v>637</v>
      </c>
      <c r="B648" t="s">
        <v>1647</v>
      </c>
      <c r="C648" t="s">
        <v>154</v>
      </c>
      <c r="D648" t="s">
        <v>1648</v>
      </c>
      <c r="E648" t="s">
        <v>460</v>
      </c>
      <c r="F648" t="s">
        <v>447</v>
      </c>
      <c r="G648">
        <v>900</v>
      </c>
      <c r="H648">
        <v>901</v>
      </c>
      <c r="I648" t="s">
        <v>718</v>
      </c>
      <c r="J648">
        <v>600</v>
      </c>
      <c r="K648">
        <v>601</v>
      </c>
      <c r="L648" t="s">
        <v>1651</v>
      </c>
      <c r="M648">
        <v>4</v>
      </c>
      <c r="N648" t="s">
        <v>168</v>
      </c>
      <c r="O648" t="s">
        <v>167</v>
      </c>
      <c r="P648" t="s">
        <v>420</v>
      </c>
      <c r="Q648" t="s">
        <v>408</v>
      </c>
      <c r="R648" t="s">
        <v>1630</v>
      </c>
      <c r="S648">
        <v>2018</v>
      </c>
      <c r="T648">
        <v>9</v>
      </c>
      <c r="U648" t="s">
        <v>408</v>
      </c>
      <c r="V648" t="s">
        <v>408</v>
      </c>
      <c r="W648">
        <v>0</v>
      </c>
      <c r="X648">
        <v>0</v>
      </c>
      <c r="Y648" t="s">
        <v>408</v>
      </c>
      <c r="Z648">
        <v>2018</v>
      </c>
      <c r="AA648">
        <v>0</v>
      </c>
      <c r="AB648" s="5">
        <v>0.39612366361399998</v>
      </c>
      <c r="AC648" s="5">
        <v>0.39612366361399998</v>
      </c>
      <c r="AD648" t="s">
        <v>1649</v>
      </c>
      <c r="AE648" t="s">
        <v>411</v>
      </c>
      <c r="AF648" t="s">
        <v>447</v>
      </c>
      <c r="AG648" t="s">
        <v>152</v>
      </c>
      <c r="AH648" t="s">
        <v>408</v>
      </c>
      <c r="AI648" t="s">
        <v>408</v>
      </c>
      <c r="AJ648" t="s">
        <v>408</v>
      </c>
      <c r="AK648" t="s">
        <v>408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s="58">
        <f t="shared" si="9"/>
        <v>1</v>
      </c>
      <c r="AU648" s="79">
        <v>43374</v>
      </c>
      <c r="AV648" s="78" t="s">
        <v>410</v>
      </c>
      <c r="AW648" t="s">
        <v>408</v>
      </c>
      <c r="AX648">
        <v>3</v>
      </c>
      <c r="AY648" t="s">
        <v>17</v>
      </c>
      <c r="AZ648">
        <v>20</v>
      </c>
    </row>
    <row r="649" spans="1:52" x14ac:dyDescent="0.3">
      <c r="A649">
        <v>638</v>
      </c>
      <c r="B649" t="s">
        <v>1652</v>
      </c>
      <c r="C649" t="s">
        <v>154</v>
      </c>
      <c r="D649" t="s">
        <v>1653</v>
      </c>
      <c r="E649" t="s">
        <v>417</v>
      </c>
      <c r="F649" t="s">
        <v>447</v>
      </c>
      <c r="G649">
        <v>1630</v>
      </c>
      <c r="H649">
        <v>1631</v>
      </c>
      <c r="I649" t="s">
        <v>722</v>
      </c>
      <c r="J649">
        <v>900</v>
      </c>
      <c r="K649">
        <v>901</v>
      </c>
      <c r="L649" t="s">
        <v>718</v>
      </c>
      <c r="M649">
        <v>4</v>
      </c>
      <c r="N649" t="s">
        <v>168</v>
      </c>
      <c r="O649" t="s">
        <v>167</v>
      </c>
      <c r="P649" t="s">
        <v>420</v>
      </c>
      <c r="Q649" t="s">
        <v>408</v>
      </c>
      <c r="R649" t="s">
        <v>1630</v>
      </c>
      <c r="S649">
        <v>2018</v>
      </c>
      <c r="T649">
        <v>9</v>
      </c>
      <c r="U649" t="s">
        <v>408</v>
      </c>
      <c r="V649" t="s">
        <v>408</v>
      </c>
      <c r="W649">
        <v>0</v>
      </c>
      <c r="X649">
        <v>0</v>
      </c>
      <c r="Y649" t="s">
        <v>408</v>
      </c>
      <c r="Z649">
        <v>2018</v>
      </c>
      <c r="AA649">
        <v>0</v>
      </c>
      <c r="AB649" s="5">
        <v>0.91673562095500005</v>
      </c>
      <c r="AC649" s="5">
        <v>0.91673562095500005</v>
      </c>
      <c r="AD649" t="s">
        <v>1649</v>
      </c>
      <c r="AE649" t="s">
        <v>411</v>
      </c>
      <c r="AF649" t="s">
        <v>447</v>
      </c>
      <c r="AG649" t="s">
        <v>152</v>
      </c>
      <c r="AH649" t="s">
        <v>408</v>
      </c>
      <c r="AI649" t="s">
        <v>408</v>
      </c>
      <c r="AJ649" t="s">
        <v>408</v>
      </c>
      <c r="AK649" t="s">
        <v>408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s="58">
        <f t="shared" si="9"/>
        <v>1</v>
      </c>
      <c r="AU649" s="79">
        <v>43374</v>
      </c>
      <c r="AV649" t="s">
        <v>410</v>
      </c>
      <c r="AW649" t="s">
        <v>408</v>
      </c>
      <c r="AX649">
        <v>3</v>
      </c>
      <c r="AY649" t="s">
        <v>17</v>
      </c>
      <c r="AZ649">
        <v>20</v>
      </c>
    </row>
    <row r="650" spans="1:52" x14ac:dyDescent="0.3">
      <c r="A650">
        <v>639</v>
      </c>
      <c r="B650" t="s">
        <v>1271</v>
      </c>
      <c r="C650" t="s">
        <v>154</v>
      </c>
      <c r="D650" t="s">
        <v>1272</v>
      </c>
      <c r="E650" t="s">
        <v>417</v>
      </c>
      <c r="F650" t="s">
        <v>154</v>
      </c>
      <c r="G650">
        <v>600</v>
      </c>
      <c r="H650">
        <v>601</v>
      </c>
      <c r="I650" t="s">
        <v>920</v>
      </c>
      <c r="J650">
        <v>400</v>
      </c>
      <c r="K650">
        <v>401</v>
      </c>
      <c r="L650" t="s">
        <v>1530</v>
      </c>
      <c r="M650">
        <v>4</v>
      </c>
      <c r="N650" t="s">
        <v>168</v>
      </c>
      <c r="O650" t="s">
        <v>167</v>
      </c>
      <c r="P650" t="s">
        <v>420</v>
      </c>
      <c r="Q650" t="s">
        <v>408</v>
      </c>
      <c r="R650" t="s">
        <v>1630</v>
      </c>
      <c r="S650">
        <v>2018</v>
      </c>
      <c r="T650">
        <v>9</v>
      </c>
      <c r="U650" t="s">
        <v>408</v>
      </c>
      <c r="V650" t="s">
        <v>408</v>
      </c>
      <c r="W650">
        <v>0</v>
      </c>
      <c r="X650">
        <v>0</v>
      </c>
      <c r="Y650" t="s">
        <v>408</v>
      </c>
      <c r="Z650">
        <v>2018</v>
      </c>
      <c r="AA650">
        <v>0</v>
      </c>
      <c r="AB650" s="5">
        <v>0.22179146093800001</v>
      </c>
      <c r="AC650" s="5">
        <v>0.22179146093800001</v>
      </c>
      <c r="AD650" t="s">
        <v>1654</v>
      </c>
      <c r="AE650" t="s">
        <v>411</v>
      </c>
      <c r="AF650" t="s">
        <v>154</v>
      </c>
      <c r="AG650" t="s">
        <v>152</v>
      </c>
      <c r="AH650" t="s">
        <v>408</v>
      </c>
      <c r="AI650" t="s">
        <v>408</v>
      </c>
      <c r="AJ650" t="s">
        <v>408</v>
      </c>
      <c r="AK650" t="s">
        <v>408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s="58">
        <f t="shared" si="9"/>
        <v>1</v>
      </c>
      <c r="AU650" s="79">
        <v>43374</v>
      </c>
      <c r="AV650" t="s">
        <v>410</v>
      </c>
      <c r="AW650" t="s">
        <v>408</v>
      </c>
      <c r="AX650">
        <v>3</v>
      </c>
      <c r="AY650" t="s">
        <v>17</v>
      </c>
      <c r="AZ650">
        <v>20</v>
      </c>
    </row>
    <row r="651" spans="1:52" x14ac:dyDescent="0.3">
      <c r="A651">
        <v>640</v>
      </c>
      <c r="B651" t="s">
        <v>684</v>
      </c>
      <c r="C651" t="s">
        <v>152</v>
      </c>
      <c r="D651" t="s">
        <v>684</v>
      </c>
      <c r="E651" t="s">
        <v>408</v>
      </c>
      <c r="F651" t="s">
        <v>408</v>
      </c>
      <c r="G651">
        <v>3350</v>
      </c>
      <c r="H651">
        <v>3351</v>
      </c>
      <c r="I651" t="s">
        <v>804</v>
      </c>
      <c r="J651">
        <v>3460</v>
      </c>
      <c r="K651">
        <v>3461</v>
      </c>
      <c r="L651" t="s">
        <v>804</v>
      </c>
      <c r="M651">
        <v>3</v>
      </c>
      <c r="N651" t="s">
        <v>168</v>
      </c>
      <c r="O651" t="s">
        <v>163</v>
      </c>
      <c r="P651" t="s">
        <v>420</v>
      </c>
      <c r="Q651" t="s">
        <v>408</v>
      </c>
      <c r="R651" t="s">
        <v>1630</v>
      </c>
      <c r="S651">
        <v>2018</v>
      </c>
      <c r="T651">
        <v>9</v>
      </c>
      <c r="U651" t="s">
        <v>1655</v>
      </c>
      <c r="V651" t="s">
        <v>408</v>
      </c>
      <c r="W651">
        <v>0</v>
      </c>
      <c r="X651">
        <v>0</v>
      </c>
      <c r="Y651" t="s">
        <v>408</v>
      </c>
      <c r="Z651">
        <v>2018</v>
      </c>
      <c r="AA651">
        <v>0</v>
      </c>
      <c r="AB651" s="5">
        <v>2.74980152369E-2</v>
      </c>
      <c r="AC651" s="5">
        <v>5.4996030473800001E-2</v>
      </c>
      <c r="AD651" t="s">
        <v>1654</v>
      </c>
      <c r="AE651" t="s">
        <v>152</v>
      </c>
      <c r="AF651" t="s">
        <v>408</v>
      </c>
      <c r="AG651" t="s">
        <v>411</v>
      </c>
      <c r="AH651" t="s">
        <v>408</v>
      </c>
      <c r="AI651" t="s">
        <v>1364</v>
      </c>
      <c r="AJ651" t="s">
        <v>400</v>
      </c>
      <c r="AK651" t="s">
        <v>408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s="58">
        <f t="shared" ref="AT651:AT714" si="10">SUM(AM651:AS651)</f>
        <v>1</v>
      </c>
      <c r="AU651" s="79" t="s">
        <v>471</v>
      </c>
      <c r="AV651" s="78" t="s">
        <v>410</v>
      </c>
      <c r="AW651" t="s">
        <v>411</v>
      </c>
      <c r="AX651">
        <v>3</v>
      </c>
      <c r="AY651" t="s">
        <v>17</v>
      </c>
      <c r="AZ651" t="s">
        <v>408</v>
      </c>
    </row>
    <row r="652" spans="1:52" x14ac:dyDescent="0.3">
      <c r="A652">
        <v>641</v>
      </c>
      <c r="B652" t="s">
        <v>1271</v>
      </c>
      <c r="C652" t="s">
        <v>154</v>
      </c>
      <c r="D652" t="s">
        <v>1272</v>
      </c>
      <c r="E652" t="s">
        <v>417</v>
      </c>
      <c r="F652" t="s">
        <v>154</v>
      </c>
      <c r="G652">
        <v>1700</v>
      </c>
      <c r="H652">
        <v>1701</v>
      </c>
      <c r="I652" t="s">
        <v>722</v>
      </c>
      <c r="J652">
        <v>600</v>
      </c>
      <c r="K652">
        <v>601</v>
      </c>
      <c r="L652" t="s">
        <v>920</v>
      </c>
      <c r="M652">
        <v>4</v>
      </c>
      <c r="N652" t="s">
        <v>168</v>
      </c>
      <c r="O652" t="s">
        <v>167</v>
      </c>
      <c r="P652" t="s">
        <v>420</v>
      </c>
      <c r="Q652" t="s">
        <v>408</v>
      </c>
      <c r="R652" t="s">
        <v>1630</v>
      </c>
      <c r="S652">
        <v>2018</v>
      </c>
      <c r="T652">
        <v>9</v>
      </c>
      <c r="U652" t="s">
        <v>408</v>
      </c>
      <c r="V652" t="s">
        <v>408</v>
      </c>
      <c r="W652">
        <v>0</v>
      </c>
      <c r="X652">
        <v>0</v>
      </c>
      <c r="Y652" t="s">
        <v>408</v>
      </c>
      <c r="Z652">
        <v>2018</v>
      </c>
      <c r="AA652">
        <v>0</v>
      </c>
      <c r="AB652" s="5">
        <v>1.3481041194500001</v>
      </c>
      <c r="AC652" s="5">
        <v>1.3481041194500001</v>
      </c>
      <c r="AD652" t="s">
        <v>1654</v>
      </c>
      <c r="AE652" t="s">
        <v>411</v>
      </c>
      <c r="AF652" t="s">
        <v>154</v>
      </c>
      <c r="AG652" t="s">
        <v>152</v>
      </c>
      <c r="AH652" t="s">
        <v>408</v>
      </c>
      <c r="AI652" t="s">
        <v>408</v>
      </c>
      <c r="AJ652" t="s">
        <v>408</v>
      </c>
      <c r="AK652" t="s">
        <v>408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s="58">
        <f t="shared" si="10"/>
        <v>1</v>
      </c>
      <c r="AU652" s="79">
        <v>43374</v>
      </c>
      <c r="AV652" s="78" t="s">
        <v>410</v>
      </c>
      <c r="AW652" t="s">
        <v>408</v>
      </c>
      <c r="AX652">
        <v>3</v>
      </c>
      <c r="AY652" t="s">
        <v>17</v>
      </c>
      <c r="AZ652">
        <v>20</v>
      </c>
    </row>
    <row r="653" spans="1:52" x14ac:dyDescent="0.3">
      <c r="A653">
        <v>642</v>
      </c>
      <c r="B653" t="s">
        <v>477</v>
      </c>
      <c r="C653" t="s">
        <v>152</v>
      </c>
      <c r="D653" t="s">
        <v>478</v>
      </c>
      <c r="E653" t="s">
        <v>417</v>
      </c>
      <c r="F653" t="s">
        <v>408</v>
      </c>
      <c r="G653">
        <v>1200</v>
      </c>
      <c r="H653">
        <v>1201</v>
      </c>
      <c r="I653" t="s">
        <v>699</v>
      </c>
      <c r="J653">
        <v>1576</v>
      </c>
      <c r="K653">
        <v>1577</v>
      </c>
      <c r="L653" t="s">
        <v>541</v>
      </c>
      <c r="M653">
        <v>2</v>
      </c>
      <c r="N653" t="s">
        <v>170</v>
      </c>
      <c r="O653" t="s">
        <v>170</v>
      </c>
      <c r="P653" t="s">
        <v>414</v>
      </c>
      <c r="Q653" t="s">
        <v>408</v>
      </c>
      <c r="R653" t="s">
        <v>556</v>
      </c>
      <c r="S653">
        <v>2012</v>
      </c>
      <c r="T653">
        <v>10</v>
      </c>
      <c r="U653" t="s">
        <v>370</v>
      </c>
      <c r="V653" t="s">
        <v>482</v>
      </c>
      <c r="W653">
        <v>2018</v>
      </c>
      <c r="X653">
        <v>9</v>
      </c>
      <c r="Y653" t="s">
        <v>370</v>
      </c>
      <c r="Z653">
        <v>2018</v>
      </c>
      <c r="AA653">
        <v>2018</v>
      </c>
      <c r="AB653" s="5">
        <v>6.3260012791999998E-2</v>
      </c>
      <c r="AC653" s="5">
        <v>0.126520025584</v>
      </c>
      <c r="AD653" t="s">
        <v>408</v>
      </c>
      <c r="AE653" t="s">
        <v>152</v>
      </c>
      <c r="AF653" t="s">
        <v>408</v>
      </c>
      <c r="AG653" t="s">
        <v>408</v>
      </c>
      <c r="AH653" t="s">
        <v>408</v>
      </c>
      <c r="AI653" t="s">
        <v>408</v>
      </c>
      <c r="AJ653" t="s">
        <v>408</v>
      </c>
      <c r="AK653" t="s">
        <v>408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 s="58">
        <f t="shared" si="10"/>
        <v>1</v>
      </c>
      <c r="AU653" s="79">
        <v>43333</v>
      </c>
      <c r="AV653" s="78" t="s">
        <v>410</v>
      </c>
      <c r="AW653" t="s">
        <v>408</v>
      </c>
      <c r="AX653">
        <v>2</v>
      </c>
      <c r="AY653" t="s">
        <v>412</v>
      </c>
      <c r="AZ653" t="s">
        <v>408</v>
      </c>
    </row>
    <row r="654" spans="1:52" x14ac:dyDescent="0.3">
      <c r="A654">
        <v>643</v>
      </c>
      <c r="B654" t="s">
        <v>855</v>
      </c>
      <c r="C654" t="s">
        <v>447</v>
      </c>
      <c r="D654" t="s">
        <v>448</v>
      </c>
      <c r="E654" t="s">
        <v>417</v>
      </c>
      <c r="F654" t="s">
        <v>408</v>
      </c>
      <c r="G654">
        <v>0</v>
      </c>
      <c r="H654">
        <v>0</v>
      </c>
      <c r="I654" t="s">
        <v>1656</v>
      </c>
      <c r="J654">
        <v>0</v>
      </c>
      <c r="K654">
        <v>0</v>
      </c>
      <c r="L654" t="s">
        <v>1657</v>
      </c>
      <c r="M654">
        <v>4</v>
      </c>
      <c r="N654" t="s">
        <v>170</v>
      </c>
      <c r="O654" t="s">
        <v>170</v>
      </c>
      <c r="P654" t="s">
        <v>414</v>
      </c>
      <c r="Q654" t="s">
        <v>408</v>
      </c>
      <c r="R654" t="s">
        <v>601</v>
      </c>
      <c r="S654">
        <v>0</v>
      </c>
      <c r="T654">
        <v>0</v>
      </c>
      <c r="U654" t="s">
        <v>1627</v>
      </c>
      <c r="V654" t="s">
        <v>408</v>
      </c>
      <c r="W654">
        <v>0</v>
      </c>
      <c r="X654">
        <v>0</v>
      </c>
      <c r="Y654" t="s">
        <v>408</v>
      </c>
      <c r="Z654">
        <v>2018</v>
      </c>
      <c r="AA654">
        <v>0</v>
      </c>
      <c r="AB654" s="5">
        <v>0.126908919447</v>
      </c>
      <c r="AC654" s="5">
        <v>0.253817838894</v>
      </c>
      <c r="AD654" t="s">
        <v>408</v>
      </c>
      <c r="AE654" t="s">
        <v>152</v>
      </c>
      <c r="AF654" t="s">
        <v>408</v>
      </c>
      <c r="AG654" t="s">
        <v>408</v>
      </c>
      <c r="AH654" t="s">
        <v>408</v>
      </c>
      <c r="AI654" t="s">
        <v>408</v>
      </c>
      <c r="AJ654" t="s">
        <v>408</v>
      </c>
      <c r="AK654" t="s">
        <v>408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 s="58">
        <f t="shared" si="10"/>
        <v>1</v>
      </c>
      <c r="AU654" s="79">
        <v>43374</v>
      </c>
      <c r="AV654" s="78" t="s">
        <v>410</v>
      </c>
      <c r="AW654" t="s">
        <v>408</v>
      </c>
      <c r="AX654">
        <v>3</v>
      </c>
      <c r="AY654" t="s">
        <v>1579</v>
      </c>
      <c r="AZ654" t="s">
        <v>408</v>
      </c>
    </row>
    <row r="655" spans="1:52" x14ac:dyDescent="0.3">
      <c r="A655">
        <v>644</v>
      </c>
      <c r="B655" t="s">
        <v>477</v>
      </c>
      <c r="C655" t="s">
        <v>152</v>
      </c>
      <c r="D655" t="s">
        <v>478</v>
      </c>
      <c r="E655" t="s">
        <v>417</v>
      </c>
      <c r="F655" t="s">
        <v>408</v>
      </c>
      <c r="G655">
        <v>2300</v>
      </c>
      <c r="H655">
        <v>2301</v>
      </c>
      <c r="I655" t="s">
        <v>988</v>
      </c>
      <c r="J655">
        <v>2400</v>
      </c>
      <c r="K655">
        <v>2401</v>
      </c>
      <c r="L655" t="s">
        <v>890</v>
      </c>
      <c r="M655">
        <v>2</v>
      </c>
      <c r="N655" t="s">
        <v>167</v>
      </c>
      <c r="O655" t="s">
        <v>167</v>
      </c>
      <c r="P655" t="s">
        <v>414</v>
      </c>
      <c r="Q655" t="s">
        <v>408</v>
      </c>
      <c r="R655" t="s">
        <v>481</v>
      </c>
      <c r="S655">
        <v>2000</v>
      </c>
      <c r="T655">
        <v>7</v>
      </c>
      <c r="U655" t="s">
        <v>408</v>
      </c>
      <c r="V655" t="s">
        <v>408</v>
      </c>
      <c r="W655">
        <v>0</v>
      </c>
      <c r="X655">
        <v>0</v>
      </c>
      <c r="Y655" t="s">
        <v>408</v>
      </c>
      <c r="Z655">
        <v>2018</v>
      </c>
      <c r="AA655">
        <v>2018</v>
      </c>
      <c r="AB655" s="5">
        <v>0.127281886111</v>
      </c>
      <c r="AC655" s="5">
        <v>0.254563772222</v>
      </c>
      <c r="AD655" t="s">
        <v>408</v>
      </c>
      <c r="AE655" t="s">
        <v>152</v>
      </c>
      <c r="AF655" t="s">
        <v>408</v>
      </c>
      <c r="AG655" t="s">
        <v>408</v>
      </c>
      <c r="AH655" t="s">
        <v>408</v>
      </c>
      <c r="AI655" t="s">
        <v>408</v>
      </c>
      <c r="AJ655" t="s">
        <v>408</v>
      </c>
      <c r="AK655" t="s">
        <v>408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s="58">
        <f t="shared" si="10"/>
        <v>1</v>
      </c>
      <c r="AU655" s="79" t="s">
        <v>488</v>
      </c>
      <c r="AV655" t="s">
        <v>410</v>
      </c>
      <c r="AW655" t="s">
        <v>408</v>
      </c>
      <c r="AX655">
        <v>2</v>
      </c>
      <c r="AY655" t="s">
        <v>412</v>
      </c>
      <c r="AZ655" t="s">
        <v>408</v>
      </c>
    </row>
    <row r="656" spans="1:52" x14ac:dyDescent="0.3">
      <c r="A656">
        <v>645</v>
      </c>
      <c r="B656" t="s">
        <v>472</v>
      </c>
      <c r="C656" t="s">
        <v>152</v>
      </c>
      <c r="D656" t="s">
        <v>473</v>
      </c>
      <c r="E656" t="s">
        <v>460</v>
      </c>
      <c r="F656" t="s">
        <v>408</v>
      </c>
      <c r="G656">
        <v>6150</v>
      </c>
      <c r="H656">
        <v>6151</v>
      </c>
      <c r="I656" t="s">
        <v>674</v>
      </c>
      <c r="J656">
        <v>6177</v>
      </c>
      <c r="K656">
        <v>6176</v>
      </c>
      <c r="L656" t="s">
        <v>474</v>
      </c>
      <c r="M656">
        <v>3</v>
      </c>
      <c r="N656" t="s">
        <v>165</v>
      </c>
      <c r="O656" t="s">
        <v>165</v>
      </c>
      <c r="P656" t="s">
        <v>403</v>
      </c>
      <c r="Q656" t="s">
        <v>408</v>
      </c>
      <c r="R656" t="s">
        <v>526</v>
      </c>
      <c r="S656">
        <v>2015</v>
      </c>
      <c r="T656">
        <v>5</v>
      </c>
      <c r="U656" t="s">
        <v>675</v>
      </c>
      <c r="V656" t="s">
        <v>454</v>
      </c>
      <c r="W656">
        <v>2018</v>
      </c>
      <c r="X656">
        <v>11</v>
      </c>
      <c r="Y656" t="s">
        <v>370</v>
      </c>
      <c r="Z656">
        <v>2018</v>
      </c>
      <c r="AA656">
        <v>2018</v>
      </c>
      <c r="AB656" s="5">
        <v>5.7845936282799999E-2</v>
      </c>
      <c r="AC656" s="5">
        <v>0.115691872566</v>
      </c>
      <c r="AD656" t="s">
        <v>408</v>
      </c>
      <c r="AE656" t="s">
        <v>152</v>
      </c>
      <c r="AF656" t="s">
        <v>408</v>
      </c>
      <c r="AG656" t="s">
        <v>408</v>
      </c>
      <c r="AH656" t="s">
        <v>408</v>
      </c>
      <c r="AI656" t="s">
        <v>408</v>
      </c>
      <c r="AJ656" t="s">
        <v>408</v>
      </c>
      <c r="AK656" t="s">
        <v>408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s="58">
        <f t="shared" si="10"/>
        <v>1</v>
      </c>
      <c r="AU656" s="79">
        <v>43332</v>
      </c>
      <c r="AV656" t="s">
        <v>410</v>
      </c>
      <c r="AW656" t="s">
        <v>152</v>
      </c>
      <c r="AX656">
        <v>2</v>
      </c>
      <c r="AY656" t="s">
        <v>412</v>
      </c>
      <c r="AZ656" t="s">
        <v>408</v>
      </c>
    </row>
    <row r="657" spans="1:52" x14ac:dyDescent="0.3">
      <c r="A657">
        <v>646</v>
      </c>
      <c r="B657" t="s">
        <v>472</v>
      </c>
      <c r="C657" t="s">
        <v>152</v>
      </c>
      <c r="D657" t="s">
        <v>473</v>
      </c>
      <c r="E657" t="s">
        <v>460</v>
      </c>
      <c r="F657" t="s">
        <v>408</v>
      </c>
      <c r="G657">
        <v>5060</v>
      </c>
      <c r="H657">
        <v>5063</v>
      </c>
      <c r="I657" t="s">
        <v>1068</v>
      </c>
      <c r="J657">
        <v>5200</v>
      </c>
      <c r="K657">
        <v>5201</v>
      </c>
      <c r="L657" t="s">
        <v>1019</v>
      </c>
      <c r="M657">
        <v>3</v>
      </c>
      <c r="N657" t="s">
        <v>165</v>
      </c>
      <c r="O657" t="s">
        <v>165</v>
      </c>
      <c r="P657" t="s">
        <v>403</v>
      </c>
      <c r="Q657" t="s">
        <v>771</v>
      </c>
      <c r="R657" t="s">
        <v>1176</v>
      </c>
      <c r="S657">
        <v>2014</v>
      </c>
      <c r="T657">
        <v>12</v>
      </c>
      <c r="U657" t="s">
        <v>1177</v>
      </c>
      <c r="V657" t="s">
        <v>408</v>
      </c>
      <c r="W657">
        <v>0</v>
      </c>
      <c r="X657">
        <v>0</v>
      </c>
      <c r="Y657" t="s">
        <v>408</v>
      </c>
      <c r="Z657">
        <v>2014</v>
      </c>
      <c r="AA657">
        <v>2006</v>
      </c>
      <c r="AB657" s="5">
        <v>0.26031493331299999</v>
      </c>
      <c r="AC657" s="5">
        <v>0.52062986662599997</v>
      </c>
      <c r="AD657" t="s">
        <v>408</v>
      </c>
      <c r="AE657" t="s">
        <v>152</v>
      </c>
      <c r="AF657" t="s">
        <v>408</v>
      </c>
      <c r="AG657" t="s">
        <v>408</v>
      </c>
      <c r="AH657" t="s">
        <v>408</v>
      </c>
      <c r="AI657" t="s">
        <v>408</v>
      </c>
      <c r="AJ657" t="s">
        <v>408</v>
      </c>
      <c r="AK657" t="s">
        <v>408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 s="58">
        <f t="shared" si="10"/>
        <v>1</v>
      </c>
      <c r="AU657" s="79">
        <v>43333</v>
      </c>
      <c r="AV657" t="s">
        <v>410</v>
      </c>
      <c r="AW657" t="s">
        <v>152</v>
      </c>
      <c r="AX657">
        <v>2</v>
      </c>
      <c r="AY657" t="s">
        <v>412</v>
      </c>
      <c r="AZ657" t="s">
        <v>408</v>
      </c>
    </row>
    <row r="658" spans="1:52" x14ac:dyDescent="0.3">
      <c r="A658">
        <v>647</v>
      </c>
      <c r="B658" t="s">
        <v>1070</v>
      </c>
      <c r="C658" t="s">
        <v>155</v>
      </c>
      <c r="D658" t="s">
        <v>1071</v>
      </c>
      <c r="E658" t="s">
        <v>460</v>
      </c>
      <c r="F658" t="s">
        <v>408</v>
      </c>
      <c r="G658">
        <v>5201</v>
      </c>
      <c r="H658">
        <v>5200</v>
      </c>
      <c r="I658" t="s">
        <v>1658</v>
      </c>
      <c r="J658">
        <v>5100</v>
      </c>
      <c r="K658">
        <v>5101</v>
      </c>
      <c r="L658" t="s">
        <v>765</v>
      </c>
      <c r="M658">
        <v>3</v>
      </c>
      <c r="N658" t="s">
        <v>165</v>
      </c>
      <c r="O658" t="s">
        <v>165</v>
      </c>
      <c r="P658" t="s">
        <v>420</v>
      </c>
      <c r="Q658" t="s">
        <v>1170</v>
      </c>
      <c r="R658" t="s">
        <v>703</v>
      </c>
      <c r="S658">
        <v>2014</v>
      </c>
      <c r="T658">
        <v>5</v>
      </c>
      <c r="U658" t="s">
        <v>408</v>
      </c>
      <c r="V658" t="s">
        <v>454</v>
      </c>
      <c r="W658">
        <v>2018</v>
      </c>
      <c r="X658">
        <v>10</v>
      </c>
      <c r="Y658" t="s">
        <v>370</v>
      </c>
      <c r="Z658">
        <v>2018</v>
      </c>
      <c r="AA658">
        <v>2018</v>
      </c>
      <c r="AB658" s="5">
        <v>0.12650755552199999</v>
      </c>
      <c r="AC658" s="5">
        <v>0.25301511104399999</v>
      </c>
      <c r="AD658" t="s">
        <v>408</v>
      </c>
      <c r="AE658" t="s">
        <v>152</v>
      </c>
      <c r="AF658" t="s">
        <v>408</v>
      </c>
      <c r="AG658" t="s">
        <v>408</v>
      </c>
      <c r="AH658" t="s">
        <v>408</v>
      </c>
      <c r="AI658" t="s">
        <v>408</v>
      </c>
      <c r="AJ658" t="s">
        <v>408</v>
      </c>
      <c r="AK658" t="s">
        <v>408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 s="58">
        <f t="shared" si="10"/>
        <v>1</v>
      </c>
      <c r="AU658" s="79">
        <v>43347</v>
      </c>
      <c r="AV658" s="78" t="s">
        <v>410</v>
      </c>
      <c r="AW658" t="s">
        <v>152</v>
      </c>
      <c r="AX658">
        <v>2</v>
      </c>
      <c r="AY658" t="s">
        <v>412</v>
      </c>
      <c r="AZ658" t="s">
        <v>408</v>
      </c>
    </row>
    <row r="659" spans="1:52" x14ac:dyDescent="0.3">
      <c r="A659">
        <v>648</v>
      </c>
      <c r="B659" t="s">
        <v>1001</v>
      </c>
      <c r="C659" t="s">
        <v>155</v>
      </c>
      <c r="D659" t="s">
        <v>1002</v>
      </c>
      <c r="E659" t="s">
        <v>460</v>
      </c>
      <c r="F659" t="s">
        <v>408</v>
      </c>
      <c r="G659">
        <v>9400</v>
      </c>
      <c r="H659">
        <v>9401</v>
      </c>
      <c r="I659" t="s">
        <v>1535</v>
      </c>
      <c r="J659">
        <v>9300</v>
      </c>
      <c r="K659">
        <v>9301</v>
      </c>
      <c r="L659" t="s">
        <v>1659</v>
      </c>
      <c r="M659">
        <v>2</v>
      </c>
      <c r="N659" t="s">
        <v>165</v>
      </c>
      <c r="O659" t="s">
        <v>165</v>
      </c>
      <c r="P659" t="s">
        <v>403</v>
      </c>
      <c r="Q659" t="s">
        <v>408</v>
      </c>
      <c r="R659" t="s">
        <v>713</v>
      </c>
      <c r="S659">
        <v>2021</v>
      </c>
      <c r="T659">
        <v>10</v>
      </c>
      <c r="U659" t="s">
        <v>408</v>
      </c>
      <c r="V659" t="s">
        <v>408</v>
      </c>
      <c r="W659">
        <v>0</v>
      </c>
      <c r="X659">
        <v>0</v>
      </c>
      <c r="Y659" t="s">
        <v>408</v>
      </c>
      <c r="Z659">
        <v>2021</v>
      </c>
      <c r="AA659">
        <v>2021</v>
      </c>
      <c r="AB659" s="5">
        <v>0.11154562170399999</v>
      </c>
      <c r="AC659" s="5">
        <v>0.22309124340799999</v>
      </c>
      <c r="AD659" t="s">
        <v>408</v>
      </c>
      <c r="AE659" t="s">
        <v>152</v>
      </c>
      <c r="AF659" t="s">
        <v>408</v>
      </c>
      <c r="AG659" t="s">
        <v>152</v>
      </c>
      <c r="AH659" t="s">
        <v>408</v>
      </c>
      <c r="AI659" t="s">
        <v>408</v>
      </c>
      <c r="AJ659" t="s">
        <v>152</v>
      </c>
      <c r="AK659" t="s">
        <v>408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 s="58">
        <f t="shared" si="10"/>
        <v>1</v>
      </c>
      <c r="AU659" s="79" t="s">
        <v>784</v>
      </c>
      <c r="AV659" t="s">
        <v>410</v>
      </c>
      <c r="AW659" t="s">
        <v>152</v>
      </c>
      <c r="AX659">
        <v>2</v>
      </c>
      <c r="AY659" t="s">
        <v>412</v>
      </c>
      <c r="AZ659" t="s">
        <v>408</v>
      </c>
    </row>
    <row r="660" spans="1:52" x14ac:dyDescent="0.3">
      <c r="A660">
        <v>649</v>
      </c>
      <c r="B660" t="s">
        <v>676</v>
      </c>
      <c r="C660" t="s">
        <v>155</v>
      </c>
      <c r="D660" t="s">
        <v>677</v>
      </c>
      <c r="E660" t="s">
        <v>466</v>
      </c>
      <c r="F660" t="s">
        <v>400</v>
      </c>
      <c r="G660">
        <v>2100</v>
      </c>
      <c r="H660">
        <v>2101</v>
      </c>
      <c r="I660" t="s">
        <v>678</v>
      </c>
      <c r="J660">
        <v>1900</v>
      </c>
      <c r="K660">
        <v>1901</v>
      </c>
      <c r="L660" t="s">
        <v>651</v>
      </c>
      <c r="M660">
        <v>4</v>
      </c>
      <c r="N660" t="s">
        <v>165</v>
      </c>
      <c r="O660" t="s">
        <v>165</v>
      </c>
      <c r="P660" t="s">
        <v>420</v>
      </c>
      <c r="Q660" t="s">
        <v>408</v>
      </c>
      <c r="R660" t="s">
        <v>653</v>
      </c>
      <c r="S660">
        <v>2012</v>
      </c>
      <c r="T660">
        <v>12</v>
      </c>
      <c r="U660" t="s">
        <v>452</v>
      </c>
      <c r="V660" t="s">
        <v>1353</v>
      </c>
      <c r="W660">
        <v>2018</v>
      </c>
      <c r="X660">
        <v>11</v>
      </c>
      <c r="Y660" t="s">
        <v>408</v>
      </c>
      <c r="Z660">
        <v>2018</v>
      </c>
      <c r="AA660">
        <v>0</v>
      </c>
      <c r="AB660" s="5">
        <v>0.18896984761499999</v>
      </c>
      <c r="AC660" s="5">
        <v>0.37793969522999998</v>
      </c>
      <c r="AD660" t="s">
        <v>408</v>
      </c>
      <c r="AE660" t="s">
        <v>152</v>
      </c>
      <c r="AF660" t="s">
        <v>408</v>
      </c>
      <c r="AG660" t="s">
        <v>408</v>
      </c>
      <c r="AH660" t="s">
        <v>408</v>
      </c>
      <c r="AI660" t="s">
        <v>408</v>
      </c>
      <c r="AJ660" t="s">
        <v>408</v>
      </c>
      <c r="AK660" t="s">
        <v>408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s="58">
        <f t="shared" si="10"/>
        <v>1</v>
      </c>
      <c r="AU660" s="79" t="s">
        <v>602</v>
      </c>
      <c r="AV660" t="s">
        <v>410</v>
      </c>
      <c r="AW660" t="s">
        <v>411</v>
      </c>
      <c r="AX660">
        <v>2</v>
      </c>
      <c r="AY660" t="s">
        <v>412</v>
      </c>
      <c r="AZ660" t="s">
        <v>408</v>
      </c>
    </row>
    <row r="661" spans="1:52" x14ac:dyDescent="0.3">
      <c r="A661">
        <v>650</v>
      </c>
      <c r="B661" t="s">
        <v>620</v>
      </c>
      <c r="C661" t="s">
        <v>154</v>
      </c>
      <c r="D661" t="s">
        <v>621</v>
      </c>
      <c r="E661" t="s">
        <v>460</v>
      </c>
      <c r="F661" t="s">
        <v>408</v>
      </c>
      <c r="G661">
        <v>1733</v>
      </c>
      <c r="H661">
        <v>1700</v>
      </c>
      <c r="I661" t="s">
        <v>718</v>
      </c>
      <c r="J661">
        <v>1650</v>
      </c>
      <c r="K661">
        <v>1651</v>
      </c>
      <c r="L661" t="s">
        <v>728</v>
      </c>
      <c r="M661">
        <v>4</v>
      </c>
      <c r="N661" t="s">
        <v>167</v>
      </c>
      <c r="O661" t="s">
        <v>167</v>
      </c>
      <c r="P661" t="s">
        <v>420</v>
      </c>
      <c r="Q661" t="s">
        <v>623</v>
      </c>
      <c r="R661" t="s">
        <v>624</v>
      </c>
      <c r="S661">
        <v>2011</v>
      </c>
      <c r="T661">
        <v>6</v>
      </c>
      <c r="U661" t="s">
        <v>370</v>
      </c>
      <c r="V661" t="s">
        <v>408</v>
      </c>
      <c r="W661">
        <v>0</v>
      </c>
      <c r="X661">
        <v>0</v>
      </c>
      <c r="Y661" t="s">
        <v>408</v>
      </c>
      <c r="Z661">
        <v>2011</v>
      </c>
      <c r="AA661">
        <v>2011</v>
      </c>
      <c r="AB661" s="5">
        <v>7.6154538027800006E-2</v>
      </c>
      <c r="AC661" s="5">
        <v>0.152309076056</v>
      </c>
      <c r="AD661" t="s">
        <v>408</v>
      </c>
      <c r="AE661" t="s">
        <v>152</v>
      </c>
      <c r="AF661" t="s">
        <v>408</v>
      </c>
      <c r="AG661" t="s">
        <v>408</v>
      </c>
      <c r="AH661" t="s">
        <v>408</v>
      </c>
      <c r="AI661" t="s">
        <v>408</v>
      </c>
      <c r="AJ661" t="s">
        <v>408</v>
      </c>
      <c r="AK661" t="s">
        <v>408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s="58">
        <f t="shared" si="10"/>
        <v>1</v>
      </c>
      <c r="AU661" s="79">
        <v>43339</v>
      </c>
      <c r="AV661" t="s">
        <v>410</v>
      </c>
      <c r="AW661" t="s">
        <v>408</v>
      </c>
      <c r="AX661">
        <v>2</v>
      </c>
      <c r="AY661" t="s">
        <v>412</v>
      </c>
      <c r="AZ661" t="s">
        <v>408</v>
      </c>
    </row>
    <row r="662" spans="1:52" x14ac:dyDescent="0.3">
      <c r="A662">
        <v>651</v>
      </c>
      <c r="B662" t="s">
        <v>620</v>
      </c>
      <c r="C662" t="s">
        <v>154</v>
      </c>
      <c r="D662" t="s">
        <v>621</v>
      </c>
      <c r="E662" t="s">
        <v>460</v>
      </c>
      <c r="F662" t="s">
        <v>408</v>
      </c>
      <c r="G662">
        <v>1650</v>
      </c>
      <c r="H662">
        <v>1651</v>
      </c>
      <c r="I662" t="s">
        <v>728</v>
      </c>
      <c r="J662">
        <v>1600</v>
      </c>
      <c r="K662">
        <v>1601</v>
      </c>
      <c r="L662" t="s">
        <v>545</v>
      </c>
      <c r="M662">
        <v>4</v>
      </c>
      <c r="N662" t="s">
        <v>167</v>
      </c>
      <c r="O662" t="s">
        <v>167</v>
      </c>
      <c r="P662" t="s">
        <v>420</v>
      </c>
      <c r="Q662" t="s">
        <v>623</v>
      </c>
      <c r="R662" t="s">
        <v>624</v>
      </c>
      <c r="S662">
        <v>2011</v>
      </c>
      <c r="T662">
        <v>6</v>
      </c>
      <c r="U662" t="s">
        <v>370</v>
      </c>
      <c r="V662" t="s">
        <v>1353</v>
      </c>
      <c r="W662">
        <v>2018</v>
      </c>
      <c r="X662">
        <v>7</v>
      </c>
      <c r="Y662" t="s">
        <v>408</v>
      </c>
      <c r="Z662">
        <v>2018</v>
      </c>
      <c r="AA662">
        <v>2011</v>
      </c>
      <c r="AB662" s="5">
        <v>0.111493312441</v>
      </c>
      <c r="AC662" s="5">
        <v>0.222986624882</v>
      </c>
      <c r="AD662" t="s">
        <v>408</v>
      </c>
      <c r="AE662" t="s">
        <v>152</v>
      </c>
      <c r="AF662" t="s">
        <v>408</v>
      </c>
      <c r="AG662" t="s">
        <v>408</v>
      </c>
      <c r="AH662" t="s">
        <v>408</v>
      </c>
      <c r="AI662" t="s">
        <v>408</v>
      </c>
      <c r="AJ662" t="s">
        <v>408</v>
      </c>
      <c r="AK662" t="s">
        <v>408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s="58">
        <f t="shared" si="10"/>
        <v>1</v>
      </c>
      <c r="AU662" s="79">
        <v>43339</v>
      </c>
      <c r="AV662" t="s">
        <v>410</v>
      </c>
      <c r="AW662" t="s">
        <v>408</v>
      </c>
      <c r="AX662">
        <v>2</v>
      </c>
      <c r="AY662" t="s">
        <v>412</v>
      </c>
      <c r="AZ662" t="s">
        <v>408</v>
      </c>
    </row>
    <row r="663" spans="1:52" x14ac:dyDescent="0.3">
      <c r="A663">
        <v>652</v>
      </c>
      <c r="B663" t="s">
        <v>693</v>
      </c>
      <c r="C663" t="s">
        <v>155</v>
      </c>
      <c r="D663" t="s">
        <v>694</v>
      </c>
      <c r="E663" t="s">
        <v>460</v>
      </c>
      <c r="F663" t="s">
        <v>408</v>
      </c>
      <c r="G663">
        <v>7100</v>
      </c>
      <c r="H663">
        <v>7101</v>
      </c>
      <c r="I663" t="s">
        <v>1454</v>
      </c>
      <c r="J663">
        <v>6900</v>
      </c>
      <c r="K663">
        <v>6901</v>
      </c>
      <c r="L663" t="s">
        <v>520</v>
      </c>
      <c r="M663">
        <v>3</v>
      </c>
      <c r="N663" t="s">
        <v>165</v>
      </c>
      <c r="O663" t="s">
        <v>165</v>
      </c>
      <c r="P663" t="s">
        <v>403</v>
      </c>
      <c r="Q663" t="s">
        <v>1456</v>
      </c>
      <c r="R663" t="s">
        <v>703</v>
      </c>
      <c r="S663">
        <v>2014</v>
      </c>
      <c r="T663">
        <v>9</v>
      </c>
      <c r="U663" t="s">
        <v>408</v>
      </c>
      <c r="V663" t="s">
        <v>511</v>
      </c>
      <c r="W663">
        <v>2018</v>
      </c>
      <c r="X663">
        <v>8</v>
      </c>
      <c r="Y663" t="s">
        <v>408</v>
      </c>
      <c r="Z663">
        <v>2018</v>
      </c>
      <c r="AA663">
        <v>2002</v>
      </c>
      <c r="AB663" s="5">
        <v>0.188218347511</v>
      </c>
      <c r="AC663" s="5">
        <v>0.376436695022</v>
      </c>
      <c r="AD663" t="s">
        <v>408</v>
      </c>
      <c r="AE663" t="s">
        <v>152</v>
      </c>
      <c r="AF663" t="s">
        <v>408</v>
      </c>
      <c r="AG663" t="s">
        <v>408</v>
      </c>
      <c r="AH663" t="s">
        <v>408</v>
      </c>
      <c r="AI663" t="s">
        <v>408</v>
      </c>
      <c r="AJ663" t="s">
        <v>408</v>
      </c>
      <c r="AK663" t="s">
        <v>408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 s="58">
        <f t="shared" si="10"/>
        <v>1</v>
      </c>
      <c r="AU663" s="79">
        <v>43340</v>
      </c>
      <c r="AV663" s="78" t="s">
        <v>410</v>
      </c>
      <c r="AW663" t="s">
        <v>152</v>
      </c>
      <c r="AX663">
        <v>2</v>
      </c>
      <c r="AY663" t="s">
        <v>412</v>
      </c>
      <c r="AZ663" t="s">
        <v>408</v>
      </c>
    </row>
    <row r="664" spans="1:52" x14ac:dyDescent="0.3">
      <c r="A664">
        <v>653</v>
      </c>
      <c r="B664" t="s">
        <v>610</v>
      </c>
      <c r="C664" t="s">
        <v>152</v>
      </c>
      <c r="D664" t="s">
        <v>255</v>
      </c>
      <c r="E664" t="s">
        <v>611</v>
      </c>
      <c r="F664" t="s">
        <v>408</v>
      </c>
      <c r="G664">
        <v>6301</v>
      </c>
      <c r="H664">
        <v>6300</v>
      </c>
      <c r="I664" t="s">
        <v>1660</v>
      </c>
      <c r="J664">
        <v>5737</v>
      </c>
      <c r="K664">
        <v>5732</v>
      </c>
      <c r="L664" t="s">
        <v>613</v>
      </c>
      <c r="M664">
        <v>3</v>
      </c>
      <c r="N664" t="s">
        <v>167</v>
      </c>
      <c r="O664" t="s">
        <v>167</v>
      </c>
      <c r="P664" t="s">
        <v>420</v>
      </c>
      <c r="Q664" t="s">
        <v>614</v>
      </c>
      <c r="R664" t="s">
        <v>608</v>
      </c>
      <c r="S664">
        <v>2011</v>
      </c>
      <c r="T664">
        <v>8</v>
      </c>
      <c r="U664" t="s">
        <v>370</v>
      </c>
      <c r="V664" t="s">
        <v>408</v>
      </c>
      <c r="W664">
        <v>0</v>
      </c>
      <c r="X664">
        <v>0</v>
      </c>
      <c r="Y664" t="s">
        <v>408</v>
      </c>
      <c r="Z664">
        <v>2011</v>
      </c>
      <c r="AA664">
        <v>2011</v>
      </c>
      <c r="AB664" s="5">
        <v>0.19319109806599999</v>
      </c>
      <c r="AC664" s="5">
        <v>0.38638219613199998</v>
      </c>
      <c r="AD664" t="s">
        <v>408</v>
      </c>
      <c r="AE664" t="s">
        <v>152</v>
      </c>
      <c r="AF664" t="s">
        <v>408</v>
      </c>
      <c r="AG664" t="s">
        <v>408</v>
      </c>
      <c r="AH664" t="s">
        <v>408</v>
      </c>
      <c r="AI664" t="s">
        <v>408</v>
      </c>
      <c r="AJ664" t="s">
        <v>408</v>
      </c>
      <c r="AK664" t="s">
        <v>408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 s="58">
        <f t="shared" si="10"/>
        <v>1</v>
      </c>
      <c r="AU664" s="79">
        <v>43339</v>
      </c>
      <c r="AV664" t="s">
        <v>410</v>
      </c>
      <c r="AW664" t="s">
        <v>408</v>
      </c>
      <c r="AX664">
        <v>2</v>
      </c>
      <c r="AY664" t="s">
        <v>412</v>
      </c>
      <c r="AZ664" t="s">
        <v>408</v>
      </c>
    </row>
    <row r="665" spans="1:52" x14ac:dyDescent="0.3">
      <c r="A665">
        <v>654</v>
      </c>
      <c r="B665" t="s">
        <v>610</v>
      </c>
      <c r="C665" t="s">
        <v>152</v>
      </c>
      <c r="D665" t="s">
        <v>255</v>
      </c>
      <c r="E665" t="s">
        <v>611</v>
      </c>
      <c r="F665" t="s">
        <v>408</v>
      </c>
      <c r="G665">
        <v>6191</v>
      </c>
      <c r="H665">
        <v>6190</v>
      </c>
      <c r="I665" t="s">
        <v>616</v>
      </c>
      <c r="J665">
        <v>6301</v>
      </c>
      <c r="K665">
        <v>6300</v>
      </c>
      <c r="L665" t="s">
        <v>1661</v>
      </c>
      <c r="M665">
        <v>3</v>
      </c>
      <c r="N665" t="s">
        <v>167</v>
      </c>
      <c r="O665" t="s">
        <v>167</v>
      </c>
      <c r="P665" t="s">
        <v>420</v>
      </c>
      <c r="Q665" t="s">
        <v>614</v>
      </c>
      <c r="R665" t="s">
        <v>608</v>
      </c>
      <c r="S665">
        <v>2011</v>
      </c>
      <c r="T665">
        <v>8</v>
      </c>
      <c r="U665" t="s">
        <v>370</v>
      </c>
      <c r="V665" t="s">
        <v>513</v>
      </c>
      <c r="W665">
        <v>2018</v>
      </c>
      <c r="X665">
        <v>0</v>
      </c>
      <c r="Y665" t="s">
        <v>408</v>
      </c>
      <c r="Z665">
        <v>2018</v>
      </c>
      <c r="AA665">
        <v>2011</v>
      </c>
      <c r="AB665" s="5">
        <v>0.17176614081399999</v>
      </c>
      <c r="AC665" s="5">
        <v>0.34353228162799998</v>
      </c>
      <c r="AD665" t="s">
        <v>408</v>
      </c>
      <c r="AE665" t="s">
        <v>152</v>
      </c>
      <c r="AF665" t="s">
        <v>408</v>
      </c>
      <c r="AG665" t="s">
        <v>408</v>
      </c>
      <c r="AH665" t="s">
        <v>408</v>
      </c>
      <c r="AI665" t="s">
        <v>408</v>
      </c>
      <c r="AJ665" t="s">
        <v>408</v>
      </c>
      <c r="AK665" t="s">
        <v>408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 s="58">
        <f t="shared" si="10"/>
        <v>1</v>
      </c>
      <c r="AU665" s="79">
        <v>43339</v>
      </c>
      <c r="AV665" t="s">
        <v>410</v>
      </c>
      <c r="AW665" t="s">
        <v>408</v>
      </c>
      <c r="AX665">
        <v>2</v>
      </c>
      <c r="AY665" t="s">
        <v>412</v>
      </c>
      <c r="AZ665" t="s">
        <v>408</v>
      </c>
    </row>
    <row r="666" spans="1:52" x14ac:dyDescent="0.3">
      <c r="A666">
        <v>655</v>
      </c>
      <c r="B666" t="s">
        <v>500</v>
      </c>
      <c r="C666" t="s">
        <v>154</v>
      </c>
      <c r="D666" t="s">
        <v>501</v>
      </c>
      <c r="E666" t="s">
        <v>466</v>
      </c>
      <c r="F666" t="s">
        <v>447</v>
      </c>
      <c r="G666">
        <v>901</v>
      </c>
      <c r="H666">
        <v>900</v>
      </c>
      <c r="I666" t="s">
        <v>1662</v>
      </c>
      <c r="J666">
        <v>801</v>
      </c>
      <c r="K666">
        <v>800</v>
      </c>
      <c r="L666" t="s">
        <v>502</v>
      </c>
      <c r="M666">
        <v>4</v>
      </c>
      <c r="N666" t="s">
        <v>165</v>
      </c>
      <c r="O666" t="s">
        <v>165</v>
      </c>
      <c r="P666" t="s">
        <v>403</v>
      </c>
      <c r="Q666" t="s">
        <v>1253</v>
      </c>
      <c r="R666" t="s">
        <v>562</v>
      </c>
      <c r="S666">
        <v>2014</v>
      </c>
      <c r="T666">
        <v>10</v>
      </c>
      <c r="U666" t="s">
        <v>842</v>
      </c>
      <c r="V666" t="s">
        <v>513</v>
      </c>
      <c r="W666">
        <v>2018</v>
      </c>
      <c r="X666">
        <v>5</v>
      </c>
      <c r="Y666" t="s">
        <v>408</v>
      </c>
      <c r="Z666">
        <v>2014</v>
      </c>
      <c r="AA666">
        <v>2012</v>
      </c>
      <c r="AB666" s="5">
        <v>0.120269668807</v>
      </c>
      <c r="AC666" s="5">
        <v>0.120269668807</v>
      </c>
      <c r="AD666" t="s">
        <v>408</v>
      </c>
      <c r="AE666" t="s">
        <v>411</v>
      </c>
      <c r="AF666" t="s">
        <v>447</v>
      </c>
      <c r="AG666" t="s">
        <v>152</v>
      </c>
      <c r="AH666" t="s">
        <v>408</v>
      </c>
      <c r="AI666" t="s">
        <v>408</v>
      </c>
      <c r="AJ666" t="s">
        <v>408</v>
      </c>
      <c r="AK666" t="s">
        <v>408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 s="58">
        <f t="shared" si="10"/>
        <v>1</v>
      </c>
      <c r="AU666" s="79">
        <v>43335</v>
      </c>
      <c r="AV666" t="s">
        <v>410</v>
      </c>
      <c r="AW666" t="s">
        <v>152</v>
      </c>
      <c r="AX666">
        <v>2</v>
      </c>
      <c r="AY666" t="s">
        <v>412</v>
      </c>
      <c r="AZ666" t="s">
        <v>408</v>
      </c>
    </row>
    <row r="667" spans="1:52" x14ac:dyDescent="0.3">
      <c r="A667">
        <v>656</v>
      </c>
      <c r="B667" t="s">
        <v>1146</v>
      </c>
      <c r="C667" t="s">
        <v>155</v>
      </c>
      <c r="D667" t="s">
        <v>1147</v>
      </c>
      <c r="E667" t="s">
        <v>417</v>
      </c>
      <c r="F667" t="s">
        <v>408</v>
      </c>
      <c r="G667">
        <v>1159</v>
      </c>
      <c r="H667">
        <v>1158</v>
      </c>
      <c r="I667" t="s">
        <v>631</v>
      </c>
      <c r="J667">
        <v>1001</v>
      </c>
      <c r="K667">
        <v>1000</v>
      </c>
      <c r="L667" t="s">
        <v>958</v>
      </c>
      <c r="M667">
        <v>3</v>
      </c>
      <c r="N667" t="s">
        <v>163</v>
      </c>
      <c r="O667" t="s">
        <v>163</v>
      </c>
      <c r="P667" t="s">
        <v>403</v>
      </c>
      <c r="Q667" t="s">
        <v>1148</v>
      </c>
      <c r="R667" t="s">
        <v>885</v>
      </c>
      <c r="S667">
        <v>2013</v>
      </c>
      <c r="T667">
        <v>10</v>
      </c>
      <c r="U667" t="s">
        <v>1663</v>
      </c>
      <c r="V667" t="s">
        <v>511</v>
      </c>
      <c r="W667">
        <v>2018</v>
      </c>
      <c r="X667">
        <v>7</v>
      </c>
      <c r="Y667" t="s">
        <v>408</v>
      </c>
      <c r="Z667">
        <v>2018</v>
      </c>
      <c r="AA667">
        <v>2013</v>
      </c>
      <c r="AB667" s="5">
        <v>0.17292280742300001</v>
      </c>
      <c r="AC667" s="5">
        <v>0.34584561484600002</v>
      </c>
      <c r="AD667" t="s">
        <v>408</v>
      </c>
      <c r="AE667" t="s">
        <v>152</v>
      </c>
      <c r="AF667" t="s">
        <v>408</v>
      </c>
      <c r="AG667" t="s">
        <v>408</v>
      </c>
      <c r="AH667" t="s">
        <v>152</v>
      </c>
      <c r="AI667" t="s">
        <v>470</v>
      </c>
      <c r="AJ667" t="s">
        <v>400</v>
      </c>
      <c r="AK667" t="s">
        <v>408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 s="58">
        <f t="shared" si="10"/>
        <v>1</v>
      </c>
      <c r="AU667" s="79" t="s">
        <v>471</v>
      </c>
      <c r="AV667" s="78" t="s">
        <v>410</v>
      </c>
      <c r="AW667" t="s">
        <v>411</v>
      </c>
      <c r="AX667">
        <v>1</v>
      </c>
      <c r="AY667" t="s">
        <v>412</v>
      </c>
      <c r="AZ667" t="s">
        <v>408</v>
      </c>
    </row>
    <row r="668" spans="1:52" x14ac:dyDescent="0.3">
      <c r="A668">
        <v>657</v>
      </c>
      <c r="B668" t="s">
        <v>1026</v>
      </c>
      <c r="C668" t="s">
        <v>155</v>
      </c>
      <c r="D668" t="s">
        <v>881</v>
      </c>
      <c r="E668" t="s">
        <v>460</v>
      </c>
      <c r="F668" t="s">
        <v>408</v>
      </c>
      <c r="G668">
        <v>801</v>
      </c>
      <c r="H668">
        <v>800</v>
      </c>
      <c r="I668" t="s">
        <v>632</v>
      </c>
      <c r="J668">
        <v>429</v>
      </c>
      <c r="K668">
        <v>434</v>
      </c>
      <c r="L668" t="s">
        <v>747</v>
      </c>
      <c r="M668">
        <v>3</v>
      </c>
      <c r="N668" t="s">
        <v>170</v>
      </c>
      <c r="O668" t="s">
        <v>170</v>
      </c>
      <c r="P668" t="s">
        <v>420</v>
      </c>
      <c r="Q668" t="s">
        <v>408</v>
      </c>
      <c r="R668" t="s">
        <v>897</v>
      </c>
      <c r="S668">
        <v>2005</v>
      </c>
      <c r="T668">
        <v>11</v>
      </c>
      <c r="U668" t="s">
        <v>408</v>
      </c>
      <c r="V668" t="s">
        <v>511</v>
      </c>
      <c r="W668">
        <v>2018</v>
      </c>
      <c r="X668">
        <v>8</v>
      </c>
      <c r="Y668" t="s">
        <v>1664</v>
      </c>
      <c r="Z668">
        <v>2018</v>
      </c>
      <c r="AA668">
        <v>2018</v>
      </c>
      <c r="AB668" s="5">
        <v>0.25190994186400001</v>
      </c>
      <c r="AC668" s="5">
        <v>0.50381988372800002</v>
      </c>
      <c r="AD668" t="s">
        <v>408</v>
      </c>
      <c r="AE668" t="s">
        <v>152</v>
      </c>
      <c r="AF668" t="s">
        <v>408</v>
      </c>
      <c r="AG668" t="s">
        <v>408</v>
      </c>
      <c r="AH668" t="s">
        <v>408</v>
      </c>
      <c r="AI668" t="s">
        <v>408</v>
      </c>
      <c r="AJ668" t="s">
        <v>408</v>
      </c>
      <c r="AK668" t="s">
        <v>408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s="58">
        <f t="shared" si="10"/>
        <v>1</v>
      </c>
      <c r="AU668" s="79">
        <v>43343</v>
      </c>
      <c r="AV668" s="78" t="s">
        <v>410</v>
      </c>
      <c r="AW668" t="s">
        <v>408</v>
      </c>
      <c r="AX668">
        <v>2</v>
      </c>
      <c r="AY668" t="s">
        <v>412</v>
      </c>
      <c r="AZ668" t="s">
        <v>408</v>
      </c>
    </row>
    <row r="669" spans="1:52" x14ac:dyDescent="0.3">
      <c r="A669">
        <v>658</v>
      </c>
      <c r="B669" t="s">
        <v>477</v>
      </c>
      <c r="C669" t="s">
        <v>152</v>
      </c>
      <c r="D669" t="s">
        <v>478</v>
      </c>
      <c r="E669" t="s">
        <v>417</v>
      </c>
      <c r="F669" t="s">
        <v>400</v>
      </c>
      <c r="G669">
        <v>717</v>
      </c>
      <c r="H669">
        <v>716</v>
      </c>
      <c r="I669" t="s">
        <v>1459</v>
      </c>
      <c r="J669">
        <v>431</v>
      </c>
      <c r="K669">
        <v>430</v>
      </c>
      <c r="L669" t="s">
        <v>947</v>
      </c>
      <c r="M669">
        <v>2</v>
      </c>
      <c r="N669" t="s">
        <v>163</v>
      </c>
      <c r="O669" t="s">
        <v>163</v>
      </c>
      <c r="P669" t="s">
        <v>403</v>
      </c>
      <c r="Q669" t="s">
        <v>408</v>
      </c>
      <c r="R669" t="s">
        <v>1665</v>
      </c>
      <c r="S669">
        <v>2021</v>
      </c>
      <c r="T669">
        <v>10</v>
      </c>
      <c r="U669" t="s">
        <v>1462</v>
      </c>
      <c r="V669" t="s">
        <v>408</v>
      </c>
      <c r="W669">
        <v>0</v>
      </c>
      <c r="X669">
        <v>0</v>
      </c>
      <c r="Y669" t="s">
        <v>408</v>
      </c>
      <c r="Z669">
        <v>2021</v>
      </c>
      <c r="AA669">
        <v>2014</v>
      </c>
      <c r="AB669" s="5">
        <v>0.22703338554399999</v>
      </c>
      <c r="AC669" s="5">
        <v>0.45406677108799998</v>
      </c>
      <c r="AD669" t="s">
        <v>408</v>
      </c>
      <c r="AE669" t="s">
        <v>152</v>
      </c>
      <c r="AF669" t="s">
        <v>408</v>
      </c>
      <c r="AG669" t="s">
        <v>152</v>
      </c>
      <c r="AH669" t="s">
        <v>408</v>
      </c>
      <c r="AI669" t="s">
        <v>470</v>
      </c>
      <c r="AJ669" t="s">
        <v>400</v>
      </c>
      <c r="AK669" t="s">
        <v>411</v>
      </c>
      <c r="AL669">
        <v>2017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 s="58">
        <f t="shared" si="10"/>
        <v>1</v>
      </c>
      <c r="AU669" s="79" t="s">
        <v>784</v>
      </c>
      <c r="AV669" t="s">
        <v>410</v>
      </c>
      <c r="AW669" t="s">
        <v>411</v>
      </c>
      <c r="AX669">
        <v>2</v>
      </c>
      <c r="AY669" t="s">
        <v>412</v>
      </c>
      <c r="AZ669" t="s">
        <v>408</v>
      </c>
    </row>
    <row r="670" spans="1:52" x14ac:dyDescent="0.3">
      <c r="A670">
        <v>659</v>
      </c>
      <c r="B670" t="s">
        <v>477</v>
      </c>
      <c r="C670" t="s">
        <v>152</v>
      </c>
      <c r="D670" t="s">
        <v>478</v>
      </c>
      <c r="E670" t="s">
        <v>417</v>
      </c>
      <c r="F670" t="s">
        <v>408</v>
      </c>
      <c r="G670">
        <v>1200</v>
      </c>
      <c r="H670">
        <v>1201</v>
      </c>
      <c r="I670" t="s">
        <v>699</v>
      </c>
      <c r="J670">
        <v>1250</v>
      </c>
      <c r="K670">
        <v>1251</v>
      </c>
      <c r="L670" t="s">
        <v>1666</v>
      </c>
      <c r="M670">
        <v>2</v>
      </c>
      <c r="N670" t="s">
        <v>165</v>
      </c>
      <c r="O670" t="s">
        <v>165</v>
      </c>
      <c r="P670" t="s">
        <v>403</v>
      </c>
      <c r="Q670" t="s">
        <v>408</v>
      </c>
      <c r="R670" t="s">
        <v>556</v>
      </c>
      <c r="S670">
        <v>2012</v>
      </c>
      <c r="T670">
        <v>10</v>
      </c>
      <c r="U670" t="s">
        <v>370</v>
      </c>
      <c r="V670" t="s">
        <v>511</v>
      </c>
      <c r="W670">
        <v>2018</v>
      </c>
      <c r="X670">
        <v>8</v>
      </c>
      <c r="Y670" t="s">
        <v>408</v>
      </c>
      <c r="Z670">
        <v>2018</v>
      </c>
      <c r="AA670">
        <v>2012</v>
      </c>
      <c r="AB670" s="5">
        <v>0.10082520022700001</v>
      </c>
      <c r="AC670" s="5">
        <v>0.20165040045400001</v>
      </c>
      <c r="AD670" t="s">
        <v>408</v>
      </c>
      <c r="AE670" t="s">
        <v>152</v>
      </c>
      <c r="AF670" t="s">
        <v>408</v>
      </c>
      <c r="AG670" t="s">
        <v>408</v>
      </c>
      <c r="AH670" t="s">
        <v>408</v>
      </c>
      <c r="AI670" t="s">
        <v>408</v>
      </c>
      <c r="AJ670" t="s">
        <v>408</v>
      </c>
      <c r="AK670" t="s">
        <v>408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 s="58">
        <f t="shared" si="10"/>
        <v>1</v>
      </c>
      <c r="AU670" s="79">
        <v>43333</v>
      </c>
      <c r="AV670" t="s">
        <v>410</v>
      </c>
      <c r="AW670" t="s">
        <v>152</v>
      </c>
      <c r="AX670">
        <v>2</v>
      </c>
      <c r="AY670" t="s">
        <v>412</v>
      </c>
      <c r="AZ670" t="s">
        <v>408</v>
      </c>
    </row>
    <row r="671" spans="1:52" x14ac:dyDescent="0.3">
      <c r="A671">
        <v>660</v>
      </c>
      <c r="B671" t="s">
        <v>477</v>
      </c>
      <c r="C671" t="s">
        <v>152</v>
      </c>
      <c r="D671" t="s">
        <v>478</v>
      </c>
      <c r="E671" t="s">
        <v>417</v>
      </c>
      <c r="F671" t="s">
        <v>408</v>
      </c>
      <c r="G671">
        <v>3200</v>
      </c>
      <c r="H671">
        <v>3201</v>
      </c>
      <c r="I671" t="s">
        <v>1667</v>
      </c>
      <c r="J671">
        <v>3300</v>
      </c>
      <c r="K671">
        <v>3301</v>
      </c>
      <c r="L671" t="s">
        <v>809</v>
      </c>
      <c r="M671">
        <v>2</v>
      </c>
      <c r="N671" t="s">
        <v>167</v>
      </c>
      <c r="O671" t="s">
        <v>167</v>
      </c>
      <c r="P671" t="s">
        <v>414</v>
      </c>
      <c r="Q671" t="s">
        <v>408</v>
      </c>
      <c r="R671" t="s">
        <v>810</v>
      </c>
      <c r="S671">
        <v>2004</v>
      </c>
      <c r="T671">
        <v>7</v>
      </c>
      <c r="U671" t="s">
        <v>408</v>
      </c>
      <c r="V671" t="s">
        <v>487</v>
      </c>
      <c r="W671">
        <v>2020</v>
      </c>
      <c r="X671">
        <v>0</v>
      </c>
      <c r="Y671" t="s">
        <v>408</v>
      </c>
      <c r="Z671">
        <v>2020</v>
      </c>
      <c r="AA671">
        <v>2012</v>
      </c>
      <c r="AB671" s="5">
        <v>0.12524192976199999</v>
      </c>
      <c r="AC671" s="5">
        <v>0.25048385952399999</v>
      </c>
      <c r="AD671" t="s">
        <v>408</v>
      </c>
      <c r="AE671" t="s">
        <v>152</v>
      </c>
      <c r="AF671" t="s">
        <v>408</v>
      </c>
      <c r="AG671" t="s">
        <v>408</v>
      </c>
      <c r="AH671" t="s">
        <v>408</v>
      </c>
      <c r="AI671" t="s">
        <v>408</v>
      </c>
      <c r="AJ671" t="s">
        <v>408</v>
      </c>
      <c r="AK671" t="s">
        <v>408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s="58">
        <f t="shared" si="10"/>
        <v>1</v>
      </c>
      <c r="AU671" s="79" t="s">
        <v>488</v>
      </c>
      <c r="AV671" s="78" t="s">
        <v>410</v>
      </c>
      <c r="AW671" t="s">
        <v>408</v>
      </c>
      <c r="AX671">
        <v>2</v>
      </c>
      <c r="AY671" t="s">
        <v>412</v>
      </c>
      <c r="AZ671" t="s">
        <v>408</v>
      </c>
    </row>
    <row r="672" spans="1:52" x14ac:dyDescent="0.3">
      <c r="A672">
        <v>661</v>
      </c>
      <c r="B672" t="s">
        <v>477</v>
      </c>
      <c r="C672" t="s">
        <v>152</v>
      </c>
      <c r="D672" t="s">
        <v>478</v>
      </c>
      <c r="E672" t="s">
        <v>417</v>
      </c>
      <c r="F672" t="s">
        <v>408</v>
      </c>
      <c r="G672">
        <v>3114</v>
      </c>
      <c r="H672">
        <v>3115</v>
      </c>
      <c r="I672" t="s">
        <v>1155</v>
      </c>
      <c r="J672">
        <v>3200</v>
      </c>
      <c r="K672">
        <v>3201</v>
      </c>
      <c r="L672" t="s">
        <v>803</v>
      </c>
      <c r="M672">
        <v>2</v>
      </c>
      <c r="N672" t="s">
        <v>167</v>
      </c>
      <c r="O672" t="s">
        <v>167</v>
      </c>
      <c r="P672" t="s">
        <v>414</v>
      </c>
      <c r="Q672" t="s">
        <v>408</v>
      </c>
      <c r="R672" t="s">
        <v>810</v>
      </c>
      <c r="S672">
        <v>2004</v>
      </c>
      <c r="T672">
        <v>7</v>
      </c>
      <c r="U672" t="s">
        <v>408</v>
      </c>
      <c r="V672" t="s">
        <v>487</v>
      </c>
      <c r="W672">
        <v>2020</v>
      </c>
      <c r="X672">
        <v>0</v>
      </c>
      <c r="Y672" t="s">
        <v>408</v>
      </c>
      <c r="Z672">
        <v>2020</v>
      </c>
      <c r="AA672">
        <v>2012</v>
      </c>
      <c r="AB672" s="5">
        <v>0.125478075478</v>
      </c>
      <c r="AC672" s="5">
        <v>0.25095615095599999</v>
      </c>
      <c r="AD672" t="s">
        <v>408</v>
      </c>
      <c r="AE672" t="s">
        <v>152</v>
      </c>
      <c r="AF672" t="s">
        <v>408</v>
      </c>
      <c r="AG672" t="s">
        <v>408</v>
      </c>
      <c r="AH672" t="s">
        <v>408</v>
      </c>
      <c r="AI672" t="s">
        <v>408</v>
      </c>
      <c r="AJ672" t="s">
        <v>408</v>
      </c>
      <c r="AK672" t="s">
        <v>408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s="58">
        <f t="shared" si="10"/>
        <v>1</v>
      </c>
      <c r="AU672" s="79" t="s">
        <v>488</v>
      </c>
      <c r="AV672" t="s">
        <v>410</v>
      </c>
      <c r="AW672" t="s">
        <v>408</v>
      </c>
      <c r="AX672">
        <v>2</v>
      </c>
      <c r="AY672" t="s">
        <v>412</v>
      </c>
      <c r="AZ672" t="s">
        <v>408</v>
      </c>
    </row>
    <row r="673" spans="1:52" x14ac:dyDescent="0.3">
      <c r="A673">
        <v>662</v>
      </c>
      <c r="B673" t="s">
        <v>477</v>
      </c>
      <c r="C673" t="s">
        <v>152</v>
      </c>
      <c r="D673" t="s">
        <v>478</v>
      </c>
      <c r="E673" t="s">
        <v>417</v>
      </c>
      <c r="F673" t="s">
        <v>408</v>
      </c>
      <c r="G673">
        <v>3734</v>
      </c>
      <c r="H673">
        <v>3733</v>
      </c>
      <c r="I673" t="s">
        <v>1668</v>
      </c>
      <c r="J673">
        <v>3769</v>
      </c>
      <c r="K673">
        <v>3759</v>
      </c>
      <c r="L673" t="s">
        <v>937</v>
      </c>
      <c r="M673">
        <v>2</v>
      </c>
      <c r="N673" t="s">
        <v>167</v>
      </c>
      <c r="O673" t="s">
        <v>167</v>
      </c>
      <c r="P673" t="s">
        <v>420</v>
      </c>
      <c r="Q673" t="s">
        <v>408</v>
      </c>
      <c r="R673" t="s">
        <v>810</v>
      </c>
      <c r="S673">
        <v>2004</v>
      </c>
      <c r="T673">
        <v>7</v>
      </c>
      <c r="U673" t="s">
        <v>408</v>
      </c>
      <c r="V673" t="s">
        <v>453</v>
      </c>
      <c r="W673">
        <v>2018</v>
      </c>
      <c r="X673">
        <v>6</v>
      </c>
      <c r="Y673" t="s">
        <v>408</v>
      </c>
      <c r="Z673">
        <v>2018</v>
      </c>
      <c r="AA673">
        <v>2010</v>
      </c>
      <c r="AB673" s="5">
        <v>9.5163695741800003E-2</v>
      </c>
      <c r="AC673" s="5">
        <v>0.19032739148399999</v>
      </c>
      <c r="AD673" t="s">
        <v>408</v>
      </c>
      <c r="AE673" t="s">
        <v>152</v>
      </c>
      <c r="AF673" t="s">
        <v>408</v>
      </c>
      <c r="AG673" t="s">
        <v>408</v>
      </c>
      <c r="AH673" t="s">
        <v>408</v>
      </c>
      <c r="AI673" t="s">
        <v>408</v>
      </c>
      <c r="AJ673" t="s">
        <v>408</v>
      </c>
      <c r="AK673" t="s">
        <v>408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s="58">
        <f t="shared" si="10"/>
        <v>1</v>
      </c>
      <c r="AU673" s="79">
        <v>43333</v>
      </c>
      <c r="AV673" t="s">
        <v>410</v>
      </c>
      <c r="AW673" t="s">
        <v>408</v>
      </c>
      <c r="AX673">
        <v>2</v>
      </c>
      <c r="AY673" t="s">
        <v>412</v>
      </c>
      <c r="AZ673" t="s">
        <v>408</v>
      </c>
    </row>
    <row r="674" spans="1:52" x14ac:dyDescent="0.3">
      <c r="A674">
        <v>663</v>
      </c>
      <c r="B674" t="s">
        <v>641</v>
      </c>
      <c r="C674" t="s">
        <v>152</v>
      </c>
      <c r="D674" t="s">
        <v>642</v>
      </c>
      <c r="E674" t="s">
        <v>460</v>
      </c>
      <c r="F674" t="s">
        <v>408</v>
      </c>
      <c r="G674">
        <v>2162</v>
      </c>
      <c r="H674">
        <v>2169</v>
      </c>
      <c r="I674" t="s">
        <v>644</v>
      </c>
      <c r="J674">
        <v>2400</v>
      </c>
      <c r="K674">
        <v>2401</v>
      </c>
      <c r="L674" t="s">
        <v>890</v>
      </c>
      <c r="M674">
        <v>3</v>
      </c>
      <c r="N674" t="s">
        <v>165</v>
      </c>
      <c r="O674" t="s">
        <v>165</v>
      </c>
      <c r="P674" t="s">
        <v>420</v>
      </c>
      <c r="Q674" t="s">
        <v>1525</v>
      </c>
      <c r="R674" t="s">
        <v>556</v>
      </c>
      <c r="S674">
        <v>2013</v>
      </c>
      <c r="T674">
        <v>8</v>
      </c>
      <c r="U674" t="s">
        <v>370</v>
      </c>
      <c r="V674" t="s">
        <v>408</v>
      </c>
      <c r="W674">
        <v>0</v>
      </c>
      <c r="X674">
        <v>0</v>
      </c>
      <c r="Y674" t="s">
        <v>408</v>
      </c>
      <c r="Z674">
        <v>2013</v>
      </c>
      <c r="AA674">
        <v>2013</v>
      </c>
      <c r="AB674" s="5">
        <v>0.43772610520799998</v>
      </c>
      <c r="AC674" s="5">
        <v>0.87545221041599997</v>
      </c>
      <c r="AD674" t="s">
        <v>408</v>
      </c>
      <c r="AE674" t="s">
        <v>152</v>
      </c>
      <c r="AF674" t="s">
        <v>408</v>
      </c>
      <c r="AG674" t="s">
        <v>408</v>
      </c>
      <c r="AH674" t="s">
        <v>408</v>
      </c>
      <c r="AI674" t="s">
        <v>408</v>
      </c>
      <c r="AJ674" t="s">
        <v>408</v>
      </c>
      <c r="AK674" t="s">
        <v>408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s="58">
        <f t="shared" si="10"/>
        <v>1</v>
      </c>
      <c r="AU674" s="79">
        <v>43339</v>
      </c>
      <c r="AV674" t="s">
        <v>410</v>
      </c>
      <c r="AW674" t="s">
        <v>152</v>
      </c>
      <c r="AX674">
        <v>2</v>
      </c>
      <c r="AY674" t="s">
        <v>412</v>
      </c>
      <c r="AZ674" t="s">
        <v>408</v>
      </c>
    </row>
    <row r="675" spans="1:52" x14ac:dyDescent="0.3">
      <c r="A675">
        <v>664</v>
      </c>
      <c r="B675" t="s">
        <v>641</v>
      </c>
      <c r="C675" t="s">
        <v>152</v>
      </c>
      <c r="D675" t="s">
        <v>642</v>
      </c>
      <c r="E675" t="s">
        <v>460</v>
      </c>
      <c r="F675" t="s">
        <v>408</v>
      </c>
      <c r="G675">
        <v>2400</v>
      </c>
      <c r="H675">
        <v>2401</v>
      </c>
      <c r="I675" t="s">
        <v>890</v>
      </c>
      <c r="J675">
        <v>2800</v>
      </c>
      <c r="K675">
        <v>2801</v>
      </c>
      <c r="L675" t="s">
        <v>483</v>
      </c>
      <c r="M675">
        <v>3</v>
      </c>
      <c r="N675" t="s">
        <v>165</v>
      </c>
      <c r="O675" t="s">
        <v>165</v>
      </c>
      <c r="P675" t="s">
        <v>420</v>
      </c>
      <c r="Q675" t="s">
        <v>1525</v>
      </c>
      <c r="R675" t="s">
        <v>556</v>
      </c>
      <c r="S675">
        <v>2013</v>
      </c>
      <c r="T675">
        <v>8</v>
      </c>
      <c r="U675" t="s">
        <v>370</v>
      </c>
      <c r="V675" t="s">
        <v>408</v>
      </c>
      <c r="W675">
        <v>0</v>
      </c>
      <c r="X675">
        <v>0</v>
      </c>
      <c r="Y675" t="s">
        <v>408</v>
      </c>
      <c r="Z675">
        <v>2013</v>
      </c>
      <c r="AA675">
        <v>2013</v>
      </c>
      <c r="AB675" s="5">
        <v>0.67184178010700002</v>
      </c>
      <c r="AC675" s="5">
        <v>1.3436835602099999</v>
      </c>
      <c r="AD675" t="s">
        <v>408</v>
      </c>
      <c r="AE675" t="s">
        <v>152</v>
      </c>
      <c r="AF675" t="s">
        <v>408</v>
      </c>
      <c r="AG675" t="s">
        <v>408</v>
      </c>
      <c r="AH675" t="s">
        <v>408</v>
      </c>
      <c r="AI675" t="s">
        <v>408</v>
      </c>
      <c r="AJ675" t="s">
        <v>408</v>
      </c>
      <c r="AK675" t="s">
        <v>408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s="58">
        <f t="shared" si="10"/>
        <v>1</v>
      </c>
      <c r="AU675" s="79">
        <v>43339</v>
      </c>
      <c r="AV675" t="s">
        <v>410</v>
      </c>
      <c r="AW675" t="s">
        <v>152</v>
      </c>
      <c r="AX675">
        <v>2</v>
      </c>
      <c r="AY675" t="s">
        <v>412</v>
      </c>
      <c r="AZ675" t="s">
        <v>408</v>
      </c>
    </row>
    <row r="676" spans="1:52" x14ac:dyDescent="0.3">
      <c r="A676">
        <v>665</v>
      </c>
      <c r="B676" t="s">
        <v>709</v>
      </c>
      <c r="C676" t="s">
        <v>154</v>
      </c>
      <c r="D676" t="s">
        <v>710</v>
      </c>
      <c r="E676" t="s">
        <v>460</v>
      </c>
      <c r="F676" t="s">
        <v>408</v>
      </c>
      <c r="G676">
        <v>4744</v>
      </c>
      <c r="H676">
        <v>4745</v>
      </c>
      <c r="I676" t="s">
        <v>474</v>
      </c>
      <c r="J676">
        <v>4800</v>
      </c>
      <c r="K676">
        <v>4801</v>
      </c>
      <c r="L676" t="s">
        <v>1068</v>
      </c>
      <c r="M676">
        <v>2</v>
      </c>
      <c r="N676" t="s">
        <v>165</v>
      </c>
      <c r="O676" t="s">
        <v>165</v>
      </c>
      <c r="P676" t="s">
        <v>403</v>
      </c>
      <c r="Q676" t="s">
        <v>1479</v>
      </c>
      <c r="R676" t="s">
        <v>942</v>
      </c>
      <c r="S676">
        <v>2015</v>
      </c>
      <c r="T676">
        <v>7</v>
      </c>
      <c r="U676" t="s">
        <v>1480</v>
      </c>
      <c r="V676" t="s">
        <v>695</v>
      </c>
      <c r="W676">
        <v>2020</v>
      </c>
      <c r="X676">
        <v>0</v>
      </c>
      <c r="Y676" t="s">
        <v>370</v>
      </c>
      <c r="Z676">
        <v>2020</v>
      </c>
      <c r="AA676">
        <v>2020</v>
      </c>
      <c r="AB676" s="5">
        <v>0.67116940109500001</v>
      </c>
      <c r="AC676" s="5">
        <v>1.34233880219</v>
      </c>
      <c r="AD676" t="s">
        <v>408</v>
      </c>
      <c r="AE676" t="s">
        <v>152</v>
      </c>
      <c r="AF676" t="s">
        <v>408</v>
      </c>
      <c r="AG676" t="s">
        <v>408</v>
      </c>
      <c r="AH676" t="s">
        <v>408</v>
      </c>
      <c r="AI676" t="s">
        <v>408</v>
      </c>
      <c r="AJ676" t="s">
        <v>408</v>
      </c>
      <c r="AK676" t="s">
        <v>411</v>
      </c>
      <c r="AL676">
        <v>2015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 s="58">
        <f t="shared" si="10"/>
        <v>1</v>
      </c>
      <c r="AU676" s="79" t="s">
        <v>431</v>
      </c>
      <c r="AV676" s="78" t="s">
        <v>410</v>
      </c>
      <c r="AW676" t="s">
        <v>152</v>
      </c>
      <c r="AX676">
        <v>2</v>
      </c>
      <c r="AY676" t="s">
        <v>412</v>
      </c>
      <c r="AZ676" t="s">
        <v>408</v>
      </c>
    </row>
    <row r="677" spans="1:52" x14ac:dyDescent="0.3">
      <c r="A677">
        <v>666</v>
      </c>
      <c r="B677" t="s">
        <v>888</v>
      </c>
      <c r="C677" t="s">
        <v>152</v>
      </c>
      <c r="D677" t="s">
        <v>889</v>
      </c>
      <c r="E677" t="s">
        <v>460</v>
      </c>
      <c r="F677" t="s">
        <v>408</v>
      </c>
      <c r="G677">
        <v>1600</v>
      </c>
      <c r="H677">
        <v>1601</v>
      </c>
      <c r="I677" t="s">
        <v>541</v>
      </c>
      <c r="J677">
        <v>1860</v>
      </c>
      <c r="K677">
        <v>1861</v>
      </c>
      <c r="L677" t="s">
        <v>1095</v>
      </c>
      <c r="M677">
        <v>2</v>
      </c>
      <c r="N677" t="s">
        <v>170</v>
      </c>
      <c r="O677" t="s">
        <v>170</v>
      </c>
      <c r="P677" t="s">
        <v>420</v>
      </c>
      <c r="Q677" t="s">
        <v>1096</v>
      </c>
      <c r="R677" t="s">
        <v>1074</v>
      </c>
      <c r="S677">
        <v>2010</v>
      </c>
      <c r="T677">
        <v>4</v>
      </c>
      <c r="U677" t="s">
        <v>370</v>
      </c>
      <c r="V677" t="s">
        <v>408</v>
      </c>
      <c r="W677">
        <v>0</v>
      </c>
      <c r="X677">
        <v>0</v>
      </c>
      <c r="Y677" t="s">
        <v>408</v>
      </c>
      <c r="Z677">
        <v>2010</v>
      </c>
      <c r="AA677">
        <v>2010</v>
      </c>
      <c r="AB677" s="5">
        <v>0.37583631987799998</v>
      </c>
      <c r="AC677" s="5">
        <v>0.75167263975599996</v>
      </c>
      <c r="AD677" t="s">
        <v>408</v>
      </c>
      <c r="AE677" t="s">
        <v>152</v>
      </c>
      <c r="AF677" t="s">
        <v>408</v>
      </c>
      <c r="AG677" t="s">
        <v>408</v>
      </c>
      <c r="AH677" t="s">
        <v>408</v>
      </c>
      <c r="AI677" t="s">
        <v>408</v>
      </c>
      <c r="AJ677" t="s">
        <v>408</v>
      </c>
      <c r="AK677" t="s">
        <v>408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 s="58">
        <f t="shared" si="10"/>
        <v>1</v>
      </c>
      <c r="AU677" s="79">
        <v>43343</v>
      </c>
      <c r="AV677" t="s">
        <v>410</v>
      </c>
      <c r="AW677" t="s">
        <v>408</v>
      </c>
      <c r="AX677">
        <v>2</v>
      </c>
      <c r="AY677" t="s">
        <v>412</v>
      </c>
      <c r="AZ677" t="s">
        <v>408</v>
      </c>
    </row>
    <row r="678" spans="1:52" x14ac:dyDescent="0.3">
      <c r="A678">
        <v>667</v>
      </c>
      <c r="B678" t="s">
        <v>598</v>
      </c>
      <c r="C678" t="s">
        <v>155</v>
      </c>
      <c r="D678" t="s">
        <v>599</v>
      </c>
      <c r="E678" t="s">
        <v>460</v>
      </c>
      <c r="F678" t="s">
        <v>408</v>
      </c>
      <c r="G678">
        <v>8859</v>
      </c>
      <c r="H678">
        <v>8860</v>
      </c>
      <c r="I678" t="s">
        <v>986</v>
      </c>
      <c r="J678">
        <v>8601</v>
      </c>
      <c r="K678">
        <v>8600</v>
      </c>
      <c r="L678" t="s">
        <v>814</v>
      </c>
      <c r="M678">
        <v>3</v>
      </c>
      <c r="N678" t="s">
        <v>165</v>
      </c>
      <c r="O678" t="s">
        <v>165</v>
      </c>
      <c r="P678" t="s">
        <v>420</v>
      </c>
      <c r="Q678" t="s">
        <v>987</v>
      </c>
      <c r="R678" t="s">
        <v>556</v>
      </c>
      <c r="S678">
        <v>2013</v>
      </c>
      <c r="T678">
        <v>9</v>
      </c>
      <c r="U678" t="s">
        <v>370</v>
      </c>
      <c r="V678" t="s">
        <v>408</v>
      </c>
      <c r="W678">
        <v>0</v>
      </c>
      <c r="X678">
        <v>0</v>
      </c>
      <c r="Y678" t="s">
        <v>408</v>
      </c>
      <c r="Z678">
        <v>2013</v>
      </c>
      <c r="AA678">
        <v>2013</v>
      </c>
      <c r="AB678" s="5">
        <v>0.37597494189000003</v>
      </c>
      <c r="AC678" s="5">
        <v>0.75194988378000005</v>
      </c>
      <c r="AD678" t="s">
        <v>408</v>
      </c>
      <c r="AE678" t="s">
        <v>152</v>
      </c>
      <c r="AF678" t="s">
        <v>408</v>
      </c>
      <c r="AG678" t="s">
        <v>408</v>
      </c>
      <c r="AH678" t="s">
        <v>408</v>
      </c>
      <c r="AI678" t="s">
        <v>408</v>
      </c>
      <c r="AJ678" t="s">
        <v>408</v>
      </c>
      <c r="AK678" t="s">
        <v>408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 s="58">
        <f t="shared" si="10"/>
        <v>1</v>
      </c>
      <c r="AU678" s="79">
        <v>43339</v>
      </c>
      <c r="AV678" s="78" t="s">
        <v>410</v>
      </c>
      <c r="AW678" t="s">
        <v>152</v>
      </c>
      <c r="AX678">
        <v>2</v>
      </c>
      <c r="AY678" t="s">
        <v>412</v>
      </c>
      <c r="AZ678" t="s">
        <v>408</v>
      </c>
    </row>
    <row r="679" spans="1:52" x14ac:dyDescent="0.3">
      <c r="A679">
        <v>668</v>
      </c>
      <c r="B679" t="s">
        <v>598</v>
      </c>
      <c r="C679" t="s">
        <v>155</v>
      </c>
      <c r="D679" t="s">
        <v>599</v>
      </c>
      <c r="E679" t="s">
        <v>460</v>
      </c>
      <c r="F679" t="s">
        <v>408</v>
      </c>
      <c r="G679">
        <v>8463</v>
      </c>
      <c r="H679">
        <v>8462</v>
      </c>
      <c r="I679" t="s">
        <v>1207</v>
      </c>
      <c r="J679">
        <v>8401</v>
      </c>
      <c r="K679">
        <v>8400</v>
      </c>
      <c r="L679" t="s">
        <v>1365</v>
      </c>
      <c r="M679">
        <v>3</v>
      </c>
      <c r="N679" t="s">
        <v>165</v>
      </c>
      <c r="O679" t="s">
        <v>165</v>
      </c>
      <c r="P679" t="s">
        <v>420</v>
      </c>
      <c r="Q679" t="s">
        <v>987</v>
      </c>
      <c r="R679" t="s">
        <v>556</v>
      </c>
      <c r="S679">
        <v>2013</v>
      </c>
      <c r="T679">
        <v>9</v>
      </c>
      <c r="U679" t="s">
        <v>370</v>
      </c>
      <c r="V679" t="s">
        <v>511</v>
      </c>
      <c r="W679">
        <v>2018</v>
      </c>
      <c r="X679">
        <v>8</v>
      </c>
      <c r="Y679" t="s">
        <v>408</v>
      </c>
      <c r="Z679">
        <v>2018</v>
      </c>
      <c r="AA679">
        <v>2013</v>
      </c>
      <c r="AB679" s="5">
        <v>0.120850012361</v>
      </c>
      <c r="AC679" s="5">
        <v>0.241700024722</v>
      </c>
      <c r="AD679" t="s">
        <v>408</v>
      </c>
      <c r="AE679" t="s">
        <v>152</v>
      </c>
      <c r="AF679" t="s">
        <v>408</v>
      </c>
      <c r="AG679" t="s">
        <v>408</v>
      </c>
      <c r="AH679" t="s">
        <v>408</v>
      </c>
      <c r="AI679" t="s">
        <v>408</v>
      </c>
      <c r="AJ679" t="s">
        <v>408</v>
      </c>
      <c r="AK679" t="s">
        <v>408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 s="58">
        <f t="shared" si="10"/>
        <v>1</v>
      </c>
      <c r="AU679" s="79">
        <v>43339</v>
      </c>
      <c r="AV679" t="s">
        <v>410</v>
      </c>
      <c r="AW679" t="s">
        <v>152</v>
      </c>
      <c r="AX679">
        <v>2</v>
      </c>
      <c r="AY679" t="s">
        <v>412</v>
      </c>
      <c r="AZ679" t="s">
        <v>408</v>
      </c>
    </row>
    <row r="680" spans="1:52" x14ac:dyDescent="0.3">
      <c r="A680">
        <v>669</v>
      </c>
      <c r="B680" t="s">
        <v>1336</v>
      </c>
      <c r="C680" t="s">
        <v>152</v>
      </c>
      <c r="D680" t="s">
        <v>1337</v>
      </c>
      <c r="E680" t="s">
        <v>460</v>
      </c>
      <c r="F680" t="s">
        <v>152</v>
      </c>
      <c r="G680">
        <v>6801</v>
      </c>
      <c r="H680">
        <v>6800</v>
      </c>
      <c r="I680" t="s">
        <v>1216</v>
      </c>
      <c r="J680">
        <v>6901</v>
      </c>
      <c r="K680">
        <v>6900</v>
      </c>
      <c r="L680" t="s">
        <v>1633</v>
      </c>
      <c r="M680">
        <v>0</v>
      </c>
      <c r="N680" t="s">
        <v>168</v>
      </c>
      <c r="O680" t="s">
        <v>170</v>
      </c>
      <c r="P680" t="s">
        <v>420</v>
      </c>
      <c r="Q680" t="s">
        <v>408</v>
      </c>
      <c r="R680" t="s">
        <v>1630</v>
      </c>
      <c r="S680">
        <v>2018</v>
      </c>
      <c r="T680">
        <v>9</v>
      </c>
      <c r="U680" t="s">
        <v>376</v>
      </c>
      <c r="V680" t="s">
        <v>408</v>
      </c>
      <c r="W680">
        <v>0</v>
      </c>
      <c r="X680">
        <v>0</v>
      </c>
      <c r="Y680" t="s">
        <v>408</v>
      </c>
      <c r="Z680">
        <v>2018</v>
      </c>
      <c r="AA680">
        <v>0</v>
      </c>
      <c r="AB680" s="5">
        <v>8.6184791310899997E-2</v>
      </c>
      <c r="AC680" s="5">
        <v>0.172369582622</v>
      </c>
      <c r="AD680" t="s">
        <v>1342</v>
      </c>
      <c r="AE680" t="s">
        <v>152</v>
      </c>
      <c r="AF680" t="s">
        <v>408</v>
      </c>
      <c r="AG680" t="s">
        <v>411</v>
      </c>
      <c r="AH680" t="s">
        <v>408</v>
      </c>
      <c r="AI680" t="s">
        <v>408</v>
      </c>
      <c r="AJ680" t="s">
        <v>408</v>
      </c>
      <c r="AK680" t="s">
        <v>408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s="58">
        <f t="shared" si="10"/>
        <v>1</v>
      </c>
      <c r="AU680" s="79">
        <v>43530</v>
      </c>
      <c r="AV680" t="s">
        <v>410</v>
      </c>
      <c r="AW680" t="s">
        <v>408</v>
      </c>
      <c r="AX680">
        <v>3</v>
      </c>
      <c r="AY680" t="s">
        <v>17</v>
      </c>
      <c r="AZ680">
        <v>20</v>
      </c>
    </row>
    <row r="681" spans="1:52" x14ac:dyDescent="0.3">
      <c r="A681">
        <v>670</v>
      </c>
      <c r="B681" t="s">
        <v>1669</v>
      </c>
      <c r="C681" t="s">
        <v>154</v>
      </c>
      <c r="D681" t="s">
        <v>1670</v>
      </c>
      <c r="E681" t="s">
        <v>460</v>
      </c>
      <c r="F681" t="s">
        <v>447</v>
      </c>
      <c r="G681">
        <v>1401</v>
      </c>
      <c r="H681">
        <v>1400</v>
      </c>
      <c r="I681" t="s">
        <v>1345</v>
      </c>
      <c r="J681">
        <v>1451</v>
      </c>
      <c r="K681">
        <v>1450</v>
      </c>
      <c r="L681" t="s">
        <v>928</v>
      </c>
      <c r="M681">
        <v>0</v>
      </c>
      <c r="N681" t="s">
        <v>168</v>
      </c>
      <c r="O681" t="s">
        <v>170</v>
      </c>
      <c r="P681" t="s">
        <v>420</v>
      </c>
      <c r="Q681" t="s">
        <v>408</v>
      </c>
      <c r="R681" t="s">
        <v>1630</v>
      </c>
      <c r="S681">
        <v>2018</v>
      </c>
      <c r="T681">
        <v>9</v>
      </c>
      <c r="U681" t="s">
        <v>376</v>
      </c>
      <c r="V681" t="s">
        <v>408</v>
      </c>
      <c r="W681">
        <v>0</v>
      </c>
      <c r="X681">
        <v>0</v>
      </c>
      <c r="Y681" t="s">
        <v>408</v>
      </c>
      <c r="Z681">
        <v>2018</v>
      </c>
      <c r="AA681">
        <v>0</v>
      </c>
      <c r="AB681" s="5">
        <v>8.7354696659900005E-2</v>
      </c>
      <c r="AC681" s="5">
        <v>0.17470939331999999</v>
      </c>
      <c r="AD681" t="s">
        <v>1342</v>
      </c>
      <c r="AE681" t="s">
        <v>152</v>
      </c>
      <c r="AF681" t="s">
        <v>408</v>
      </c>
      <c r="AG681" t="s">
        <v>411</v>
      </c>
      <c r="AH681" t="s">
        <v>408</v>
      </c>
      <c r="AI681" t="s">
        <v>408</v>
      </c>
      <c r="AJ681" t="s">
        <v>408</v>
      </c>
      <c r="AK681" t="s">
        <v>408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s="58">
        <f t="shared" si="10"/>
        <v>1</v>
      </c>
      <c r="AU681" s="79">
        <v>43530</v>
      </c>
      <c r="AV681" s="78" t="s">
        <v>410</v>
      </c>
      <c r="AW681" t="s">
        <v>408</v>
      </c>
      <c r="AX681">
        <v>3</v>
      </c>
      <c r="AY681" t="s">
        <v>17</v>
      </c>
      <c r="AZ681">
        <v>20</v>
      </c>
    </row>
    <row r="682" spans="1:52" x14ac:dyDescent="0.3">
      <c r="A682">
        <v>671</v>
      </c>
      <c r="B682" t="s">
        <v>785</v>
      </c>
      <c r="C682" t="s">
        <v>154</v>
      </c>
      <c r="D682" t="s">
        <v>786</v>
      </c>
      <c r="E682" t="s">
        <v>787</v>
      </c>
      <c r="F682" t="s">
        <v>154</v>
      </c>
      <c r="G682">
        <v>2148</v>
      </c>
      <c r="H682">
        <v>2149</v>
      </c>
      <c r="I682" t="s">
        <v>788</v>
      </c>
      <c r="J682">
        <v>2001</v>
      </c>
      <c r="K682">
        <v>2000</v>
      </c>
      <c r="L682" t="s">
        <v>789</v>
      </c>
      <c r="M682">
        <v>4</v>
      </c>
      <c r="N682" t="s">
        <v>167</v>
      </c>
      <c r="O682" t="s">
        <v>167</v>
      </c>
      <c r="P682" t="s">
        <v>420</v>
      </c>
      <c r="Q682" t="s">
        <v>790</v>
      </c>
      <c r="R682" t="s">
        <v>532</v>
      </c>
      <c r="S682">
        <v>2009</v>
      </c>
      <c r="T682">
        <v>7</v>
      </c>
      <c r="U682" t="s">
        <v>370</v>
      </c>
      <c r="V682" t="s">
        <v>408</v>
      </c>
      <c r="W682">
        <v>0</v>
      </c>
      <c r="X682">
        <v>0</v>
      </c>
      <c r="Y682" t="s">
        <v>408</v>
      </c>
      <c r="Z682">
        <v>2009</v>
      </c>
      <c r="AA682">
        <v>2009</v>
      </c>
      <c r="AB682" s="5">
        <v>4.1513833835500003E-2</v>
      </c>
      <c r="AC682" s="5">
        <v>4.1513833835500003E-2</v>
      </c>
      <c r="AD682" t="s">
        <v>408</v>
      </c>
      <c r="AE682" t="s">
        <v>411</v>
      </c>
      <c r="AF682" t="s">
        <v>155</v>
      </c>
      <c r="AG682" t="s">
        <v>152</v>
      </c>
      <c r="AH682" t="s">
        <v>408</v>
      </c>
      <c r="AI682" t="s">
        <v>408</v>
      </c>
      <c r="AJ682" t="s">
        <v>408</v>
      </c>
      <c r="AK682" t="s">
        <v>408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 s="58">
        <f t="shared" si="10"/>
        <v>1</v>
      </c>
      <c r="AU682" s="79" t="s">
        <v>408</v>
      </c>
      <c r="AV682" t="s">
        <v>408</v>
      </c>
      <c r="AW682" t="s">
        <v>408</v>
      </c>
      <c r="AX682">
        <v>3</v>
      </c>
      <c r="AY682" t="s">
        <v>412</v>
      </c>
      <c r="AZ682" t="s">
        <v>408</v>
      </c>
    </row>
    <row r="683" spans="1:52" x14ac:dyDescent="0.3">
      <c r="A683">
        <v>672</v>
      </c>
      <c r="B683" t="s">
        <v>791</v>
      </c>
      <c r="C683" t="s">
        <v>154</v>
      </c>
      <c r="D683" t="s">
        <v>786</v>
      </c>
      <c r="E683" t="s">
        <v>466</v>
      </c>
      <c r="F683" t="s">
        <v>154</v>
      </c>
      <c r="G683">
        <v>3145</v>
      </c>
      <c r="H683">
        <v>3146</v>
      </c>
      <c r="I683" t="s">
        <v>1671</v>
      </c>
      <c r="J683">
        <v>3001</v>
      </c>
      <c r="K683">
        <v>3000</v>
      </c>
      <c r="L683" t="s">
        <v>792</v>
      </c>
      <c r="M683">
        <v>4</v>
      </c>
      <c r="N683" t="s">
        <v>167</v>
      </c>
      <c r="O683" t="s">
        <v>167</v>
      </c>
      <c r="P683" t="s">
        <v>420</v>
      </c>
      <c r="Q683" t="s">
        <v>790</v>
      </c>
      <c r="R683" t="s">
        <v>532</v>
      </c>
      <c r="S683">
        <v>2009</v>
      </c>
      <c r="T683">
        <v>7</v>
      </c>
      <c r="U683" t="s">
        <v>370</v>
      </c>
      <c r="V683" t="s">
        <v>408</v>
      </c>
      <c r="W683">
        <v>0</v>
      </c>
      <c r="X683">
        <v>0</v>
      </c>
      <c r="Y683" t="s">
        <v>408</v>
      </c>
      <c r="Z683">
        <v>2009</v>
      </c>
      <c r="AA683">
        <v>2009</v>
      </c>
      <c r="AB683" s="5">
        <v>0.25324453859700002</v>
      </c>
      <c r="AC683" s="5">
        <v>0.25324453859700002</v>
      </c>
      <c r="AD683" t="s">
        <v>408</v>
      </c>
      <c r="AE683" t="s">
        <v>411</v>
      </c>
      <c r="AF683" t="s">
        <v>154</v>
      </c>
      <c r="AG683" t="s">
        <v>152</v>
      </c>
      <c r="AH683" t="s">
        <v>408</v>
      </c>
      <c r="AI683" t="s">
        <v>408</v>
      </c>
      <c r="AJ683" t="s">
        <v>408</v>
      </c>
      <c r="AK683" t="s">
        <v>408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s="58">
        <f t="shared" si="10"/>
        <v>1</v>
      </c>
      <c r="AU683" s="79" t="s">
        <v>408</v>
      </c>
      <c r="AV683" t="s">
        <v>408</v>
      </c>
      <c r="AW683" t="s">
        <v>408</v>
      </c>
      <c r="AX683">
        <v>3</v>
      </c>
      <c r="AY683" t="s">
        <v>412</v>
      </c>
      <c r="AZ683" t="s">
        <v>408</v>
      </c>
    </row>
    <row r="684" spans="1:52" x14ac:dyDescent="0.3">
      <c r="A684">
        <v>673</v>
      </c>
      <c r="B684" t="s">
        <v>688</v>
      </c>
      <c r="C684" t="s">
        <v>155</v>
      </c>
      <c r="D684" t="s">
        <v>689</v>
      </c>
      <c r="E684" t="s">
        <v>426</v>
      </c>
      <c r="F684" t="s">
        <v>152</v>
      </c>
      <c r="G684">
        <v>3601</v>
      </c>
      <c r="H684">
        <v>3600</v>
      </c>
      <c r="I684" t="s">
        <v>1672</v>
      </c>
      <c r="J684">
        <v>2601</v>
      </c>
      <c r="K684">
        <v>2600</v>
      </c>
      <c r="L684" t="s">
        <v>1672</v>
      </c>
      <c r="M684">
        <v>3</v>
      </c>
      <c r="N684" t="s">
        <v>165</v>
      </c>
      <c r="O684" t="s">
        <v>165</v>
      </c>
      <c r="P684" t="s">
        <v>403</v>
      </c>
      <c r="Q684" t="s">
        <v>408</v>
      </c>
      <c r="R684" t="s">
        <v>691</v>
      </c>
      <c r="S684">
        <v>2012</v>
      </c>
      <c r="T684">
        <v>11</v>
      </c>
      <c r="U684" t="s">
        <v>408</v>
      </c>
      <c r="V684" t="s">
        <v>662</v>
      </c>
      <c r="W684">
        <v>2016</v>
      </c>
      <c r="X684">
        <v>7</v>
      </c>
      <c r="Y684" t="s">
        <v>370</v>
      </c>
      <c r="Z684">
        <v>2016</v>
      </c>
      <c r="AA684">
        <v>2016</v>
      </c>
      <c r="AB684" s="5">
        <v>1.09792753332</v>
      </c>
      <c r="AC684" s="5">
        <v>1.09792753332</v>
      </c>
      <c r="AD684" t="s">
        <v>408</v>
      </c>
      <c r="AE684" t="s">
        <v>411</v>
      </c>
      <c r="AF684" t="s">
        <v>152</v>
      </c>
      <c r="AG684" t="s">
        <v>152</v>
      </c>
      <c r="AH684" t="s">
        <v>408</v>
      </c>
      <c r="AI684" t="s">
        <v>408</v>
      </c>
      <c r="AJ684" t="s">
        <v>408</v>
      </c>
      <c r="AK684" t="s">
        <v>408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 s="58">
        <f t="shared" si="10"/>
        <v>1</v>
      </c>
      <c r="AU684" s="79" t="s">
        <v>408</v>
      </c>
      <c r="AV684" t="s">
        <v>408</v>
      </c>
      <c r="AW684" t="s">
        <v>152</v>
      </c>
      <c r="AX684">
        <v>2</v>
      </c>
      <c r="AY684" t="s">
        <v>412</v>
      </c>
      <c r="AZ684" t="s">
        <v>408</v>
      </c>
    </row>
    <row r="685" spans="1:52" x14ac:dyDescent="0.3">
      <c r="A685">
        <v>674</v>
      </c>
      <c r="B685" t="s">
        <v>1228</v>
      </c>
      <c r="C685" t="s">
        <v>152</v>
      </c>
      <c r="D685" t="s">
        <v>1229</v>
      </c>
      <c r="E685" t="s">
        <v>417</v>
      </c>
      <c r="F685" t="s">
        <v>408</v>
      </c>
      <c r="G685">
        <v>1901</v>
      </c>
      <c r="H685">
        <v>1900</v>
      </c>
      <c r="I685" t="s">
        <v>1095</v>
      </c>
      <c r="J685">
        <v>1401</v>
      </c>
      <c r="K685">
        <v>1400</v>
      </c>
      <c r="L685" t="s">
        <v>474</v>
      </c>
      <c r="M685">
        <v>0</v>
      </c>
      <c r="N685" t="s">
        <v>168</v>
      </c>
      <c r="O685" t="s">
        <v>170</v>
      </c>
      <c r="P685" t="s">
        <v>420</v>
      </c>
      <c r="Q685">
        <v>0</v>
      </c>
      <c r="R685" t="s">
        <v>726</v>
      </c>
      <c r="S685">
        <v>2019</v>
      </c>
      <c r="T685">
        <v>6</v>
      </c>
      <c r="U685" t="s">
        <v>727</v>
      </c>
      <c r="V685" t="s">
        <v>408</v>
      </c>
      <c r="W685">
        <v>0</v>
      </c>
      <c r="X685">
        <v>0</v>
      </c>
      <c r="Y685" t="s">
        <v>408</v>
      </c>
      <c r="Z685">
        <v>2019</v>
      </c>
      <c r="AA685">
        <v>0</v>
      </c>
      <c r="AB685" s="5">
        <v>0.60987996303600001</v>
      </c>
      <c r="AC685" s="5">
        <v>1.2197599260700001</v>
      </c>
      <c r="AD685" t="s">
        <v>1673</v>
      </c>
      <c r="AE685" t="s">
        <v>152</v>
      </c>
      <c r="AF685" t="s">
        <v>408</v>
      </c>
      <c r="AG685" t="s">
        <v>408</v>
      </c>
      <c r="AH685" t="s">
        <v>408</v>
      </c>
      <c r="AI685" t="s">
        <v>408</v>
      </c>
      <c r="AJ685" t="s">
        <v>408</v>
      </c>
      <c r="AK685" t="s">
        <v>408</v>
      </c>
      <c r="AL685">
        <v>0</v>
      </c>
      <c r="AM685">
        <v>0</v>
      </c>
      <c r="AN685">
        <v>0.25</v>
      </c>
      <c r="AO685">
        <v>0</v>
      </c>
      <c r="AP685">
        <v>0</v>
      </c>
      <c r="AQ685">
        <v>0</v>
      </c>
      <c r="AR685">
        <v>0</v>
      </c>
      <c r="AS685">
        <v>0.75</v>
      </c>
      <c r="AT685" s="58">
        <f t="shared" si="10"/>
        <v>1</v>
      </c>
      <c r="AU685" s="79" t="s">
        <v>488</v>
      </c>
      <c r="AV685" t="s">
        <v>410</v>
      </c>
      <c r="AW685" t="s">
        <v>408</v>
      </c>
      <c r="AX685">
        <v>3</v>
      </c>
      <c r="AY685" t="s">
        <v>17</v>
      </c>
      <c r="AZ685" t="s">
        <v>408</v>
      </c>
    </row>
    <row r="686" spans="1:52" x14ac:dyDescent="0.3">
      <c r="A686">
        <v>675</v>
      </c>
      <c r="B686" t="s">
        <v>1180</v>
      </c>
      <c r="C686" t="s">
        <v>417</v>
      </c>
      <c r="D686" t="s">
        <v>1181</v>
      </c>
      <c r="E686" t="s">
        <v>417</v>
      </c>
      <c r="F686" t="s">
        <v>408</v>
      </c>
      <c r="G686">
        <v>50</v>
      </c>
      <c r="H686">
        <v>51</v>
      </c>
      <c r="I686" t="s">
        <v>1674</v>
      </c>
      <c r="J686">
        <v>26</v>
      </c>
      <c r="K686">
        <v>25</v>
      </c>
      <c r="L686" t="s">
        <v>1675</v>
      </c>
      <c r="M686">
        <v>0</v>
      </c>
      <c r="N686" t="s">
        <v>163</v>
      </c>
      <c r="O686" t="s">
        <v>163</v>
      </c>
      <c r="P686" t="s">
        <v>420</v>
      </c>
      <c r="Q686">
        <v>0</v>
      </c>
      <c r="R686" t="s">
        <v>726</v>
      </c>
      <c r="S686">
        <v>2019</v>
      </c>
      <c r="T686">
        <v>6</v>
      </c>
      <c r="U686" t="s">
        <v>1676</v>
      </c>
      <c r="V686" t="s">
        <v>408</v>
      </c>
      <c r="W686">
        <v>0</v>
      </c>
      <c r="X686">
        <v>0</v>
      </c>
      <c r="Y686" t="s">
        <v>408</v>
      </c>
      <c r="Z686">
        <v>2019</v>
      </c>
      <c r="AA686">
        <v>0</v>
      </c>
      <c r="AB686" s="5">
        <v>2.56418930421E-2</v>
      </c>
      <c r="AC686" s="5">
        <v>5.1283786084199999E-2</v>
      </c>
      <c r="AD686" t="s">
        <v>408</v>
      </c>
      <c r="AE686" t="s">
        <v>152</v>
      </c>
      <c r="AF686" t="s">
        <v>408</v>
      </c>
      <c r="AG686" t="s">
        <v>408</v>
      </c>
      <c r="AH686" t="s">
        <v>411</v>
      </c>
      <c r="AI686" t="s">
        <v>438</v>
      </c>
      <c r="AJ686" t="s">
        <v>152</v>
      </c>
      <c r="AK686" t="s">
        <v>411</v>
      </c>
      <c r="AL686">
        <v>2019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 s="58">
        <f t="shared" si="10"/>
        <v>1</v>
      </c>
      <c r="AU686" s="79" t="s">
        <v>471</v>
      </c>
      <c r="AV686" t="s">
        <v>410</v>
      </c>
      <c r="AW686" t="s">
        <v>411</v>
      </c>
      <c r="AX686">
        <v>1</v>
      </c>
      <c r="AY686" t="s">
        <v>412</v>
      </c>
      <c r="AZ686" t="s">
        <v>408</v>
      </c>
    </row>
    <row r="687" spans="1:52" x14ac:dyDescent="0.3">
      <c r="A687">
        <v>676</v>
      </c>
      <c r="B687" t="s">
        <v>1677</v>
      </c>
      <c r="C687" t="s">
        <v>155</v>
      </c>
      <c r="D687" t="s">
        <v>1678</v>
      </c>
      <c r="E687" t="s">
        <v>787</v>
      </c>
      <c r="F687" t="s">
        <v>408</v>
      </c>
      <c r="G687">
        <v>800</v>
      </c>
      <c r="H687">
        <v>801</v>
      </c>
      <c r="I687" t="s">
        <v>632</v>
      </c>
      <c r="J687">
        <v>900</v>
      </c>
      <c r="K687">
        <v>901</v>
      </c>
      <c r="L687" t="s">
        <v>1679</v>
      </c>
      <c r="M687">
        <v>0</v>
      </c>
      <c r="N687" t="s">
        <v>168</v>
      </c>
      <c r="O687" t="s">
        <v>170</v>
      </c>
      <c r="P687" t="s">
        <v>420</v>
      </c>
      <c r="Q687">
        <v>0</v>
      </c>
      <c r="R687" t="s">
        <v>726</v>
      </c>
      <c r="S687">
        <v>2019</v>
      </c>
      <c r="T687">
        <v>6</v>
      </c>
      <c r="U687" t="s">
        <v>408</v>
      </c>
      <c r="V687" t="s">
        <v>408</v>
      </c>
      <c r="W687">
        <v>0</v>
      </c>
      <c r="X687">
        <v>0</v>
      </c>
      <c r="Y687" t="s">
        <v>408</v>
      </c>
      <c r="Z687">
        <v>2019</v>
      </c>
      <c r="AA687">
        <v>0</v>
      </c>
      <c r="AB687" s="5">
        <v>0.121082844555</v>
      </c>
      <c r="AC687" s="5">
        <v>0.24216568911</v>
      </c>
      <c r="AD687" t="s">
        <v>408</v>
      </c>
      <c r="AE687" t="s">
        <v>152</v>
      </c>
      <c r="AF687" t="s">
        <v>408</v>
      </c>
      <c r="AG687" t="s">
        <v>408</v>
      </c>
      <c r="AH687" t="s">
        <v>408</v>
      </c>
      <c r="AI687" t="s">
        <v>408</v>
      </c>
      <c r="AJ687" t="s">
        <v>408</v>
      </c>
      <c r="AK687" t="s">
        <v>408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 s="58">
        <f t="shared" si="10"/>
        <v>1</v>
      </c>
      <c r="AU687" s="79" t="s">
        <v>408</v>
      </c>
      <c r="AV687" s="78" t="s">
        <v>408</v>
      </c>
      <c r="AW687" t="s">
        <v>408</v>
      </c>
      <c r="AX687">
        <v>3</v>
      </c>
      <c r="AY687" t="s">
        <v>17</v>
      </c>
      <c r="AZ687" t="s">
        <v>408</v>
      </c>
    </row>
    <row r="688" spans="1:52" x14ac:dyDescent="0.3">
      <c r="A688">
        <v>677</v>
      </c>
      <c r="B688" t="s">
        <v>1680</v>
      </c>
      <c r="C688" t="s">
        <v>154</v>
      </c>
      <c r="D688" t="s">
        <v>1681</v>
      </c>
      <c r="E688" t="s">
        <v>417</v>
      </c>
      <c r="F688" t="s">
        <v>408</v>
      </c>
      <c r="G688">
        <v>25</v>
      </c>
      <c r="H688">
        <v>26</v>
      </c>
      <c r="I688" t="s">
        <v>1675</v>
      </c>
      <c r="J688">
        <v>1</v>
      </c>
      <c r="K688">
        <v>2</v>
      </c>
      <c r="L688" t="s">
        <v>877</v>
      </c>
      <c r="M688">
        <v>0</v>
      </c>
      <c r="N688" t="s">
        <v>168</v>
      </c>
      <c r="O688" t="s">
        <v>170</v>
      </c>
      <c r="P688" t="s">
        <v>420</v>
      </c>
      <c r="Q688">
        <v>0</v>
      </c>
      <c r="R688" t="s">
        <v>726</v>
      </c>
      <c r="S688">
        <v>2019</v>
      </c>
      <c r="T688">
        <v>6</v>
      </c>
      <c r="U688" t="s">
        <v>408</v>
      </c>
      <c r="V688" t="s">
        <v>408</v>
      </c>
      <c r="W688">
        <v>2019</v>
      </c>
      <c r="X688">
        <v>0</v>
      </c>
      <c r="Y688" t="s">
        <v>408</v>
      </c>
      <c r="Z688">
        <v>2019</v>
      </c>
      <c r="AA688">
        <v>0</v>
      </c>
      <c r="AB688" s="5">
        <v>5.6759230798900003E-2</v>
      </c>
      <c r="AC688" s="5">
        <v>0.113518461598</v>
      </c>
      <c r="AD688" t="s">
        <v>408</v>
      </c>
      <c r="AE688" t="s">
        <v>152</v>
      </c>
      <c r="AF688" t="s">
        <v>408</v>
      </c>
      <c r="AG688" t="s">
        <v>408</v>
      </c>
      <c r="AH688" t="s">
        <v>408</v>
      </c>
      <c r="AI688" t="s">
        <v>408</v>
      </c>
      <c r="AJ688" t="s">
        <v>408</v>
      </c>
      <c r="AK688" t="s">
        <v>408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 s="58">
        <f t="shared" si="10"/>
        <v>1</v>
      </c>
      <c r="AU688" s="79" t="s">
        <v>488</v>
      </c>
      <c r="AV688" s="78" t="s">
        <v>410</v>
      </c>
      <c r="AW688" t="s">
        <v>408</v>
      </c>
      <c r="AX688">
        <v>3</v>
      </c>
      <c r="AY688" t="s">
        <v>17</v>
      </c>
      <c r="AZ688" t="s">
        <v>408</v>
      </c>
    </row>
    <row r="689" spans="1:52" x14ac:dyDescent="0.3">
      <c r="A689">
        <v>678</v>
      </c>
      <c r="B689" t="s">
        <v>1680</v>
      </c>
      <c r="C689" t="s">
        <v>447</v>
      </c>
      <c r="D689" t="s">
        <v>1681</v>
      </c>
      <c r="E689" t="s">
        <v>417</v>
      </c>
      <c r="F689" t="s">
        <v>408</v>
      </c>
      <c r="G689">
        <v>2</v>
      </c>
      <c r="H689">
        <v>1</v>
      </c>
      <c r="I689" t="s">
        <v>877</v>
      </c>
      <c r="J689">
        <v>100</v>
      </c>
      <c r="K689">
        <v>101</v>
      </c>
      <c r="L689" t="s">
        <v>905</v>
      </c>
      <c r="M689">
        <v>0</v>
      </c>
      <c r="N689" t="s">
        <v>170</v>
      </c>
      <c r="O689" t="s">
        <v>170</v>
      </c>
      <c r="P689" t="s">
        <v>420</v>
      </c>
      <c r="Q689">
        <v>0</v>
      </c>
      <c r="R689" t="s">
        <v>726</v>
      </c>
      <c r="S689">
        <v>2019</v>
      </c>
      <c r="T689">
        <v>6</v>
      </c>
      <c r="U689" t="s">
        <v>408</v>
      </c>
      <c r="V689" t="s">
        <v>408</v>
      </c>
      <c r="W689">
        <v>2019</v>
      </c>
      <c r="X689">
        <v>0</v>
      </c>
      <c r="Y689" t="s">
        <v>408</v>
      </c>
      <c r="Z689">
        <v>2019</v>
      </c>
      <c r="AA689">
        <v>0</v>
      </c>
      <c r="AB689" s="5">
        <v>0.17312677902500001</v>
      </c>
      <c r="AC689" s="5">
        <v>0.34625355805000002</v>
      </c>
      <c r="AD689" t="s">
        <v>408</v>
      </c>
      <c r="AE689" t="s">
        <v>152</v>
      </c>
      <c r="AF689" t="s">
        <v>408</v>
      </c>
      <c r="AG689" t="s">
        <v>408</v>
      </c>
      <c r="AH689" t="s">
        <v>408</v>
      </c>
      <c r="AI689" t="s">
        <v>408</v>
      </c>
      <c r="AJ689" t="s">
        <v>408</v>
      </c>
      <c r="AK689" t="s">
        <v>408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 s="58">
        <f t="shared" si="10"/>
        <v>1</v>
      </c>
      <c r="AU689" s="79" t="s">
        <v>408</v>
      </c>
      <c r="AV689" s="78" t="s">
        <v>408</v>
      </c>
      <c r="AW689" t="s">
        <v>408</v>
      </c>
      <c r="AX689">
        <v>2</v>
      </c>
      <c r="AY689" t="s">
        <v>412</v>
      </c>
      <c r="AZ689" t="s">
        <v>408</v>
      </c>
    </row>
    <row r="690" spans="1:52" x14ac:dyDescent="0.3">
      <c r="A690">
        <v>679</v>
      </c>
      <c r="B690" t="s">
        <v>1682</v>
      </c>
      <c r="C690" t="s">
        <v>154</v>
      </c>
      <c r="D690" t="s">
        <v>1683</v>
      </c>
      <c r="E690" t="s">
        <v>399</v>
      </c>
      <c r="F690" t="s">
        <v>408</v>
      </c>
      <c r="G690">
        <v>2800</v>
      </c>
      <c r="H690">
        <v>2801</v>
      </c>
      <c r="I690" t="s">
        <v>683</v>
      </c>
      <c r="J690">
        <v>1800</v>
      </c>
      <c r="K690">
        <v>1801</v>
      </c>
      <c r="L690" t="s">
        <v>1684</v>
      </c>
      <c r="M690">
        <v>0</v>
      </c>
      <c r="N690" t="s">
        <v>165</v>
      </c>
      <c r="O690" t="s">
        <v>165</v>
      </c>
      <c r="P690" t="s">
        <v>420</v>
      </c>
      <c r="Q690" t="s">
        <v>408</v>
      </c>
      <c r="R690" t="s">
        <v>726</v>
      </c>
      <c r="S690">
        <v>2019</v>
      </c>
      <c r="T690">
        <v>5</v>
      </c>
      <c r="U690" t="s">
        <v>408</v>
      </c>
      <c r="V690" t="s">
        <v>408</v>
      </c>
      <c r="W690">
        <v>2019</v>
      </c>
      <c r="X690">
        <v>0</v>
      </c>
      <c r="Y690" t="s">
        <v>408</v>
      </c>
      <c r="Z690">
        <v>2019</v>
      </c>
      <c r="AA690">
        <v>0</v>
      </c>
      <c r="AB690" s="5">
        <v>1.2648474163500001</v>
      </c>
      <c r="AC690" s="5">
        <v>2.5296948327000002</v>
      </c>
      <c r="AD690" t="s">
        <v>408</v>
      </c>
      <c r="AE690" t="s">
        <v>152</v>
      </c>
      <c r="AF690" t="s">
        <v>408</v>
      </c>
      <c r="AG690" t="s">
        <v>408</v>
      </c>
      <c r="AH690" t="s">
        <v>408</v>
      </c>
      <c r="AI690" t="s">
        <v>408</v>
      </c>
      <c r="AJ690" t="s">
        <v>408</v>
      </c>
      <c r="AK690" t="s">
        <v>408</v>
      </c>
      <c r="AL690">
        <v>0</v>
      </c>
      <c r="AM690">
        <v>0</v>
      </c>
      <c r="AN690">
        <v>0</v>
      </c>
      <c r="AO690">
        <v>0.25</v>
      </c>
      <c r="AP690">
        <v>0</v>
      </c>
      <c r="AQ690">
        <v>0</v>
      </c>
      <c r="AR690">
        <v>0</v>
      </c>
      <c r="AS690">
        <v>0.75</v>
      </c>
      <c r="AT690" s="58">
        <f t="shared" si="10"/>
        <v>1</v>
      </c>
      <c r="AU690" s="79" t="s">
        <v>1050</v>
      </c>
      <c r="AV690" t="s">
        <v>410</v>
      </c>
      <c r="AW690" t="s">
        <v>152</v>
      </c>
      <c r="AX690">
        <v>2</v>
      </c>
      <c r="AY690" t="s">
        <v>412</v>
      </c>
      <c r="AZ690" t="s">
        <v>408</v>
      </c>
    </row>
    <row r="691" spans="1:52" x14ac:dyDescent="0.3">
      <c r="A691">
        <v>680</v>
      </c>
      <c r="B691" t="s">
        <v>557</v>
      </c>
      <c r="C691" t="s">
        <v>152</v>
      </c>
      <c r="D691" t="s">
        <v>558</v>
      </c>
      <c r="E691" t="s">
        <v>460</v>
      </c>
      <c r="F691" t="s">
        <v>408</v>
      </c>
      <c r="G691">
        <v>2500</v>
      </c>
      <c r="H691">
        <v>2501</v>
      </c>
      <c r="I691" t="s">
        <v>1685</v>
      </c>
      <c r="J691">
        <v>2600</v>
      </c>
      <c r="K691">
        <v>2601</v>
      </c>
      <c r="L691" t="s">
        <v>1359</v>
      </c>
      <c r="M691">
        <v>3</v>
      </c>
      <c r="N691" t="s">
        <v>170</v>
      </c>
      <c r="O691" t="s">
        <v>170</v>
      </c>
      <c r="P691" t="s">
        <v>414</v>
      </c>
      <c r="Q691" t="s">
        <v>408</v>
      </c>
      <c r="R691" t="s">
        <v>1686</v>
      </c>
      <c r="S691">
        <v>2018</v>
      </c>
      <c r="T691">
        <v>7</v>
      </c>
      <c r="U691" t="s">
        <v>408</v>
      </c>
      <c r="V691" t="s">
        <v>511</v>
      </c>
      <c r="W691">
        <v>2018</v>
      </c>
      <c r="X691">
        <v>7</v>
      </c>
      <c r="Y691" t="s">
        <v>408</v>
      </c>
      <c r="Z691">
        <v>2018</v>
      </c>
      <c r="AA691">
        <v>2006</v>
      </c>
      <c r="AB691" s="5">
        <v>0.22720057526000001</v>
      </c>
      <c r="AC691" s="5">
        <v>0.45440115052000002</v>
      </c>
      <c r="AD691" t="s">
        <v>408</v>
      </c>
      <c r="AE691" t="s">
        <v>152</v>
      </c>
      <c r="AF691" t="s">
        <v>408</v>
      </c>
      <c r="AG691" t="s">
        <v>408</v>
      </c>
      <c r="AH691" t="s">
        <v>408</v>
      </c>
      <c r="AI691" t="s">
        <v>408</v>
      </c>
      <c r="AJ691" t="s">
        <v>408</v>
      </c>
      <c r="AK691" t="s">
        <v>408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s="58">
        <f t="shared" si="10"/>
        <v>1</v>
      </c>
      <c r="AU691" s="79" t="s">
        <v>488</v>
      </c>
      <c r="AV691" s="78" t="s">
        <v>410</v>
      </c>
      <c r="AW691" t="s">
        <v>408</v>
      </c>
      <c r="AX691">
        <v>2</v>
      </c>
      <c r="AY691" t="s">
        <v>412</v>
      </c>
      <c r="AZ691" t="s">
        <v>408</v>
      </c>
    </row>
    <row r="692" spans="1:52" x14ac:dyDescent="0.3">
      <c r="A692">
        <v>681</v>
      </c>
      <c r="B692" t="s">
        <v>557</v>
      </c>
      <c r="C692" t="s">
        <v>152</v>
      </c>
      <c r="D692" t="s">
        <v>558</v>
      </c>
      <c r="E692" t="s">
        <v>460</v>
      </c>
      <c r="F692" t="s">
        <v>408</v>
      </c>
      <c r="G692">
        <v>3600</v>
      </c>
      <c r="H692">
        <v>3601</v>
      </c>
      <c r="I692" t="s">
        <v>573</v>
      </c>
      <c r="J692">
        <v>3300</v>
      </c>
      <c r="K692">
        <v>3301</v>
      </c>
      <c r="L692" t="s">
        <v>669</v>
      </c>
      <c r="M692">
        <v>0</v>
      </c>
      <c r="N692" t="s">
        <v>167</v>
      </c>
      <c r="O692" t="s">
        <v>569</v>
      </c>
      <c r="P692" t="s">
        <v>420</v>
      </c>
      <c r="Q692">
        <v>0</v>
      </c>
      <c r="R692" t="s">
        <v>1687</v>
      </c>
      <c r="S692">
        <v>2019</v>
      </c>
      <c r="T692">
        <v>9</v>
      </c>
      <c r="U692" t="s">
        <v>408</v>
      </c>
      <c r="V692" t="s">
        <v>408</v>
      </c>
      <c r="W692">
        <v>2019</v>
      </c>
      <c r="X692">
        <v>0</v>
      </c>
      <c r="Y692" t="s">
        <v>408</v>
      </c>
      <c r="Z692">
        <v>2020</v>
      </c>
      <c r="AA692">
        <v>0</v>
      </c>
      <c r="AB692" s="5">
        <v>0.55707885513099997</v>
      </c>
      <c r="AC692" s="5">
        <v>1.11415771026</v>
      </c>
      <c r="AD692" t="s">
        <v>408</v>
      </c>
      <c r="AE692" t="s">
        <v>152</v>
      </c>
      <c r="AF692" t="s">
        <v>408</v>
      </c>
      <c r="AG692" t="s">
        <v>408</v>
      </c>
      <c r="AH692" t="s">
        <v>408</v>
      </c>
      <c r="AI692" t="s">
        <v>408</v>
      </c>
      <c r="AJ692" t="s">
        <v>408</v>
      </c>
      <c r="AK692" t="s">
        <v>408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 s="58">
        <f t="shared" si="10"/>
        <v>1</v>
      </c>
      <c r="AU692" s="79" t="s">
        <v>431</v>
      </c>
      <c r="AV692" s="78" t="s">
        <v>410</v>
      </c>
      <c r="AW692" t="s">
        <v>408</v>
      </c>
      <c r="AX692">
        <v>2</v>
      </c>
      <c r="AY692" t="s">
        <v>412</v>
      </c>
      <c r="AZ692" t="s">
        <v>408</v>
      </c>
    </row>
    <row r="693" spans="1:52" x14ac:dyDescent="0.3">
      <c r="A693">
        <v>682</v>
      </c>
      <c r="B693" t="s">
        <v>1271</v>
      </c>
      <c r="C693" t="s">
        <v>154</v>
      </c>
      <c r="D693" t="s">
        <v>1272</v>
      </c>
      <c r="E693" t="s">
        <v>417</v>
      </c>
      <c r="F693" t="s">
        <v>408</v>
      </c>
      <c r="G693">
        <v>2000</v>
      </c>
      <c r="H693">
        <v>2001</v>
      </c>
      <c r="I693" t="s">
        <v>435</v>
      </c>
      <c r="J693">
        <v>1800</v>
      </c>
      <c r="K693">
        <v>1801</v>
      </c>
      <c r="L693" t="s">
        <v>923</v>
      </c>
      <c r="M693">
        <v>0</v>
      </c>
      <c r="N693" t="s">
        <v>168</v>
      </c>
      <c r="O693" t="s">
        <v>170</v>
      </c>
      <c r="P693" t="s">
        <v>420</v>
      </c>
      <c r="Q693" t="s">
        <v>408</v>
      </c>
      <c r="R693" t="s">
        <v>756</v>
      </c>
      <c r="S693">
        <v>2019</v>
      </c>
      <c r="T693">
        <v>7</v>
      </c>
      <c r="U693" t="s">
        <v>408</v>
      </c>
      <c r="V693" t="s">
        <v>408</v>
      </c>
      <c r="W693">
        <v>2019</v>
      </c>
      <c r="X693">
        <v>0</v>
      </c>
      <c r="Y693" t="s">
        <v>408</v>
      </c>
      <c r="Z693">
        <v>2019</v>
      </c>
      <c r="AA693">
        <v>0</v>
      </c>
      <c r="AB693" s="5">
        <v>0.23247887278599999</v>
      </c>
      <c r="AC693" s="5">
        <v>0.46495774557199998</v>
      </c>
      <c r="AD693" t="s">
        <v>1688</v>
      </c>
      <c r="AE693" t="s">
        <v>152</v>
      </c>
      <c r="AF693" t="s">
        <v>408</v>
      </c>
      <c r="AG693" t="s">
        <v>408</v>
      </c>
      <c r="AH693" t="s">
        <v>408</v>
      </c>
      <c r="AI693" t="s">
        <v>408</v>
      </c>
      <c r="AJ693" t="s">
        <v>408</v>
      </c>
      <c r="AK693" t="s">
        <v>408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s="58">
        <f t="shared" si="10"/>
        <v>1</v>
      </c>
      <c r="AU693" s="79" t="s">
        <v>488</v>
      </c>
      <c r="AV693" s="78" t="s">
        <v>410</v>
      </c>
      <c r="AW693" t="s">
        <v>408</v>
      </c>
      <c r="AX693">
        <v>3</v>
      </c>
      <c r="AY693" t="s">
        <v>17</v>
      </c>
      <c r="AZ693" t="s">
        <v>408</v>
      </c>
    </row>
    <row r="694" spans="1:52" x14ac:dyDescent="0.3">
      <c r="A694">
        <v>683</v>
      </c>
      <c r="B694" t="s">
        <v>1652</v>
      </c>
      <c r="C694" t="s">
        <v>154</v>
      </c>
      <c r="D694" t="s">
        <v>1653</v>
      </c>
      <c r="E694" t="s">
        <v>417</v>
      </c>
      <c r="F694" t="s">
        <v>447</v>
      </c>
      <c r="G694">
        <v>1800</v>
      </c>
      <c r="H694">
        <v>1801</v>
      </c>
      <c r="I694" t="s">
        <v>923</v>
      </c>
      <c r="J694">
        <v>1626</v>
      </c>
      <c r="K694">
        <v>1625</v>
      </c>
      <c r="L694" t="s">
        <v>722</v>
      </c>
      <c r="M694">
        <v>0</v>
      </c>
      <c r="N694" t="s">
        <v>168</v>
      </c>
      <c r="O694" t="s">
        <v>167</v>
      </c>
      <c r="P694" t="s">
        <v>420</v>
      </c>
      <c r="Q694" t="s">
        <v>408</v>
      </c>
      <c r="R694" t="s">
        <v>756</v>
      </c>
      <c r="S694">
        <v>2019</v>
      </c>
      <c r="T694">
        <v>7</v>
      </c>
      <c r="U694" t="s">
        <v>408</v>
      </c>
      <c r="V694" t="s">
        <v>408</v>
      </c>
      <c r="W694">
        <v>2019</v>
      </c>
      <c r="X694">
        <v>0</v>
      </c>
      <c r="Y694" t="s">
        <v>408</v>
      </c>
      <c r="Z694">
        <v>2019</v>
      </c>
      <c r="AA694">
        <v>0</v>
      </c>
      <c r="AB694" s="5">
        <v>0.20650303695700001</v>
      </c>
      <c r="AC694" s="5">
        <v>0.20650303695700001</v>
      </c>
      <c r="AD694" t="s">
        <v>1689</v>
      </c>
      <c r="AE694" t="s">
        <v>411</v>
      </c>
      <c r="AF694" t="s">
        <v>447</v>
      </c>
      <c r="AG694" t="s">
        <v>152</v>
      </c>
      <c r="AH694" t="s">
        <v>408</v>
      </c>
      <c r="AI694" t="s">
        <v>408</v>
      </c>
      <c r="AJ694" t="s">
        <v>408</v>
      </c>
      <c r="AK694" t="s">
        <v>408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s="58">
        <f t="shared" si="10"/>
        <v>1</v>
      </c>
      <c r="AU694" s="79" t="s">
        <v>408</v>
      </c>
      <c r="AV694" s="78" t="s">
        <v>408</v>
      </c>
      <c r="AW694" t="s">
        <v>408</v>
      </c>
      <c r="AX694">
        <v>3</v>
      </c>
      <c r="AY694" t="s">
        <v>17</v>
      </c>
      <c r="AZ694" t="s">
        <v>408</v>
      </c>
    </row>
    <row r="695" spans="1:52" x14ac:dyDescent="0.3">
      <c r="A695">
        <v>684</v>
      </c>
      <c r="B695" t="s">
        <v>1424</v>
      </c>
      <c r="C695" t="s">
        <v>154</v>
      </c>
      <c r="D695" t="s">
        <v>1425</v>
      </c>
      <c r="E695" t="s">
        <v>417</v>
      </c>
      <c r="F695" t="s">
        <v>408</v>
      </c>
      <c r="G695">
        <v>200</v>
      </c>
      <c r="H695">
        <v>201</v>
      </c>
      <c r="I695" t="s">
        <v>931</v>
      </c>
      <c r="J695">
        <v>2</v>
      </c>
      <c r="K695">
        <v>1</v>
      </c>
      <c r="L695" t="s">
        <v>877</v>
      </c>
      <c r="M695">
        <v>0</v>
      </c>
      <c r="N695" t="s">
        <v>165</v>
      </c>
      <c r="O695" t="s">
        <v>165</v>
      </c>
      <c r="P695" t="s">
        <v>420</v>
      </c>
      <c r="Q695" t="s">
        <v>408</v>
      </c>
      <c r="R695" t="s">
        <v>756</v>
      </c>
      <c r="S695">
        <v>2019</v>
      </c>
      <c r="T695">
        <v>8</v>
      </c>
      <c r="U695" t="s">
        <v>1690</v>
      </c>
      <c r="V695" t="s">
        <v>408</v>
      </c>
      <c r="W695">
        <v>0</v>
      </c>
      <c r="X695">
        <v>0</v>
      </c>
      <c r="Y695" t="s">
        <v>408</v>
      </c>
      <c r="Z695">
        <v>2019</v>
      </c>
      <c r="AA695">
        <v>0</v>
      </c>
      <c r="AB695" s="5">
        <v>0.25435591789400003</v>
      </c>
      <c r="AC695" s="5">
        <v>0.50871183578800006</v>
      </c>
      <c r="AD695" t="s">
        <v>408</v>
      </c>
      <c r="AE695" t="s">
        <v>152</v>
      </c>
      <c r="AF695" t="s">
        <v>408</v>
      </c>
      <c r="AG695" t="s">
        <v>408</v>
      </c>
      <c r="AH695" t="s">
        <v>408</v>
      </c>
      <c r="AI695" t="s">
        <v>408</v>
      </c>
      <c r="AJ695" t="s">
        <v>408</v>
      </c>
      <c r="AK695" t="s">
        <v>408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 s="58">
        <f t="shared" si="10"/>
        <v>1</v>
      </c>
      <c r="AU695" s="79" t="s">
        <v>602</v>
      </c>
      <c r="AV695" s="78" t="s">
        <v>410</v>
      </c>
      <c r="AW695" t="s">
        <v>411</v>
      </c>
      <c r="AX695">
        <v>3</v>
      </c>
      <c r="AY695" t="s">
        <v>412</v>
      </c>
      <c r="AZ695" t="s">
        <v>408</v>
      </c>
    </row>
    <row r="696" spans="1:52" x14ac:dyDescent="0.3">
      <c r="A696">
        <v>685</v>
      </c>
      <c r="B696" t="s">
        <v>1691</v>
      </c>
      <c r="C696" t="s">
        <v>152</v>
      </c>
      <c r="D696" t="s">
        <v>1692</v>
      </c>
      <c r="E696" t="s">
        <v>460</v>
      </c>
      <c r="F696" t="s">
        <v>155</v>
      </c>
      <c r="G696">
        <v>3401</v>
      </c>
      <c r="H696">
        <v>3400</v>
      </c>
      <c r="I696" t="s">
        <v>804</v>
      </c>
      <c r="J696">
        <v>3301</v>
      </c>
      <c r="K696">
        <v>3300</v>
      </c>
      <c r="L696" t="s">
        <v>1693</v>
      </c>
      <c r="M696">
        <v>0</v>
      </c>
      <c r="N696" t="s">
        <v>168</v>
      </c>
      <c r="O696" t="s">
        <v>165</v>
      </c>
      <c r="P696" t="s">
        <v>420</v>
      </c>
      <c r="Q696" t="s">
        <v>408</v>
      </c>
      <c r="R696" t="s">
        <v>756</v>
      </c>
      <c r="S696">
        <v>2019</v>
      </c>
      <c r="T696">
        <v>7</v>
      </c>
      <c r="U696" t="s">
        <v>408</v>
      </c>
      <c r="V696" t="s">
        <v>408</v>
      </c>
      <c r="W696">
        <v>2019</v>
      </c>
      <c r="X696">
        <v>0</v>
      </c>
      <c r="Y696" t="s">
        <v>408</v>
      </c>
      <c r="Z696">
        <v>2019</v>
      </c>
      <c r="AA696">
        <v>0</v>
      </c>
      <c r="AB696" s="5">
        <v>0.12614323960500001</v>
      </c>
      <c r="AC696" s="5">
        <v>0.12614323960500001</v>
      </c>
      <c r="AD696" t="s">
        <v>1694</v>
      </c>
      <c r="AE696" t="s">
        <v>411</v>
      </c>
      <c r="AF696" t="s">
        <v>155</v>
      </c>
      <c r="AG696" t="s">
        <v>152</v>
      </c>
      <c r="AH696" t="s">
        <v>408</v>
      </c>
      <c r="AI696" t="s">
        <v>408</v>
      </c>
      <c r="AJ696" t="s">
        <v>408</v>
      </c>
      <c r="AK696" t="s">
        <v>408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s="58">
        <f t="shared" si="10"/>
        <v>1</v>
      </c>
      <c r="AU696" s="79" t="s">
        <v>488</v>
      </c>
      <c r="AV696" t="s">
        <v>410</v>
      </c>
      <c r="AW696" t="s">
        <v>408</v>
      </c>
      <c r="AX696">
        <v>3</v>
      </c>
      <c r="AY696" t="s">
        <v>17</v>
      </c>
      <c r="AZ696" t="s">
        <v>408</v>
      </c>
    </row>
    <row r="697" spans="1:52" x14ac:dyDescent="0.3">
      <c r="A697">
        <v>686</v>
      </c>
      <c r="B697" t="s">
        <v>1271</v>
      </c>
      <c r="C697" t="s">
        <v>154</v>
      </c>
      <c r="D697" t="s">
        <v>1272</v>
      </c>
      <c r="E697" t="s">
        <v>417</v>
      </c>
      <c r="F697" t="s">
        <v>154</v>
      </c>
      <c r="G697">
        <v>1800</v>
      </c>
      <c r="H697">
        <v>1801</v>
      </c>
      <c r="I697" t="s">
        <v>923</v>
      </c>
      <c r="J697">
        <v>1700</v>
      </c>
      <c r="K697">
        <v>1701</v>
      </c>
      <c r="L697" t="s">
        <v>722</v>
      </c>
      <c r="M697">
        <v>0</v>
      </c>
      <c r="N697" t="s">
        <v>168</v>
      </c>
      <c r="O697" t="s">
        <v>167</v>
      </c>
      <c r="P697" t="s">
        <v>420</v>
      </c>
      <c r="Q697" t="s">
        <v>408</v>
      </c>
      <c r="R697" t="s">
        <v>756</v>
      </c>
      <c r="S697">
        <v>2019</v>
      </c>
      <c r="T697">
        <v>7</v>
      </c>
      <c r="U697" t="s">
        <v>408</v>
      </c>
      <c r="V697" t="s">
        <v>408</v>
      </c>
      <c r="W697">
        <v>2019</v>
      </c>
      <c r="X697">
        <v>0</v>
      </c>
      <c r="Y697" t="s">
        <v>408</v>
      </c>
      <c r="Z697">
        <v>2019</v>
      </c>
      <c r="AA697">
        <v>0</v>
      </c>
      <c r="AB697" s="5">
        <v>0.14164452756400001</v>
      </c>
      <c r="AC697" s="5">
        <v>0.14164452756400001</v>
      </c>
      <c r="AD697" t="s">
        <v>1688</v>
      </c>
      <c r="AE697" t="s">
        <v>411</v>
      </c>
      <c r="AF697" t="s">
        <v>154</v>
      </c>
      <c r="AG697" t="s">
        <v>152</v>
      </c>
      <c r="AH697" t="s">
        <v>408</v>
      </c>
      <c r="AI697" t="s">
        <v>408</v>
      </c>
      <c r="AJ697" t="s">
        <v>408</v>
      </c>
      <c r="AK697" t="s">
        <v>408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s="58">
        <f t="shared" si="10"/>
        <v>1</v>
      </c>
      <c r="AU697" s="79" t="s">
        <v>488</v>
      </c>
      <c r="AV697" s="78" t="s">
        <v>410</v>
      </c>
      <c r="AW697" t="s">
        <v>408</v>
      </c>
      <c r="AX697">
        <v>3</v>
      </c>
      <c r="AY697" t="s">
        <v>17</v>
      </c>
      <c r="AZ697" t="s">
        <v>408</v>
      </c>
    </row>
    <row r="698" spans="1:52" x14ac:dyDescent="0.3">
      <c r="A698">
        <v>687</v>
      </c>
      <c r="B698" t="s">
        <v>1228</v>
      </c>
      <c r="C698" t="s">
        <v>155</v>
      </c>
      <c r="D698" t="s">
        <v>1229</v>
      </c>
      <c r="E698" t="s">
        <v>417</v>
      </c>
      <c r="F698" t="s">
        <v>408</v>
      </c>
      <c r="G698">
        <v>2200</v>
      </c>
      <c r="H698">
        <v>2201</v>
      </c>
      <c r="I698" t="s">
        <v>492</v>
      </c>
      <c r="J698">
        <v>2100</v>
      </c>
      <c r="K698">
        <v>2101</v>
      </c>
      <c r="L698" t="s">
        <v>1695</v>
      </c>
      <c r="M698">
        <v>0</v>
      </c>
      <c r="N698" t="s">
        <v>168</v>
      </c>
      <c r="O698" t="s">
        <v>170</v>
      </c>
      <c r="P698" t="s">
        <v>420</v>
      </c>
      <c r="Q698" t="s">
        <v>408</v>
      </c>
      <c r="R698" t="s">
        <v>756</v>
      </c>
      <c r="S698">
        <v>2019</v>
      </c>
      <c r="T698">
        <v>6</v>
      </c>
      <c r="U698" t="s">
        <v>408</v>
      </c>
      <c r="V698" t="s">
        <v>408</v>
      </c>
      <c r="W698">
        <v>0</v>
      </c>
      <c r="X698">
        <v>0</v>
      </c>
      <c r="Y698" t="s">
        <v>408</v>
      </c>
      <c r="Z698">
        <v>2019</v>
      </c>
      <c r="AA698">
        <v>0</v>
      </c>
      <c r="AB698" s="5">
        <v>0.12621846669100001</v>
      </c>
      <c r="AC698" s="5">
        <v>0.25243693338200002</v>
      </c>
      <c r="AD698" t="s">
        <v>408</v>
      </c>
      <c r="AE698" t="s">
        <v>152</v>
      </c>
      <c r="AF698" t="s">
        <v>408</v>
      </c>
      <c r="AG698" t="s">
        <v>408</v>
      </c>
      <c r="AH698" t="s">
        <v>408</v>
      </c>
      <c r="AI698" t="s">
        <v>408</v>
      </c>
      <c r="AJ698" t="s">
        <v>408</v>
      </c>
      <c r="AK698" t="s">
        <v>408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 s="58">
        <f t="shared" si="10"/>
        <v>1</v>
      </c>
      <c r="AU698" s="79" t="s">
        <v>488</v>
      </c>
      <c r="AV698" t="s">
        <v>410</v>
      </c>
      <c r="AW698" t="s">
        <v>408</v>
      </c>
      <c r="AX698">
        <v>3</v>
      </c>
      <c r="AY698" t="s">
        <v>17</v>
      </c>
      <c r="AZ698" t="s">
        <v>408</v>
      </c>
    </row>
    <row r="699" spans="1:52" x14ac:dyDescent="0.3">
      <c r="A699">
        <v>688</v>
      </c>
      <c r="B699" t="s">
        <v>1696</v>
      </c>
      <c r="C699" t="s">
        <v>154</v>
      </c>
      <c r="D699" t="s">
        <v>1697</v>
      </c>
      <c r="E699" t="s">
        <v>417</v>
      </c>
      <c r="F699" t="s">
        <v>408</v>
      </c>
      <c r="G699">
        <v>1800</v>
      </c>
      <c r="H699">
        <v>1801</v>
      </c>
      <c r="I699" t="s">
        <v>1684</v>
      </c>
      <c r="J699">
        <v>1400</v>
      </c>
      <c r="K699">
        <v>1401</v>
      </c>
      <c r="L699" t="s">
        <v>419</v>
      </c>
      <c r="M699">
        <v>0</v>
      </c>
      <c r="N699" t="s">
        <v>168</v>
      </c>
      <c r="O699" t="s">
        <v>1442</v>
      </c>
      <c r="P699" t="s">
        <v>420</v>
      </c>
      <c r="Q699" t="s">
        <v>408</v>
      </c>
      <c r="R699" t="s">
        <v>756</v>
      </c>
      <c r="S699">
        <v>2019</v>
      </c>
      <c r="T699">
        <v>6</v>
      </c>
      <c r="U699" t="s">
        <v>408</v>
      </c>
      <c r="V699" t="s">
        <v>408</v>
      </c>
      <c r="W699">
        <v>0</v>
      </c>
      <c r="X699">
        <v>0</v>
      </c>
      <c r="Y699" t="s">
        <v>408</v>
      </c>
      <c r="Z699">
        <v>2019</v>
      </c>
      <c r="AA699">
        <v>0</v>
      </c>
      <c r="AB699" s="5">
        <v>0.50471407852399996</v>
      </c>
      <c r="AC699" s="5">
        <v>1.0094281570500001</v>
      </c>
      <c r="AD699" t="s">
        <v>408</v>
      </c>
      <c r="AE699" t="s">
        <v>152</v>
      </c>
      <c r="AF699" t="s">
        <v>408</v>
      </c>
      <c r="AG699" t="s">
        <v>408</v>
      </c>
      <c r="AH699" t="s">
        <v>408</v>
      </c>
      <c r="AI699" t="s">
        <v>408</v>
      </c>
      <c r="AJ699" t="s">
        <v>408</v>
      </c>
      <c r="AK699" t="s">
        <v>408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</v>
      </c>
      <c r="AT699" s="58">
        <f t="shared" si="10"/>
        <v>1</v>
      </c>
      <c r="AU699" s="79" t="s">
        <v>488</v>
      </c>
      <c r="AV699" t="s">
        <v>410</v>
      </c>
      <c r="AW699" t="s">
        <v>408</v>
      </c>
      <c r="AX699">
        <v>3</v>
      </c>
      <c r="AY699" t="s">
        <v>17</v>
      </c>
      <c r="AZ699" t="s">
        <v>408</v>
      </c>
    </row>
    <row r="700" spans="1:52" x14ac:dyDescent="0.3">
      <c r="A700">
        <v>689</v>
      </c>
      <c r="B700" t="s">
        <v>1183</v>
      </c>
      <c r="C700" t="s">
        <v>154</v>
      </c>
      <c r="D700" t="s">
        <v>1184</v>
      </c>
      <c r="E700" t="s">
        <v>417</v>
      </c>
      <c r="F700" t="s">
        <v>408</v>
      </c>
      <c r="G700">
        <v>1800</v>
      </c>
      <c r="H700">
        <v>1801</v>
      </c>
      <c r="I700" t="s">
        <v>1684</v>
      </c>
      <c r="J700">
        <v>1700</v>
      </c>
      <c r="K700">
        <v>1701</v>
      </c>
      <c r="L700" t="s">
        <v>1698</v>
      </c>
      <c r="M700">
        <v>0</v>
      </c>
      <c r="N700" t="s">
        <v>167</v>
      </c>
      <c r="O700" t="s">
        <v>167</v>
      </c>
      <c r="P700" t="s">
        <v>420</v>
      </c>
      <c r="Q700" t="s">
        <v>408</v>
      </c>
      <c r="R700" t="s">
        <v>756</v>
      </c>
      <c r="S700">
        <v>2019</v>
      </c>
      <c r="T700">
        <v>10</v>
      </c>
      <c r="U700" t="s">
        <v>1699</v>
      </c>
      <c r="V700" t="s">
        <v>408</v>
      </c>
      <c r="W700">
        <v>0</v>
      </c>
      <c r="X700">
        <v>0</v>
      </c>
      <c r="Y700" t="s">
        <v>408</v>
      </c>
      <c r="Z700">
        <v>2019</v>
      </c>
      <c r="AA700">
        <v>0</v>
      </c>
      <c r="AB700" s="5">
        <v>0.12642951972399999</v>
      </c>
      <c r="AC700" s="5">
        <v>0.25285903944799998</v>
      </c>
      <c r="AD700" t="s">
        <v>408</v>
      </c>
      <c r="AE700" t="s">
        <v>152</v>
      </c>
      <c r="AF700" t="s">
        <v>408</v>
      </c>
      <c r="AG700" t="s">
        <v>408</v>
      </c>
      <c r="AH700" t="s">
        <v>408</v>
      </c>
      <c r="AI700" t="s">
        <v>408</v>
      </c>
      <c r="AJ700" t="s">
        <v>408</v>
      </c>
      <c r="AK700" t="s">
        <v>408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 s="58">
        <f t="shared" si="10"/>
        <v>1</v>
      </c>
      <c r="AU700" s="79" t="s">
        <v>488</v>
      </c>
      <c r="AV700" t="s">
        <v>410</v>
      </c>
      <c r="AW700" t="s">
        <v>408</v>
      </c>
      <c r="AX700">
        <v>2</v>
      </c>
      <c r="AY700" t="s">
        <v>412</v>
      </c>
      <c r="AZ700" t="s">
        <v>408</v>
      </c>
    </row>
    <row r="701" spans="1:52" x14ac:dyDescent="0.3">
      <c r="A701">
        <v>690</v>
      </c>
      <c r="B701" t="s">
        <v>1183</v>
      </c>
      <c r="C701" t="s">
        <v>154</v>
      </c>
      <c r="D701" t="s">
        <v>1184</v>
      </c>
      <c r="E701" t="s">
        <v>417</v>
      </c>
      <c r="F701" t="s">
        <v>400</v>
      </c>
      <c r="G701">
        <v>1700</v>
      </c>
      <c r="H701">
        <v>1701</v>
      </c>
      <c r="I701" t="s">
        <v>1698</v>
      </c>
      <c r="J701">
        <v>1600</v>
      </c>
      <c r="K701">
        <v>1601</v>
      </c>
      <c r="L701" t="s">
        <v>813</v>
      </c>
      <c r="M701">
        <v>0</v>
      </c>
      <c r="N701" t="s">
        <v>165</v>
      </c>
      <c r="O701" t="s">
        <v>165</v>
      </c>
      <c r="P701" t="s">
        <v>420</v>
      </c>
      <c r="Q701" t="s">
        <v>408</v>
      </c>
      <c r="R701" t="s">
        <v>756</v>
      </c>
      <c r="S701">
        <v>2019</v>
      </c>
      <c r="T701">
        <v>10</v>
      </c>
      <c r="U701" t="s">
        <v>1700</v>
      </c>
      <c r="V701" t="s">
        <v>408</v>
      </c>
      <c r="W701">
        <v>0</v>
      </c>
      <c r="X701">
        <v>0</v>
      </c>
      <c r="Y701" t="s">
        <v>408</v>
      </c>
      <c r="Z701">
        <v>2019</v>
      </c>
      <c r="AA701">
        <v>0</v>
      </c>
      <c r="AB701" s="5">
        <v>0.12962522542800001</v>
      </c>
      <c r="AC701" s="5">
        <v>0.25925045085600001</v>
      </c>
      <c r="AD701" t="s">
        <v>400</v>
      </c>
      <c r="AE701" t="s">
        <v>152</v>
      </c>
      <c r="AF701" t="s">
        <v>400</v>
      </c>
      <c r="AG701" t="s">
        <v>400</v>
      </c>
      <c r="AH701" t="s">
        <v>408</v>
      </c>
      <c r="AI701" t="s">
        <v>400</v>
      </c>
      <c r="AJ701" t="s">
        <v>408</v>
      </c>
      <c r="AK701" t="s">
        <v>408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 s="58">
        <f t="shared" si="10"/>
        <v>1</v>
      </c>
      <c r="AU701" s="79" t="s">
        <v>602</v>
      </c>
      <c r="AV701" t="s">
        <v>410</v>
      </c>
      <c r="AW701" t="s">
        <v>411</v>
      </c>
      <c r="AX701">
        <v>2</v>
      </c>
      <c r="AY701" t="s">
        <v>412</v>
      </c>
      <c r="AZ701" t="s">
        <v>408</v>
      </c>
    </row>
    <row r="702" spans="1:52" x14ac:dyDescent="0.3">
      <c r="A702">
        <v>691</v>
      </c>
      <c r="B702" t="s">
        <v>1520</v>
      </c>
      <c r="C702" t="s">
        <v>154</v>
      </c>
      <c r="D702" t="s">
        <v>1521</v>
      </c>
      <c r="E702" t="s">
        <v>417</v>
      </c>
      <c r="F702" t="s">
        <v>408</v>
      </c>
      <c r="G702">
        <v>4000</v>
      </c>
      <c r="H702">
        <v>4001</v>
      </c>
      <c r="I702" t="s">
        <v>1236</v>
      </c>
      <c r="J702">
        <v>3600</v>
      </c>
      <c r="K702">
        <v>3601</v>
      </c>
      <c r="L702" t="s">
        <v>401</v>
      </c>
      <c r="M702">
        <v>0</v>
      </c>
      <c r="N702" t="s">
        <v>165</v>
      </c>
      <c r="O702" t="s">
        <v>165</v>
      </c>
      <c r="P702" t="s">
        <v>420</v>
      </c>
      <c r="Q702" t="s">
        <v>408</v>
      </c>
      <c r="R702" t="s">
        <v>756</v>
      </c>
      <c r="S702">
        <v>2019</v>
      </c>
      <c r="T702">
        <v>8</v>
      </c>
      <c r="U702" t="s">
        <v>408</v>
      </c>
      <c r="V702" t="s">
        <v>408</v>
      </c>
      <c r="W702">
        <v>2019</v>
      </c>
      <c r="X702">
        <v>0</v>
      </c>
      <c r="Y702" t="s">
        <v>408</v>
      </c>
      <c r="Z702">
        <v>2019</v>
      </c>
      <c r="AA702">
        <v>0</v>
      </c>
      <c r="AB702" s="5">
        <v>0.50429836678999995</v>
      </c>
      <c r="AC702" s="5">
        <v>1.0085967335799999</v>
      </c>
      <c r="AD702" t="s">
        <v>408</v>
      </c>
      <c r="AE702" t="s">
        <v>152</v>
      </c>
      <c r="AF702" t="s">
        <v>408</v>
      </c>
      <c r="AG702" t="s">
        <v>408</v>
      </c>
      <c r="AH702" t="s">
        <v>408</v>
      </c>
      <c r="AI702" t="s">
        <v>408</v>
      </c>
      <c r="AJ702" t="s">
        <v>408</v>
      </c>
      <c r="AK702" t="s">
        <v>408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 s="58">
        <f t="shared" si="10"/>
        <v>1</v>
      </c>
      <c r="AU702" s="79" t="s">
        <v>488</v>
      </c>
      <c r="AV702" t="s">
        <v>410</v>
      </c>
      <c r="AW702" t="s">
        <v>152</v>
      </c>
      <c r="AX702">
        <v>2</v>
      </c>
      <c r="AY702" t="s">
        <v>412</v>
      </c>
      <c r="AZ702" t="s">
        <v>408</v>
      </c>
    </row>
    <row r="703" spans="1:52" x14ac:dyDescent="0.3">
      <c r="A703">
        <v>692</v>
      </c>
      <c r="B703" t="s">
        <v>1638</v>
      </c>
      <c r="C703" t="s">
        <v>155</v>
      </c>
      <c r="D703" t="s">
        <v>1639</v>
      </c>
      <c r="E703" t="s">
        <v>417</v>
      </c>
      <c r="F703" t="s">
        <v>408</v>
      </c>
      <c r="G703">
        <v>1200</v>
      </c>
      <c r="H703">
        <v>1201</v>
      </c>
      <c r="I703" t="s">
        <v>631</v>
      </c>
      <c r="J703">
        <v>800</v>
      </c>
      <c r="K703">
        <v>801</v>
      </c>
      <c r="L703" t="s">
        <v>632</v>
      </c>
      <c r="M703">
        <v>0</v>
      </c>
      <c r="N703" t="s">
        <v>167</v>
      </c>
      <c r="O703" t="s">
        <v>167</v>
      </c>
      <c r="P703" t="s">
        <v>420</v>
      </c>
      <c r="Q703" t="s">
        <v>408</v>
      </c>
      <c r="R703" t="s">
        <v>756</v>
      </c>
      <c r="S703">
        <v>2019</v>
      </c>
      <c r="T703">
        <v>10</v>
      </c>
      <c r="U703" t="s">
        <v>757</v>
      </c>
      <c r="V703" t="s">
        <v>408</v>
      </c>
      <c r="W703">
        <v>0</v>
      </c>
      <c r="X703">
        <v>0</v>
      </c>
      <c r="Y703" t="s">
        <v>408</v>
      </c>
      <c r="Z703">
        <v>2019</v>
      </c>
      <c r="AA703">
        <v>0</v>
      </c>
      <c r="AB703" s="5">
        <v>0.32648868147499999</v>
      </c>
      <c r="AC703" s="5">
        <v>0.65297736294999997</v>
      </c>
      <c r="AD703" t="s">
        <v>408</v>
      </c>
      <c r="AE703" t="s">
        <v>152</v>
      </c>
      <c r="AF703" t="s">
        <v>408</v>
      </c>
      <c r="AG703" t="s">
        <v>408</v>
      </c>
      <c r="AH703" t="s">
        <v>408</v>
      </c>
      <c r="AI703" t="s">
        <v>408</v>
      </c>
      <c r="AJ703" t="s">
        <v>408</v>
      </c>
      <c r="AK703" t="s">
        <v>408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</v>
      </c>
      <c r="AT703" s="58">
        <f t="shared" si="10"/>
        <v>1</v>
      </c>
      <c r="AU703" s="79" t="s">
        <v>488</v>
      </c>
      <c r="AV703" t="s">
        <v>410</v>
      </c>
      <c r="AW703" t="s">
        <v>408</v>
      </c>
      <c r="AX703">
        <v>2</v>
      </c>
      <c r="AY703" t="s">
        <v>412</v>
      </c>
      <c r="AZ703" t="s">
        <v>408</v>
      </c>
    </row>
    <row r="704" spans="1:52" x14ac:dyDescent="0.3">
      <c r="A704">
        <v>693</v>
      </c>
      <c r="B704" t="s">
        <v>1638</v>
      </c>
      <c r="C704" t="s">
        <v>155</v>
      </c>
      <c r="D704" t="s">
        <v>1639</v>
      </c>
      <c r="E704" t="s">
        <v>417</v>
      </c>
      <c r="F704" t="s">
        <v>408</v>
      </c>
      <c r="G704">
        <v>800</v>
      </c>
      <c r="H704">
        <v>801</v>
      </c>
      <c r="I704" t="s">
        <v>632</v>
      </c>
      <c r="J704">
        <v>600</v>
      </c>
      <c r="K704">
        <v>601</v>
      </c>
      <c r="L704" t="s">
        <v>535</v>
      </c>
      <c r="M704">
        <v>0</v>
      </c>
      <c r="N704" t="s">
        <v>167</v>
      </c>
      <c r="O704" t="s">
        <v>569</v>
      </c>
      <c r="P704" t="s">
        <v>420</v>
      </c>
      <c r="Q704" t="s">
        <v>408</v>
      </c>
      <c r="R704" t="s">
        <v>756</v>
      </c>
      <c r="S704">
        <v>2019</v>
      </c>
      <c r="T704">
        <v>10</v>
      </c>
      <c r="U704" t="s">
        <v>757</v>
      </c>
      <c r="V704" t="s">
        <v>408</v>
      </c>
      <c r="W704">
        <v>0</v>
      </c>
      <c r="X704">
        <v>0</v>
      </c>
      <c r="Y704" t="s">
        <v>408</v>
      </c>
      <c r="Z704">
        <v>2019</v>
      </c>
      <c r="AA704">
        <v>0</v>
      </c>
      <c r="AB704" s="5">
        <v>0.17753473424999999</v>
      </c>
      <c r="AC704" s="5">
        <v>0.35506946849999999</v>
      </c>
      <c r="AD704" t="s">
        <v>408</v>
      </c>
      <c r="AE704" t="s">
        <v>152</v>
      </c>
      <c r="AF704" t="s">
        <v>408</v>
      </c>
      <c r="AG704" t="s">
        <v>408</v>
      </c>
      <c r="AH704" t="s">
        <v>408</v>
      </c>
      <c r="AI704" t="s">
        <v>408</v>
      </c>
      <c r="AJ704" t="s">
        <v>408</v>
      </c>
      <c r="AK704" t="s">
        <v>408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 s="58">
        <f t="shared" si="10"/>
        <v>1</v>
      </c>
      <c r="AU704" s="79" t="s">
        <v>488</v>
      </c>
      <c r="AV704" s="78" t="s">
        <v>410</v>
      </c>
      <c r="AW704" t="s">
        <v>408</v>
      </c>
      <c r="AX704">
        <v>2</v>
      </c>
      <c r="AY704" t="s">
        <v>412</v>
      </c>
      <c r="AZ704" t="s">
        <v>408</v>
      </c>
    </row>
    <row r="705" spans="1:52" x14ac:dyDescent="0.3">
      <c r="A705">
        <v>694</v>
      </c>
      <c r="B705" t="s">
        <v>538</v>
      </c>
      <c r="C705" t="s">
        <v>152</v>
      </c>
      <c r="D705" t="s">
        <v>539</v>
      </c>
      <c r="E705" t="s">
        <v>417</v>
      </c>
      <c r="F705" t="s">
        <v>408</v>
      </c>
      <c r="G705">
        <v>4906</v>
      </c>
      <c r="H705">
        <v>4905</v>
      </c>
      <c r="I705" t="s">
        <v>1432</v>
      </c>
      <c r="J705">
        <v>5200</v>
      </c>
      <c r="K705">
        <v>5201</v>
      </c>
      <c r="L705" t="s">
        <v>1019</v>
      </c>
      <c r="M705">
        <v>3</v>
      </c>
      <c r="N705" t="s">
        <v>167</v>
      </c>
      <c r="O705" t="s">
        <v>569</v>
      </c>
      <c r="P705" t="s">
        <v>403</v>
      </c>
      <c r="Q705" t="s">
        <v>408</v>
      </c>
      <c r="R705" t="s">
        <v>1078</v>
      </c>
      <c r="S705">
        <v>2019</v>
      </c>
      <c r="T705">
        <v>8</v>
      </c>
      <c r="U705" t="s">
        <v>757</v>
      </c>
      <c r="V705" t="s">
        <v>866</v>
      </c>
      <c r="W705">
        <v>2021</v>
      </c>
      <c r="X705">
        <v>10</v>
      </c>
      <c r="Y705" t="s">
        <v>408</v>
      </c>
      <c r="Z705">
        <v>2021</v>
      </c>
      <c r="AA705">
        <v>2021</v>
      </c>
      <c r="AB705" s="5">
        <v>0.29810570726399999</v>
      </c>
      <c r="AC705" s="5">
        <v>0.59621141452799997</v>
      </c>
      <c r="AD705" t="s">
        <v>408</v>
      </c>
      <c r="AE705" t="s">
        <v>152</v>
      </c>
      <c r="AF705" t="s">
        <v>408</v>
      </c>
      <c r="AG705" t="s">
        <v>408</v>
      </c>
      <c r="AH705" t="s">
        <v>408</v>
      </c>
      <c r="AI705" t="s">
        <v>408</v>
      </c>
      <c r="AJ705" t="s">
        <v>408</v>
      </c>
      <c r="AK705" t="s">
        <v>408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s="58">
        <f t="shared" si="10"/>
        <v>1</v>
      </c>
      <c r="AU705" s="79" t="s">
        <v>768</v>
      </c>
      <c r="AV705" t="s">
        <v>410</v>
      </c>
      <c r="AW705" t="s">
        <v>400</v>
      </c>
      <c r="AX705">
        <v>2</v>
      </c>
      <c r="AY705" t="s">
        <v>412</v>
      </c>
      <c r="AZ705">
        <v>20</v>
      </c>
    </row>
    <row r="706" spans="1:52" x14ac:dyDescent="0.3">
      <c r="A706">
        <v>695</v>
      </c>
      <c r="B706" t="s">
        <v>538</v>
      </c>
      <c r="C706" t="s">
        <v>152</v>
      </c>
      <c r="D706" t="s">
        <v>539</v>
      </c>
      <c r="E706" t="s">
        <v>417</v>
      </c>
      <c r="F706" t="s">
        <v>408</v>
      </c>
      <c r="G706">
        <v>5600</v>
      </c>
      <c r="H706">
        <v>5601</v>
      </c>
      <c r="I706" t="s">
        <v>841</v>
      </c>
      <c r="J706">
        <v>5726</v>
      </c>
      <c r="K706">
        <v>5725</v>
      </c>
      <c r="L706" t="s">
        <v>1701</v>
      </c>
      <c r="M706">
        <v>3</v>
      </c>
      <c r="N706" t="s">
        <v>167</v>
      </c>
      <c r="O706" t="s">
        <v>569</v>
      </c>
      <c r="P706" t="s">
        <v>403</v>
      </c>
      <c r="Q706" t="s">
        <v>408</v>
      </c>
      <c r="R706" t="s">
        <v>1078</v>
      </c>
      <c r="S706">
        <v>2019</v>
      </c>
      <c r="T706">
        <v>8</v>
      </c>
      <c r="U706" t="s">
        <v>757</v>
      </c>
      <c r="V706" t="s">
        <v>866</v>
      </c>
      <c r="W706">
        <v>2021</v>
      </c>
      <c r="X706">
        <v>10</v>
      </c>
      <c r="Y706" t="s">
        <v>408</v>
      </c>
      <c r="Z706">
        <v>2021</v>
      </c>
      <c r="AA706">
        <v>2021</v>
      </c>
      <c r="AB706" s="5">
        <v>0.195904769743</v>
      </c>
      <c r="AC706" s="5">
        <v>0.391809539486</v>
      </c>
      <c r="AD706" t="s">
        <v>408</v>
      </c>
      <c r="AE706" t="s">
        <v>152</v>
      </c>
      <c r="AF706" t="s">
        <v>408</v>
      </c>
      <c r="AG706" t="s">
        <v>408</v>
      </c>
      <c r="AH706" t="s">
        <v>408</v>
      </c>
      <c r="AI706" t="s">
        <v>408</v>
      </c>
      <c r="AJ706" t="s">
        <v>408</v>
      </c>
      <c r="AK706" t="s">
        <v>408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s="58">
        <f t="shared" si="10"/>
        <v>1</v>
      </c>
      <c r="AU706" s="79" t="s">
        <v>768</v>
      </c>
      <c r="AV706" s="78" t="s">
        <v>410</v>
      </c>
      <c r="AW706" t="s">
        <v>400</v>
      </c>
      <c r="AX706">
        <v>2</v>
      </c>
      <c r="AY706" t="s">
        <v>412</v>
      </c>
      <c r="AZ706">
        <v>20</v>
      </c>
    </row>
    <row r="707" spans="1:52" x14ac:dyDescent="0.3">
      <c r="A707">
        <v>696</v>
      </c>
      <c r="B707" t="s">
        <v>1343</v>
      </c>
      <c r="C707" t="s">
        <v>154</v>
      </c>
      <c r="D707" t="s">
        <v>1344</v>
      </c>
      <c r="E707" t="s">
        <v>460</v>
      </c>
      <c r="F707" t="s">
        <v>408</v>
      </c>
      <c r="G707">
        <v>1500</v>
      </c>
      <c r="H707">
        <v>1501</v>
      </c>
      <c r="I707" t="s">
        <v>718</v>
      </c>
      <c r="J707">
        <v>1400</v>
      </c>
      <c r="K707">
        <v>1401</v>
      </c>
      <c r="L707" t="s">
        <v>1345</v>
      </c>
      <c r="M707">
        <v>0</v>
      </c>
      <c r="N707" t="s">
        <v>168</v>
      </c>
      <c r="O707" t="s">
        <v>170</v>
      </c>
      <c r="P707" t="s">
        <v>420</v>
      </c>
      <c r="Q707" t="s">
        <v>408</v>
      </c>
      <c r="R707" t="s">
        <v>1702</v>
      </c>
      <c r="S707">
        <v>2019</v>
      </c>
      <c r="T707">
        <v>8</v>
      </c>
      <c r="U707" t="s">
        <v>408</v>
      </c>
      <c r="V707" t="s">
        <v>408</v>
      </c>
      <c r="W707">
        <v>0</v>
      </c>
      <c r="X707">
        <v>0</v>
      </c>
      <c r="Y707" t="s">
        <v>408</v>
      </c>
      <c r="Z707">
        <v>2019</v>
      </c>
      <c r="AA707">
        <v>0</v>
      </c>
      <c r="AB707" s="5">
        <v>0.189167465688</v>
      </c>
      <c r="AC707" s="5">
        <v>0.37833493137599999</v>
      </c>
      <c r="AD707" t="s">
        <v>1342</v>
      </c>
      <c r="AE707" t="s">
        <v>152</v>
      </c>
      <c r="AF707" t="s">
        <v>408</v>
      </c>
      <c r="AG707" t="s">
        <v>408</v>
      </c>
      <c r="AH707" t="s">
        <v>408</v>
      </c>
      <c r="AI707" t="s">
        <v>408</v>
      </c>
      <c r="AJ707" t="s">
        <v>408</v>
      </c>
      <c r="AK707" t="s">
        <v>408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s="58">
        <f t="shared" si="10"/>
        <v>1</v>
      </c>
      <c r="AU707" s="79" t="s">
        <v>488</v>
      </c>
      <c r="AV707" t="s">
        <v>410</v>
      </c>
      <c r="AW707" t="s">
        <v>408</v>
      </c>
      <c r="AX707">
        <v>3</v>
      </c>
      <c r="AY707" t="s">
        <v>17</v>
      </c>
      <c r="AZ707" t="s">
        <v>400</v>
      </c>
    </row>
    <row r="708" spans="1:52" x14ac:dyDescent="0.3">
      <c r="A708">
        <v>697</v>
      </c>
      <c r="B708" t="s">
        <v>587</v>
      </c>
      <c r="C708" t="s">
        <v>155</v>
      </c>
      <c r="D708" t="s">
        <v>588</v>
      </c>
      <c r="E708" t="s">
        <v>417</v>
      </c>
      <c r="F708" t="s">
        <v>408</v>
      </c>
      <c r="G708">
        <v>10300</v>
      </c>
      <c r="H708">
        <v>10301</v>
      </c>
      <c r="I708" t="s">
        <v>985</v>
      </c>
      <c r="J708">
        <v>11500</v>
      </c>
      <c r="K708">
        <v>11501</v>
      </c>
      <c r="L708" t="s">
        <v>1703</v>
      </c>
      <c r="M708">
        <v>2</v>
      </c>
      <c r="N708" t="s">
        <v>167</v>
      </c>
      <c r="O708" t="s">
        <v>167</v>
      </c>
      <c r="P708" t="s">
        <v>420</v>
      </c>
      <c r="Q708" t="s">
        <v>408</v>
      </c>
      <c r="R708" t="s">
        <v>756</v>
      </c>
      <c r="S708">
        <v>2019</v>
      </c>
      <c r="T708">
        <v>11</v>
      </c>
      <c r="U708" t="s">
        <v>757</v>
      </c>
      <c r="V708" t="s">
        <v>1704</v>
      </c>
      <c r="W708">
        <v>2021</v>
      </c>
      <c r="X708">
        <v>0</v>
      </c>
      <c r="Y708" t="s">
        <v>408</v>
      </c>
      <c r="Z708">
        <v>2021</v>
      </c>
      <c r="AA708">
        <v>0</v>
      </c>
      <c r="AB708" s="5">
        <v>1.5039184318000001</v>
      </c>
      <c r="AC708" s="5">
        <v>3.0078368636000001</v>
      </c>
      <c r="AD708" t="s">
        <v>408</v>
      </c>
      <c r="AE708" t="s">
        <v>408</v>
      </c>
      <c r="AF708" t="s">
        <v>408</v>
      </c>
      <c r="AG708" t="s">
        <v>408</v>
      </c>
      <c r="AH708" t="s">
        <v>408</v>
      </c>
      <c r="AI708" t="s">
        <v>408</v>
      </c>
      <c r="AJ708" t="s">
        <v>408</v>
      </c>
      <c r="AK708" t="s">
        <v>408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 s="58">
        <f t="shared" si="10"/>
        <v>1</v>
      </c>
      <c r="AU708" s="79" t="s">
        <v>499</v>
      </c>
      <c r="AV708" s="78" t="s">
        <v>410</v>
      </c>
      <c r="AW708" t="s">
        <v>400</v>
      </c>
      <c r="AX708">
        <v>2</v>
      </c>
      <c r="AY708" t="s">
        <v>412</v>
      </c>
      <c r="AZ708" t="s">
        <v>408</v>
      </c>
    </row>
    <row r="709" spans="1:52" x14ac:dyDescent="0.3">
      <c r="A709">
        <v>698</v>
      </c>
      <c r="B709" t="s">
        <v>587</v>
      </c>
      <c r="C709" t="s">
        <v>155</v>
      </c>
      <c r="D709" t="s">
        <v>588</v>
      </c>
      <c r="E709" t="s">
        <v>417</v>
      </c>
      <c r="F709" t="s">
        <v>408</v>
      </c>
      <c r="G709">
        <v>11500</v>
      </c>
      <c r="H709">
        <v>11501</v>
      </c>
      <c r="I709" t="s">
        <v>1703</v>
      </c>
      <c r="J709">
        <v>11900</v>
      </c>
      <c r="K709">
        <v>11901</v>
      </c>
      <c r="L709" t="s">
        <v>1705</v>
      </c>
      <c r="M709">
        <v>2</v>
      </c>
      <c r="N709" t="s">
        <v>170</v>
      </c>
      <c r="O709" t="s">
        <v>170</v>
      </c>
      <c r="P709" t="s">
        <v>420</v>
      </c>
      <c r="Q709" t="s">
        <v>408</v>
      </c>
      <c r="R709" t="s">
        <v>756</v>
      </c>
      <c r="S709">
        <v>2019</v>
      </c>
      <c r="T709">
        <v>11</v>
      </c>
      <c r="U709" t="s">
        <v>408</v>
      </c>
      <c r="V709" t="s">
        <v>1704</v>
      </c>
      <c r="W709">
        <v>0</v>
      </c>
      <c r="X709">
        <v>0</v>
      </c>
      <c r="Y709" t="s">
        <v>408</v>
      </c>
      <c r="Z709">
        <v>2019</v>
      </c>
      <c r="AA709">
        <v>0</v>
      </c>
      <c r="AB709" s="5">
        <v>0.503659960347</v>
      </c>
      <c r="AC709" s="5">
        <v>1.0073199206900001</v>
      </c>
      <c r="AD709" t="s">
        <v>408</v>
      </c>
      <c r="AE709" t="s">
        <v>152</v>
      </c>
      <c r="AF709" t="s">
        <v>408</v>
      </c>
      <c r="AG709" t="s">
        <v>408</v>
      </c>
      <c r="AH709" t="s">
        <v>408</v>
      </c>
      <c r="AI709" t="s">
        <v>408</v>
      </c>
      <c r="AJ709" t="s">
        <v>408</v>
      </c>
      <c r="AK709" t="s">
        <v>408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 s="58">
        <f t="shared" si="10"/>
        <v>1</v>
      </c>
      <c r="AU709" s="79" t="s">
        <v>488</v>
      </c>
      <c r="AV709" s="78" t="s">
        <v>410</v>
      </c>
      <c r="AW709" t="s">
        <v>408</v>
      </c>
      <c r="AX709">
        <v>2</v>
      </c>
      <c r="AY709" t="s">
        <v>412</v>
      </c>
      <c r="AZ709" t="s">
        <v>408</v>
      </c>
    </row>
    <row r="710" spans="1:52" x14ac:dyDescent="0.3">
      <c r="A710">
        <v>699</v>
      </c>
      <c r="B710" t="s">
        <v>981</v>
      </c>
      <c r="C710" t="s">
        <v>155</v>
      </c>
      <c r="D710" t="s">
        <v>982</v>
      </c>
      <c r="E710" t="s">
        <v>460</v>
      </c>
      <c r="F710" t="s">
        <v>155</v>
      </c>
      <c r="G710">
        <v>1900</v>
      </c>
      <c r="H710">
        <v>1901</v>
      </c>
      <c r="I710" t="s">
        <v>651</v>
      </c>
      <c r="J710">
        <v>2100</v>
      </c>
      <c r="K710">
        <v>2101</v>
      </c>
      <c r="L710" t="s">
        <v>678</v>
      </c>
      <c r="M710">
        <v>4</v>
      </c>
      <c r="N710" t="s">
        <v>165</v>
      </c>
      <c r="O710" t="s">
        <v>165</v>
      </c>
      <c r="P710" t="s">
        <v>420</v>
      </c>
      <c r="Q710" t="s">
        <v>408</v>
      </c>
      <c r="R710" t="s">
        <v>624</v>
      </c>
      <c r="S710">
        <v>2019</v>
      </c>
      <c r="T710">
        <v>11</v>
      </c>
      <c r="U710" t="s">
        <v>408</v>
      </c>
      <c r="V710" t="s">
        <v>408</v>
      </c>
      <c r="W710">
        <v>0</v>
      </c>
      <c r="X710">
        <v>0</v>
      </c>
      <c r="Y710" t="s">
        <v>408</v>
      </c>
      <c r="Z710">
        <v>2019</v>
      </c>
      <c r="AA710">
        <v>2019</v>
      </c>
      <c r="AB710" s="5">
        <v>0.14903178668399999</v>
      </c>
      <c r="AC710" s="5">
        <v>0.14903178668399999</v>
      </c>
      <c r="AD710" t="s">
        <v>408</v>
      </c>
      <c r="AE710" t="s">
        <v>411</v>
      </c>
      <c r="AF710" t="s">
        <v>155</v>
      </c>
      <c r="AG710" t="s">
        <v>152</v>
      </c>
      <c r="AH710" t="s">
        <v>408</v>
      </c>
      <c r="AI710" t="s">
        <v>408</v>
      </c>
      <c r="AJ710" t="s">
        <v>408</v>
      </c>
      <c r="AK710" t="s">
        <v>408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</v>
      </c>
      <c r="AT710" s="58">
        <f t="shared" si="10"/>
        <v>1</v>
      </c>
      <c r="AU710" s="79" t="s">
        <v>823</v>
      </c>
      <c r="AV710" s="78" t="s">
        <v>410</v>
      </c>
      <c r="AW710" t="s">
        <v>408</v>
      </c>
      <c r="AX710">
        <v>2</v>
      </c>
      <c r="AY710" t="s">
        <v>412</v>
      </c>
      <c r="AZ710" t="s">
        <v>408</v>
      </c>
    </row>
    <row r="711" spans="1:52" x14ac:dyDescent="0.3">
      <c r="A711">
        <v>700</v>
      </c>
      <c r="B711" t="s">
        <v>1706</v>
      </c>
      <c r="C711" t="s">
        <v>154</v>
      </c>
      <c r="D711" t="s">
        <v>244</v>
      </c>
      <c r="E711" t="s">
        <v>460</v>
      </c>
      <c r="F711" t="s">
        <v>408</v>
      </c>
      <c r="G711">
        <v>3553</v>
      </c>
      <c r="H711">
        <v>3554</v>
      </c>
      <c r="I711" t="s">
        <v>1052</v>
      </c>
      <c r="J711">
        <v>2001</v>
      </c>
      <c r="K711">
        <v>2000</v>
      </c>
      <c r="L711" t="s">
        <v>435</v>
      </c>
      <c r="M711">
        <v>0</v>
      </c>
      <c r="N711" t="s">
        <v>165</v>
      </c>
      <c r="O711" t="s">
        <v>165</v>
      </c>
      <c r="P711" t="s">
        <v>420</v>
      </c>
      <c r="Q711" t="s">
        <v>408</v>
      </c>
      <c r="R711" t="s">
        <v>695</v>
      </c>
      <c r="S711">
        <v>2020</v>
      </c>
      <c r="T711">
        <v>7</v>
      </c>
      <c r="U711" t="s">
        <v>408</v>
      </c>
      <c r="V711" t="s">
        <v>408</v>
      </c>
      <c r="W711">
        <v>0</v>
      </c>
      <c r="X711">
        <v>0</v>
      </c>
      <c r="Y711" t="s">
        <v>408</v>
      </c>
      <c r="Z711">
        <v>2020</v>
      </c>
      <c r="AA711">
        <v>2020</v>
      </c>
      <c r="AB711" s="5">
        <v>2.0167854469200002</v>
      </c>
      <c r="AC711" s="5">
        <v>4.0335708938400003</v>
      </c>
      <c r="AD711" t="s">
        <v>408</v>
      </c>
      <c r="AE711" t="s">
        <v>152</v>
      </c>
      <c r="AF711" t="s">
        <v>408</v>
      </c>
      <c r="AG711" t="s">
        <v>408</v>
      </c>
      <c r="AH711" t="s">
        <v>408</v>
      </c>
      <c r="AI711" t="s">
        <v>408</v>
      </c>
      <c r="AJ711" t="s">
        <v>408</v>
      </c>
      <c r="AK711" t="s">
        <v>408</v>
      </c>
      <c r="AL711">
        <v>0</v>
      </c>
      <c r="AM711">
        <v>0</v>
      </c>
      <c r="AN711">
        <v>0</v>
      </c>
      <c r="AO711">
        <v>0.25</v>
      </c>
      <c r="AP711">
        <v>0</v>
      </c>
      <c r="AQ711">
        <v>0</v>
      </c>
      <c r="AR711">
        <v>0</v>
      </c>
      <c r="AS711">
        <v>0.75</v>
      </c>
      <c r="AT711" s="58">
        <f t="shared" si="10"/>
        <v>1</v>
      </c>
      <c r="AU711" s="79" t="s">
        <v>602</v>
      </c>
      <c r="AV711" t="s">
        <v>410</v>
      </c>
      <c r="AW711" t="s">
        <v>152</v>
      </c>
      <c r="AX711">
        <v>2</v>
      </c>
      <c r="AY711" t="s">
        <v>412</v>
      </c>
      <c r="AZ711" t="s">
        <v>408</v>
      </c>
    </row>
    <row r="712" spans="1:52" x14ac:dyDescent="0.3">
      <c r="A712">
        <v>701</v>
      </c>
      <c r="B712" t="s">
        <v>1183</v>
      </c>
      <c r="C712" t="s">
        <v>154</v>
      </c>
      <c r="D712" t="s">
        <v>1184</v>
      </c>
      <c r="E712" t="s">
        <v>417</v>
      </c>
      <c r="F712" t="s">
        <v>408</v>
      </c>
      <c r="G712">
        <v>1601</v>
      </c>
      <c r="H712">
        <v>1600</v>
      </c>
      <c r="I712" t="s">
        <v>813</v>
      </c>
      <c r="J712">
        <v>1401</v>
      </c>
      <c r="K712">
        <v>1400</v>
      </c>
      <c r="L712" t="s">
        <v>419</v>
      </c>
      <c r="M712">
        <v>0</v>
      </c>
      <c r="N712" t="s">
        <v>163</v>
      </c>
      <c r="O712" t="s">
        <v>163</v>
      </c>
      <c r="P712" t="s">
        <v>420</v>
      </c>
      <c r="Q712" t="s">
        <v>408</v>
      </c>
      <c r="R712" t="s">
        <v>1707</v>
      </c>
      <c r="S712">
        <v>2020</v>
      </c>
      <c r="T712">
        <v>0</v>
      </c>
      <c r="U712" t="s">
        <v>1708</v>
      </c>
      <c r="V712" t="s">
        <v>408</v>
      </c>
      <c r="W712">
        <v>0</v>
      </c>
      <c r="X712">
        <v>0</v>
      </c>
      <c r="Y712" t="s">
        <v>408</v>
      </c>
      <c r="Z712">
        <v>2020</v>
      </c>
      <c r="AA712">
        <v>2020</v>
      </c>
      <c r="AB712" s="5">
        <v>0.24827281358799999</v>
      </c>
      <c r="AC712" s="5">
        <v>0.49654562717599998</v>
      </c>
      <c r="AD712" t="s">
        <v>408</v>
      </c>
      <c r="AE712" t="s">
        <v>152</v>
      </c>
      <c r="AF712" t="s">
        <v>408</v>
      </c>
      <c r="AG712" t="s">
        <v>408</v>
      </c>
      <c r="AH712" t="s">
        <v>408</v>
      </c>
      <c r="AI712" t="s">
        <v>470</v>
      </c>
      <c r="AJ712" t="s">
        <v>152</v>
      </c>
      <c r="AK712" t="s">
        <v>408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 s="58">
        <f t="shared" si="10"/>
        <v>1</v>
      </c>
      <c r="AU712" s="79" t="s">
        <v>602</v>
      </c>
      <c r="AV712" s="78" t="s">
        <v>410</v>
      </c>
      <c r="AW712" t="s">
        <v>411</v>
      </c>
      <c r="AX712">
        <v>1</v>
      </c>
      <c r="AY712" t="s">
        <v>412</v>
      </c>
      <c r="AZ712" t="s">
        <v>408</v>
      </c>
    </row>
    <row r="713" spans="1:52" x14ac:dyDescent="0.3">
      <c r="A713">
        <v>702</v>
      </c>
      <c r="B713" t="s">
        <v>587</v>
      </c>
      <c r="C713" t="s">
        <v>155</v>
      </c>
      <c r="D713" t="s">
        <v>588</v>
      </c>
      <c r="E713" t="s">
        <v>417</v>
      </c>
      <c r="F713" t="s">
        <v>408</v>
      </c>
      <c r="G713">
        <v>6900</v>
      </c>
      <c r="H713">
        <v>6901</v>
      </c>
      <c r="I713" t="s">
        <v>1709</v>
      </c>
      <c r="J713">
        <v>6700</v>
      </c>
      <c r="K713">
        <v>6701</v>
      </c>
      <c r="L713" t="s">
        <v>1710</v>
      </c>
      <c r="M713">
        <v>0</v>
      </c>
      <c r="N713" t="s">
        <v>165</v>
      </c>
      <c r="O713" t="s">
        <v>165</v>
      </c>
      <c r="P713" t="s">
        <v>420</v>
      </c>
      <c r="Q713" t="s">
        <v>408</v>
      </c>
      <c r="R713" t="s">
        <v>408</v>
      </c>
      <c r="S713">
        <v>2019</v>
      </c>
      <c r="T713">
        <v>0</v>
      </c>
      <c r="U713" t="s">
        <v>1018</v>
      </c>
      <c r="V713" t="s">
        <v>408</v>
      </c>
      <c r="W713">
        <v>0</v>
      </c>
      <c r="X713">
        <v>0</v>
      </c>
      <c r="Y713" t="s">
        <v>408</v>
      </c>
      <c r="Z713">
        <v>2019</v>
      </c>
      <c r="AA713">
        <v>0</v>
      </c>
      <c r="AB713" s="5">
        <v>0.24516713726600001</v>
      </c>
      <c r="AC713" s="5">
        <v>0.49033427453200001</v>
      </c>
      <c r="AD713" t="s">
        <v>400</v>
      </c>
      <c r="AE713" t="s">
        <v>152</v>
      </c>
      <c r="AF713" t="s">
        <v>400</v>
      </c>
      <c r="AG713" t="s">
        <v>400</v>
      </c>
      <c r="AH713" t="s">
        <v>408</v>
      </c>
      <c r="AI713" t="s">
        <v>400</v>
      </c>
      <c r="AJ713" t="s">
        <v>408</v>
      </c>
      <c r="AK713" t="s">
        <v>408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0</v>
      </c>
      <c r="AT713" s="58">
        <f t="shared" si="10"/>
        <v>1</v>
      </c>
      <c r="AU713" s="79" t="s">
        <v>602</v>
      </c>
      <c r="AV713" t="s">
        <v>410</v>
      </c>
      <c r="AW713" t="s">
        <v>411</v>
      </c>
      <c r="AX713">
        <v>2</v>
      </c>
      <c r="AY713" t="s">
        <v>412</v>
      </c>
      <c r="AZ713" t="s">
        <v>408</v>
      </c>
    </row>
    <row r="714" spans="1:52" x14ac:dyDescent="0.3">
      <c r="A714">
        <v>703</v>
      </c>
      <c r="B714" t="s">
        <v>1369</v>
      </c>
      <c r="C714" t="s">
        <v>154</v>
      </c>
      <c r="D714" t="s">
        <v>1711</v>
      </c>
      <c r="E714" t="s">
        <v>417</v>
      </c>
      <c r="F714" t="s">
        <v>408</v>
      </c>
      <c r="G714">
        <v>51</v>
      </c>
      <c r="H714">
        <v>50</v>
      </c>
      <c r="I714" t="s">
        <v>1514</v>
      </c>
      <c r="J714">
        <v>1</v>
      </c>
      <c r="K714">
        <v>2</v>
      </c>
      <c r="L714" t="s">
        <v>877</v>
      </c>
      <c r="M714">
        <v>0</v>
      </c>
      <c r="N714" t="s">
        <v>165</v>
      </c>
      <c r="O714" t="s">
        <v>165</v>
      </c>
      <c r="P714" t="s">
        <v>420</v>
      </c>
      <c r="Q714" t="s">
        <v>408</v>
      </c>
      <c r="R714" t="s">
        <v>408</v>
      </c>
      <c r="S714">
        <v>2019</v>
      </c>
      <c r="T714">
        <v>0</v>
      </c>
      <c r="U714" t="s">
        <v>408</v>
      </c>
      <c r="V714" t="s">
        <v>408</v>
      </c>
      <c r="W714">
        <v>0</v>
      </c>
      <c r="X714">
        <v>0</v>
      </c>
      <c r="Y714" t="s">
        <v>408</v>
      </c>
      <c r="Z714">
        <v>2019</v>
      </c>
      <c r="AA714">
        <v>0</v>
      </c>
      <c r="AB714" s="5">
        <v>8.8901296360099996E-2</v>
      </c>
      <c r="AC714" s="5">
        <v>0.17780259272000001</v>
      </c>
      <c r="AD714" t="s">
        <v>408</v>
      </c>
      <c r="AE714" t="s">
        <v>152</v>
      </c>
      <c r="AF714" t="s">
        <v>408</v>
      </c>
      <c r="AG714" t="s">
        <v>408</v>
      </c>
      <c r="AH714" t="s">
        <v>408</v>
      </c>
      <c r="AI714" t="s">
        <v>408</v>
      </c>
      <c r="AJ714" t="s">
        <v>408</v>
      </c>
      <c r="AK714" t="s">
        <v>408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 s="58">
        <f t="shared" si="10"/>
        <v>1</v>
      </c>
      <c r="AU714" s="79" t="s">
        <v>1712</v>
      </c>
      <c r="AV714" s="78" t="s">
        <v>410</v>
      </c>
      <c r="AW714" t="s">
        <v>152</v>
      </c>
      <c r="AX714">
        <v>2</v>
      </c>
      <c r="AY714" t="s">
        <v>412</v>
      </c>
      <c r="AZ714" t="s">
        <v>408</v>
      </c>
    </row>
    <row r="715" spans="1:52" x14ac:dyDescent="0.3">
      <c r="A715">
        <v>704</v>
      </c>
      <c r="B715" t="s">
        <v>1713</v>
      </c>
      <c r="C715" t="s">
        <v>447</v>
      </c>
      <c r="D715" t="s">
        <v>1714</v>
      </c>
      <c r="E715" t="s">
        <v>417</v>
      </c>
      <c r="F715" t="s">
        <v>408</v>
      </c>
      <c r="G715">
        <v>1</v>
      </c>
      <c r="H715">
        <v>2</v>
      </c>
      <c r="I715" t="s">
        <v>877</v>
      </c>
      <c r="J715">
        <v>401</v>
      </c>
      <c r="K715">
        <v>400</v>
      </c>
      <c r="L715" t="s">
        <v>1715</v>
      </c>
      <c r="M715">
        <v>0</v>
      </c>
      <c r="N715" t="s">
        <v>167</v>
      </c>
      <c r="O715" t="s">
        <v>167</v>
      </c>
      <c r="P715" t="s">
        <v>420</v>
      </c>
      <c r="Q715" t="s">
        <v>408</v>
      </c>
      <c r="R715" t="s">
        <v>794</v>
      </c>
      <c r="S715">
        <v>2020</v>
      </c>
      <c r="T715">
        <v>8</v>
      </c>
      <c r="U715" t="s">
        <v>408</v>
      </c>
      <c r="V715" t="s">
        <v>408</v>
      </c>
      <c r="W715">
        <v>0</v>
      </c>
      <c r="X715">
        <v>0</v>
      </c>
      <c r="Y715" t="s">
        <v>408</v>
      </c>
      <c r="Z715">
        <v>2020</v>
      </c>
      <c r="AA715">
        <v>2020</v>
      </c>
      <c r="AB715" s="5">
        <v>0.49839107923300002</v>
      </c>
      <c r="AC715" s="5">
        <v>0.99678215846600005</v>
      </c>
      <c r="AD715" t="s">
        <v>408</v>
      </c>
      <c r="AE715" t="s">
        <v>152</v>
      </c>
      <c r="AF715" t="s">
        <v>408</v>
      </c>
      <c r="AG715" t="s">
        <v>408</v>
      </c>
      <c r="AH715" t="s">
        <v>408</v>
      </c>
      <c r="AI715" t="s">
        <v>408</v>
      </c>
      <c r="AJ715" t="s">
        <v>408</v>
      </c>
      <c r="AK715" t="s">
        <v>408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0</v>
      </c>
      <c r="AS715">
        <v>0</v>
      </c>
      <c r="AT715" s="58">
        <f t="shared" ref="AT715:AT778" si="11">SUM(AM715:AS715)</f>
        <v>1</v>
      </c>
      <c r="AU715" s="79" t="s">
        <v>1712</v>
      </c>
      <c r="AV715" t="s">
        <v>410</v>
      </c>
      <c r="AW715" t="s">
        <v>408</v>
      </c>
      <c r="AX715">
        <v>3</v>
      </c>
      <c r="AY715" t="s">
        <v>412</v>
      </c>
      <c r="AZ715" t="s">
        <v>408</v>
      </c>
    </row>
    <row r="716" spans="1:52" x14ac:dyDescent="0.3">
      <c r="A716">
        <v>705</v>
      </c>
      <c r="B716" t="s">
        <v>1716</v>
      </c>
      <c r="C716" t="s">
        <v>155</v>
      </c>
      <c r="D716" t="s">
        <v>1717</v>
      </c>
      <c r="E716" t="s">
        <v>460</v>
      </c>
      <c r="F716" t="s">
        <v>408</v>
      </c>
      <c r="G716">
        <v>8301</v>
      </c>
      <c r="H716">
        <v>8033</v>
      </c>
      <c r="I716" t="s">
        <v>1023</v>
      </c>
      <c r="J716">
        <v>9401</v>
      </c>
      <c r="K716">
        <v>9400</v>
      </c>
      <c r="L716" t="s">
        <v>1718</v>
      </c>
      <c r="M716">
        <v>0</v>
      </c>
      <c r="N716" t="s">
        <v>170</v>
      </c>
      <c r="O716" t="s">
        <v>170</v>
      </c>
      <c r="P716" t="s">
        <v>420</v>
      </c>
      <c r="Q716" t="s">
        <v>408</v>
      </c>
      <c r="R716" t="s">
        <v>1719</v>
      </c>
      <c r="S716">
        <v>2020</v>
      </c>
      <c r="T716">
        <v>6</v>
      </c>
      <c r="U716" t="s">
        <v>408</v>
      </c>
      <c r="V716" t="s">
        <v>408</v>
      </c>
      <c r="W716">
        <v>0</v>
      </c>
      <c r="X716">
        <v>0</v>
      </c>
      <c r="Y716" t="s">
        <v>408</v>
      </c>
      <c r="Z716">
        <v>2020</v>
      </c>
      <c r="AA716">
        <v>0</v>
      </c>
      <c r="AB716" s="5">
        <v>1.3870839693000001</v>
      </c>
      <c r="AC716" s="5">
        <v>2.7741679386000002</v>
      </c>
      <c r="AD716" t="s">
        <v>408</v>
      </c>
      <c r="AE716" t="s">
        <v>408</v>
      </c>
      <c r="AF716" t="s">
        <v>408</v>
      </c>
      <c r="AG716" t="s">
        <v>408</v>
      </c>
      <c r="AH716" t="s">
        <v>408</v>
      </c>
      <c r="AI716" t="s">
        <v>408</v>
      </c>
      <c r="AJ716" t="s">
        <v>408</v>
      </c>
      <c r="AK716" t="s">
        <v>408</v>
      </c>
      <c r="AL716">
        <v>0</v>
      </c>
      <c r="AM716">
        <v>0</v>
      </c>
      <c r="AN716">
        <v>0</v>
      </c>
      <c r="AO716">
        <v>0</v>
      </c>
      <c r="AP716">
        <v>0.75</v>
      </c>
      <c r="AQ716">
        <v>0</v>
      </c>
      <c r="AR716">
        <v>0.25</v>
      </c>
      <c r="AS716">
        <v>0</v>
      </c>
      <c r="AT716" s="58">
        <f t="shared" si="11"/>
        <v>1</v>
      </c>
      <c r="AU716" s="79" t="s">
        <v>1712</v>
      </c>
      <c r="AV716" s="78" t="s">
        <v>410</v>
      </c>
      <c r="AW716" t="s">
        <v>408</v>
      </c>
      <c r="AX716">
        <v>3</v>
      </c>
      <c r="AY716" t="s">
        <v>17</v>
      </c>
      <c r="AZ716" t="s">
        <v>400</v>
      </c>
    </row>
    <row r="717" spans="1:52" x14ac:dyDescent="0.3">
      <c r="A717">
        <v>706</v>
      </c>
      <c r="B717" t="s">
        <v>1599</v>
      </c>
      <c r="C717" t="s">
        <v>155</v>
      </c>
      <c r="D717" t="s">
        <v>1600</v>
      </c>
      <c r="E717" t="s">
        <v>460</v>
      </c>
      <c r="F717" t="s">
        <v>408</v>
      </c>
      <c r="G717">
        <v>9501</v>
      </c>
      <c r="H717">
        <v>9500</v>
      </c>
      <c r="I717" t="s">
        <v>696</v>
      </c>
      <c r="J717">
        <v>10001</v>
      </c>
      <c r="K717">
        <v>10000</v>
      </c>
      <c r="L717" t="s">
        <v>1526</v>
      </c>
      <c r="M717">
        <v>0</v>
      </c>
      <c r="N717" t="s">
        <v>165</v>
      </c>
      <c r="O717" t="s">
        <v>165</v>
      </c>
      <c r="P717" t="s">
        <v>420</v>
      </c>
      <c r="Q717" t="s">
        <v>408</v>
      </c>
      <c r="R717" t="s">
        <v>1719</v>
      </c>
      <c r="S717">
        <v>2020</v>
      </c>
      <c r="T717">
        <v>6</v>
      </c>
      <c r="U717" t="s">
        <v>408</v>
      </c>
      <c r="V717" t="s">
        <v>408</v>
      </c>
      <c r="W717">
        <v>0</v>
      </c>
      <c r="X717">
        <v>0</v>
      </c>
      <c r="Y717" t="s">
        <v>408</v>
      </c>
      <c r="Z717">
        <v>2020</v>
      </c>
      <c r="AA717">
        <v>0</v>
      </c>
      <c r="AB717" s="5">
        <v>0.62880060126699999</v>
      </c>
      <c r="AC717" s="5">
        <v>1.2576012025300001</v>
      </c>
      <c r="AD717" t="s">
        <v>408</v>
      </c>
      <c r="AE717" t="s">
        <v>408</v>
      </c>
      <c r="AF717" t="s">
        <v>408</v>
      </c>
      <c r="AG717" t="s">
        <v>408</v>
      </c>
      <c r="AH717" t="s">
        <v>408</v>
      </c>
      <c r="AI717" t="s">
        <v>408</v>
      </c>
      <c r="AJ717" t="s">
        <v>408</v>
      </c>
      <c r="AK717" t="s">
        <v>408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 s="58">
        <f t="shared" si="11"/>
        <v>1</v>
      </c>
      <c r="AU717" s="79" t="s">
        <v>1712</v>
      </c>
      <c r="AV717" s="78" t="s">
        <v>410</v>
      </c>
      <c r="AW717" t="s">
        <v>152</v>
      </c>
      <c r="AX717">
        <v>2</v>
      </c>
      <c r="AY717" t="s">
        <v>412</v>
      </c>
      <c r="AZ717" t="s">
        <v>408</v>
      </c>
    </row>
    <row r="718" spans="1:52" x14ac:dyDescent="0.3">
      <c r="A718">
        <v>707</v>
      </c>
      <c r="B718" t="s">
        <v>1720</v>
      </c>
      <c r="C718" t="s">
        <v>154</v>
      </c>
      <c r="D718" t="s">
        <v>1721</v>
      </c>
      <c r="E718" t="s">
        <v>417</v>
      </c>
      <c r="F718" t="s">
        <v>408</v>
      </c>
      <c r="G718">
        <v>701</v>
      </c>
      <c r="H718">
        <v>700</v>
      </c>
      <c r="I718" t="s">
        <v>1722</v>
      </c>
      <c r="J718">
        <v>901</v>
      </c>
      <c r="K718">
        <v>900</v>
      </c>
      <c r="L718" t="s">
        <v>1357</v>
      </c>
      <c r="M718">
        <v>0</v>
      </c>
      <c r="N718" t="s">
        <v>163</v>
      </c>
      <c r="O718" t="s">
        <v>163</v>
      </c>
      <c r="P718" t="s">
        <v>420</v>
      </c>
      <c r="Q718" t="s">
        <v>408</v>
      </c>
      <c r="R718" t="s">
        <v>1719</v>
      </c>
      <c r="S718">
        <v>2020</v>
      </c>
      <c r="T718">
        <v>0</v>
      </c>
      <c r="U718" t="s">
        <v>408</v>
      </c>
      <c r="V718" t="s">
        <v>408</v>
      </c>
      <c r="W718">
        <v>0</v>
      </c>
      <c r="X718">
        <v>0</v>
      </c>
      <c r="Y718" t="s">
        <v>408</v>
      </c>
      <c r="Z718">
        <v>2020</v>
      </c>
      <c r="AA718">
        <v>0</v>
      </c>
      <c r="AB718" s="5">
        <v>0.29507360978800001</v>
      </c>
      <c r="AC718" s="5">
        <v>0.59014721957600003</v>
      </c>
      <c r="AD718" t="s">
        <v>408</v>
      </c>
      <c r="AE718" t="s">
        <v>408</v>
      </c>
      <c r="AF718" t="s">
        <v>408</v>
      </c>
      <c r="AG718" t="s">
        <v>408</v>
      </c>
      <c r="AH718" t="s">
        <v>408</v>
      </c>
      <c r="AI718" t="s">
        <v>470</v>
      </c>
      <c r="AJ718" t="s">
        <v>400</v>
      </c>
      <c r="AK718" t="s">
        <v>408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 s="58">
        <f t="shared" si="11"/>
        <v>1</v>
      </c>
      <c r="AU718" s="79" t="s">
        <v>471</v>
      </c>
      <c r="AV718" t="s">
        <v>410</v>
      </c>
      <c r="AW718" t="s">
        <v>411</v>
      </c>
      <c r="AX718">
        <v>1</v>
      </c>
      <c r="AY718" t="s">
        <v>412</v>
      </c>
      <c r="AZ718" t="s">
        <v>408</v>
      </c>
    </row>
    <row r="719" spans="1:52" x14ac:dyDescent="0.3">
      <c r="A719">
        <v>708</v>
      </c>
      <c r="B719" t="s">
        <v>1720</v>
      </c>
      <c r="C719" t="s">
        <v>154</v>
      </c>
      <c r="D719" t="s">
        <v>1721</v>
      </c>
      <c r="E719" t="s">
        <v>417</v>
      </c>
      <c r="F719" t="s">
        <v>408</v>
      </c>
      <c r="G719">
        <v>1</v>
      </c>
      <c r="H719">
        <v>2</v>
      </c>
      <c r="I719" t="s">
        <v>877</v>
      </c>
      <c r="J719">
        <v>701</v>
      </c>
      <c r="K719">
        <v>700</v>
      </c>
      <c r="L719" t="s">
        <v>1722</v>
      </c>
      <c r="M719">
        <v>0</v>
      </c>
      <c r="N719" t="s">
        <v>167</v>
      </c>
      <c r="O719" t="s">
        <v>569</v>
      </c>
      <c r="P719" t="s">
        <v>420</v>
      </c>
      <c r="Q719" t="s">
        <v>408</v>
      </c>
      <c r="R719" t="s">
        <v>1719</v>
      </c>
      <c r="S719">
        <v>2020</v>
      </c>
      <c r="T719">
        <v>8</v>
      </c>
      <c r="U719" t="s">
        <v>795</v>
      </c>
      <c r="V719" t="s">
        <v>408</v>
      </c>
      <c r="W719">
        <v>0</v>
      </c>
      <c r="X719">
        <v>0</v>
      </c>
      <c r="Y719" t="s">
        <v>408</v>
      </c>
      <c r="Z719">
        <v>2020</v>
      </c>
      <c r="AA719">
        <v>0</v>
      </c>
      <c r="AB719" s="5">
        <v>0.87060144455400001</v>
      </c>
      <c r="AC719" s="5">
        <v>1.74120288911</v>
      </c>
      <c r="AD719" t="s">
        <v>408</v>
      </c>
      <c r="AE719" t="s">
        <v>408</v>
      </c>
      <c r="AF719" t="s">
        <v>408</v>
      </c>
      <c r="AG719" t="s">
        <v>408</v>
      </c>
      <c r="AH719" t="s">
        <v>408</v>
      </c>
      <c r="AI719" t="s">
        <v>408</v>
      </c>
      <c r="AJ719" t="s">
        <v>408</v>
      </c>
      <c r="AK719" t="s">
        <v>408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 s="58">
        <f t="shared" si="11"/>
        <v>1</v>
      </c>
      <c r="AU719" s="79" t="s">
        <v>1712</v>
      </c>
      <c r="AV719" s="78" t="s">
        <v>410</v>
      </c>
      <c r="AW719" t="s">
        <v>408</v>
      </c>
      <c r="AX719">
        <v>2</v>
      </c>
      <c r="AY719" t="s">
        <v>412</v>
      </c>
      <c r="AZ719" t="s">
        <v>408</v>
      </c>
    </row>
    <row r="720" spans="1:52" x14ac:dyDescent="0.3">
      <c r="A720">
        <v>709</v>
      </c>
      <c r="B720" t="s">
        <v>587</v>
      </c>
      <c r="C720" t="s">
        <v>155</v>
      </c>
      <c r="D720" t="s">
        <v>588</v>
      </c>
      <c r="E720" t="s">
        <v>417</v>
      </c>
      <c r="F720" t="s">
        <v>408</v>
      </c>
      <c r="G720">
        <v>11900</v>
      </c>
      <c r="H720">
        <v>11901</v>
      </c>
      <c r="I720" t="s">
        <v>1705</v>
      </c>
      <c r="J720">
        <v>12401</v>
      </c>
      <c r="K720">
        <v>12400</v>
      </c>
      <c r="L720" t="s">
        <v>1723</v>
      </c>
      <c r="M720">
        <v>0</v>
      </c>
      <c r="N720" t="s">
        <v>167</v>
      </c>
      <c r="O720" t="s">
        <v>569</v>
      </c>
      <c r="P720" t="s">
        <v>420</v>
      </c>
      <c r="Q720" t="s">
        <v>408</v>
      </c>
      <c r="R720" t="s">
        <v>1719</v>
      </c>
      <c r="S720">
        <v>2020</v>
      </c>
      <c r="T720">
        <v>5</v>
      </c>
      <c r="U720" t="s">
        <v>757</v>
      </c>
      <c r="V720" t="s">
        <v>408</v>
      </c>
      <c r="W720">
        <v>0</v>
      </c>
      <c r="X720">
        <v>0</v>
      </c>
      <c r="Y720" t="s">
        <v>408</v>
      </c>
      <c r="Z720">
        <v>2020</v>
      </c>
      <c r="AA720">
        <v>0</v>
      </c>
      <c r="AB720" s="5">
        <v>0.62872271940199997</v>
      </c>
      <c r="AC720" s="5">
        <v>1.2574454388</v>
      </c>
      <c r="AD720" t="s">
        <v>408</v>
      </c>
      <c r="AE720" t="s">
        <v>408</v>
      </c>
      <c r="AF720" t="s">
        <v>408</v>
      </c>
      <c r="AG720" t="s">
        <v>408</v>
      </c>
      <c r="AH720" t="s">
        <v>408</v>
      </c>
      <c r="AI720" t="s">
        <v>408</v>
      </c>
      <c r="AJ720" t="s">
        <v>408</v>
      </c>
      <c r="AK720" t="s">
        <v>408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 s="58">
        <f t="shared" si="11"/>
        <v>1</v>
      </c>
      <c r="AU720" s="79" t="s">
        <v>1712</v>
      </c>
      <c r="AV720" s="78" t="s">
        <v>410</v>
      </c>
      <c r="AW720" t="s">
        <v>408</v>
      </c>
      <c r="AX720">
        <v>2</v>
      </c>
      <c r="AY720" t="s">
        <v>412</v>
      </c>
      <c r="AZ720" t="s">
        <v>408</v>
      </c>
    </row>
    <row r="721" spans="1:52" x14ac:dyDescent="0.3">
      <c r="A721">
        <v>710</v>
      </c>
      <c r="B721" t="s">
        <v>1724</v>
      </c>
      <c r="C721" t="s">
        <v>154</v>
      </c>
      <c r="D721" t="s">
        <v>1725</v>
      </c>
      <c r="E721" t="s">
        <v>417</v>
      </c>
      <c r="F721" t="s">
        <v>408</v>
      </c>
      <c r="G721">
        <v>1</v>
      </c>
      <c r="H721">
        <v>2</v>
      </c>
      <c r="I721" t="s">
        <v>877</v>
      </c>
      <c r="J721">
        <v>801</v>
      </c>
      <c r="K721">
        <v>800</v>
      </c>
      <c r="L721" t="s">
        <v>814</v>
      </c>
      <c r="M721">
        <v>0</v>
      </c>
      <c r="N721" t="s">
        <v>168</v>
      </c>
      <c r="O721" t="s">
        <v>168</v>
      </c>
      <c r="P721" t="s">
        <v>420</v>
      </c>
      <c r="Q721" t="s">
        <v>408</v>
      </c>
      <c r="R721" t="s">
        <v>1719</v>
      </c>
      <c r="S721">
        <v>2020</v>
      </c>
      <c r="T721">
        <v>5</v>
      </c>
      <c r="U721" t="s">
        <v>408</v>
      </c>
      <c r="V721" t="s">
        <v>408</v>
      </c>
      <c r="W721">
        <v>0</v>
      </c>
      <c r="X721">
        <v>0</v>
      </c>
      <c r="Y721" t="s">
        <v>408</v>
      </c>
      <c r="Z721">
        <v>2020</v>
      </c>
      <c r="AA721">
        <v>0</v>
      </c>
      <c r="AB721" s="5">
        <v>0.996313346386</v>
      </c>
      <c r="AC721" s="5">
        <v>1.99262669277</v>
      </c>
      <c r="AD721" t="s">
        <v>408</v>
      </c>
      <c r="AE721" t="s">
        <v>408</v>
      </c>
      <c r="AF721" t="s">
        <v>408</v>
      </c>
      <c r="AG721" t="s">
        <v>408</v>
      </c>
      <c r="AH721" t="s">
        <v>408</v>
      </c>
      <c r="AI721" t="s">
        <v>408</v>
      </c>
      <c r="AJ721" t="s">
        <v>408</v>
      </c>
      <c r="AK721" t="s">
        <v>408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 s="58">
        <f t="shared" si="11"/>
        <v>1</v>
      </c>
      <c r="AU721" s="79" t="s">
        <v>1712</v>
      </c>
      <c r="AV721" t="s">
        <v>410</v>
      </c>
      <c r="AW721" t="s">
        <v>408</v>
      </c>
      <c r="AX721">
        <v>3</v>
      </c>
      <c r="AY721" t="s">
        <v>17</v>
      </c>
      <c r="AZ721" t="s">
        <v>400</v>
      </c>
    </row>
    <row r="722" spans="1:52" x14ac:dyDescent="0.3">
      <c r="A722">
        <v>711</v>
      </c>
      <c r="B722" t="s">
        <v>1726</v>
      </c>
      <c r="C722" t="s">
        <v>155</v>
      </c>
      <c r="D722" t="s">
        <v>1160</v>
      </c>
      <c r="E722" t="s">
        <v>466</v>
      </c>
      <c r="F722" t="s">
        <v>408</v>
      </c>
      <c r="G722">
        <v>7100</v>
      </c>
      <c r="H722">
        <v>7101</v>
      </c>
      <c r="I722" t="s">
        <v>1454</v>
      </c>
      <c r="J722">
        <v>6700</v>
      </c>
      <c r="K722">
        <v>6700</v>
      </c>
      <c r="L722" t="s">
        <v>701</v>
      </c>
      <c r="M722">
        <v>0</v>
      </c>
      <c r="N722" t="s">
        <v>167</v>
      </c>
      <c r="O722" t="s">
        <v>168</v>
      </c>
      <c r="P722" t="s">
        <v>420</v>
      </c>
      <c r="Q722" t="s">
        <v>408</v>
      </c>
      <c r="R722" t="s">
        <v>1719</v>
      </c>
      <c r="S722">
        <v>2020</v>
      </c>
      <c r="T722">
        <v>0</v>
      </c>
      <c r="U722" t="s">
        <v>408</v>
      </c>
      <c r="V722" t="s">
        <v>408</v>
      </c>
      <c r="W722">
        <v>0</v>
      </c>
      <c r="X722">
        <v>0</v>
      </c>
      <c r="Y722" t="s">
        <v>408</v>
      </c>
      <c r="Z722">
        <v>2020</v>
      </c>
      <c r="AA722">
        <v>0</v>
      </c>
      <c r="AB722" s="5">
        <v>0.50254561599900005</v>
      </c>
      <c r="AC722" s="5">
        <v>1.0050912320000001</v>
      </c>
      <c r="AD722" t="s">
        <v>408</v>
      </c>
      <c r="AE722" t="s">
        <v>152</v>
      </c>
      <c r="AF722" t="s">
        <v>408</v>
      </c>
      <c r="AG722" t="s">
        <v>408</v>
      </c>
      <c r="AH722" t="s">
        <v>408</v>
      </c>
      <c r="AI722" t="s">
        <v>408</v>
      </c>
      <c r="AJ722" t="s">
        <v>408</v>
      </c>
      <c r="AK722" t="s">
        <v>408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 s="58">
        <f t="shared" si="11"/>
        <v>1</v>
      </c>
      <c r="AU722" s="79" t="s">
        <v>1712</v>
      </c>
      <c r="AV722" s="78" t="s">
        <v>410</v>
      </c>
      <c r="AW722" t="s">
        <v>408</v>
      </c>
      <c r="AX722">
        <v>3</v>
      </c>
      <c r="AY722" t="s">
        <v>412</v>
      </c>
      <c r="AZ722" t="s">
        <v>400</v>
      </c>
    </row>
    <row r="723" spans="1:52" x14ac:dyDescent="0.3">
      <c r="A723">
        <v>712</v>
      </c>
      <c r="B723" t="s">
        <v>1726</v>
      </c>
      <c r="C723" t="s">
        <v>155</v>
      </c>
      <c r="D723" t="s">
        <v>1160</v>
      </c>
      <c r="E723" t="s">
        <v>466</v>
      </c>
      <c r="F723" t="s">
        <v>408</v>
      </c>
      <c r="G723">
        <v>7600</v>
      </c>
      <c r="H723">
        <v>7601</v>
      </c>
      <c r="I723" t="s">
        <v>600</v>
      </c>
      <c r="J723">
        <v>7100</v>
      </c>
      <c r="K723">
        <v>7100</v>
      </c>
      <c r="L723" t="s">
        <v>1454</v>
      </c>
      <c r="M723">
        <v>0</v>
      </c>
      <c r="N723" t="s">
        <v>163</v>
      </c>
      <c r="O723" t="s">
        <v>163</v>
      </c>
      <c r="P723" t="s">
        <v>420</v>
      </c>
      <c r="Q723" t="s">
        <v>408</v>
      </c>
      <c r="R723" t="s">
        <v>1719</v>
      </c>
      <c r="S723">
        <v>2020</v>
      </c>
      <c r="T723">
        <v>0</v>
      </c>
      <c r="U723" t="s">
        <v>408</v>
      </c>
      <c r="V723" t="s">
        <v>408</v>
      </c>
      <c r="W723">
        <v>0</v>
      </c>
      <c r="X723">
        <v>0</v>
      </c>
      <c r="Y723" t="s">
        <v>408</v>
      </c>
      <c r="Z723">
        <v>2020</v>
      </c>
      <c r="AA723">
        <v>0</v>
      </c>
      <c r="AB723" s="5">
        <v>0.62798265000800002</v>
      </c>
      <c r="AC723" s="5">
        <v>1.25596530002</v>
      </c>
      <c r="AD723" t="s">
        <v>400</v>
      </c>
      <c r="AE723" t="s">
        <v>400</v>
      </c>
      <c r="AF723" t="s">
        <v>400</v>
      </c>
      <c r="AG723" t="s">
        <v>400</v>
      </c>
      <c r="AH723" t="s">
        <v>400</v>
      </c>
      <c r="AI723" t="s">
        <v>470</v>
      </c>
      <c r="AJ723" t="s">
        <v>400</v>
      </c>
      <c r="AK723" t="s">
        <v>408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0.75</v>
      </c>
      <c r="AR723">
        <v>0.25</v>
      </c>
      <c r="AS723">
        <v>0</v>
      </c>
      <c r="AT723" s="58">
        <f t="shared" si="11"/>
        <v>1</v>
      </c>
      <c r="AU723" s="79" t="s">
        <v>602</v>
      </c>
      <c r="AV723" t="s">
        <v>410</v>
      </c>
      <c r="AW723" t="s">
        <v>411</v>
      </c>
      <c r="AX723">
        <v>1</v>
      </c>
      <c r="AY723" t="s">
        <v>412</v>
      </c>
      <c r="AZ723" t="s">
        <v>400</v>
      </c>
    </row>
    <row r="724" spans="1:52" x14ac:dyDescent="0.3">
      <c r="A724">
        <v>713</v>
      </c>
      <c r="B724" t="s">
        <v>1726</v>
      </c>
      <c r="C724" t="s">
        <v>155</v>
      </c>
      <c r="D724" t="s">
        <v>1160</v>
      </c>
      <c r="E724" t="s">
        <v>466</v>
      </c>
      <c r="F724" t="s">
        <v>408</v>
      </c>
      <c r="G724">
        <v>8300</v>
      </c>
      <c r="H724">
        <v>8301</v>
      </c>
      <c r="I724" t="s">
        <v>1329</v>
      </c>
      <c r="J724">
        <v>7600</v>
      </c>
      <c r="K724">
        <v>7601</v>
      </c>
      <c r="L724" t="s">
        <v>600</v>
      </c>
      <c r="M724">
        <v>0</v>
      </c>
      <c r="N724" t="s">
        <v>167</v>
      </c>
      <c r="O724" t="s">
        <v>167</v>
      </c>
      <c r="P724" t="s">
        <v>420</v>
      </c>
      <c r="Q724" t="s">
        <v>408</v>
      </c>
      <c r="R724" t="s">
        <v>1719</v>
      </c>
      <c r="S724">
        <v>2020</v>
      </c>
      <c r="T724">
        <v>0</v>
      </c>
      <c r="U724" t="s">
        <v>757</v>
      </c>
      <c r="V724" t="s">
        <v>408</v>
      </c>
      <c r="W724">
        <v>0</v>
      </c>
      <c r="X724">
        <v>0</v>
      </c>
      <c r="Y724" t="s">
        <v>408</v>
      </c>
      <c r="Z724">
        <v>2020</v>
      </c>
      <c r="AA724">
        <v>0</v>
      </c>
      <c r="AB724" s="5">
        <v>0.87947549116699997</v>
      </c>
      <c r="AC724" s="5">
        <v>1.75895098233</v>
      </c>
      <c r="AD724" t="s">
        <v>408</v>
      </c>
      <c r="AE724" t="s">
        <v>408</v>
      </c>
      <c r="AF724" t="s">
        <v>408</v>
      </c>
      <c r="AG724" t="s">
        <v>408</v>
      </c>
      <c r="AH724" t="s">
        <v>408</v>
      </c>
      <c r="AI724" t="s">
        <v>408</v>
      </c>
      <c r="AJ724" t="s">
        <v>408</v>
      </c>
      <c r="AK724" t="s">
        <v>408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 s="58">
        <f t="shared" si="11"/>
        <v>1</v>
      </c>
      <c r="AU724" s="79" t="s">
        <v>1712</v>
      </c>
      <c r="AV724" s="78" t="s">
        <v>410</v>
      </c>
      <c r="AW724" t="s">
        <v>408</v>
      </c>
      <c r="AX724">
        <v>2</v>
      </c>
      <c r="AY724" t="s">
        <v>412</v>
      </c>
      <c r="AZ724" t="s">
        <v>400</v>
      </c>
    </row>
    <row r="725" spans="1:52" x14ac:dyDescent="0.3">
      <c r="A725">
        <v>714</v>
      </c>
      <c r="B725" t="s">
        <v>397</v>
      </c>
      <c r="C725" t="s">
        <v>447</v>
      </c>
      <c r="D725" t="s">
        <v>398</v>
      </c>
      <c r="E725" t="s">
        <v>399</v>
      </c>
      <c r="F725" t="s">
        <v>408</v>
      </c>
      <c r="G725">
        <v>501</v>
      </c>
      <c r="H725">
        <v>500</v>
      </c>
      <c r="I725" t="s">
        <v>495</v>
      </c>
      <c r="J725">
        <v>431</v>
      </c>
      <c r="K725">
        <v>430</v>
      </c>
      <c r="L725" t="s">
        <v>1727</v>
      </c>
      <c r="M725">
        <v>0</v>
      </c>
      <c r="N725" t="s">
        <v>165</v>
      </c>
      <c r="O725" t="s">
        <v>165</v>
      </c>
      <c r="P725" t="s">
        <v>403</v>
      </c>
      <c r="Q725" t="s">
        <v>408</v>
      </c>
      <c r="R725" t="s">
        <v>1728</v>
      </c>
      <c r="S725">
        <v>2019</v>
      </c>
      <c r="T725">
        <v>6</v>
      </c>
      <c r="U725" t="s">
        <v>408</v>
      </c>
      <c r="V725" t="s">
        <v>408</v>
      </c>
      <c r="W725">
        <v>0</v>
      </c>
      <c r="X725">
        <v>0</v>
      </c>
      <c r="Y725" t="s">
        <v>408</v>
      </c>
      <c r="Z725">
        <v>2020</v>
      </c>
      <c r="AA725">
        <v>2020</v>
      </c>
      <c r="AB725" s="5">
        <v>6.2521848501799995E-2</v>
      </c>
      <c r="AC725" s="5">
        <v>0.125043697004</v>
      </c>
      <c r="AD725" t="s">
        <v>408</v>
      </c>
      <c r="AE725" t="s">
        <v>152</v>
      </c>
      <c r="AF725" t="s">
        <v>408</v>
      </c>
      <c r="AG725" t="s">
        <v>408</v>
      </c>
      <c r="AH725" t="s">
        <v>408</v>
      </c>
      <c r="AI725" t="s">
        <v>408</v>
      </c>
      <c r="AJ725" t="s">
        <v>408</v>
      </c>
      <c r="AK725" t="s">
        <v>408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0</v>
      </c>
      <c r="AT725" s="58">
        <f t="shared" si="11"/>
        <v>1</v>
      </c>
      <c r="AU725" s="79" t="s">
        <v>1712</v>
      </c>
      <c r="AV725" t="s">
        <v>410</v>
      </c>
      <c r="AW725" t="s">
        <v>411</v>
      </c>
      <c r="AX725">
        <v>2</v>
      </c>
      <c r="AY725" t="s">
        <v>412</v>
      </c>
      <c r="AZ725" t="s">
        <v>408</v>
      </c>
    </row>
    <row r="726" spans="1:52" x14ac:dyDescent="0.3">
      <c r="A726">
        <v>715</v>
      </c>
      <c r="B726" t="s">
        <v>397</v>
      </c>
      <c r="C726" t="s">
        <v>447</v>
      </c>
      <c r="D726" t="s">
        <v>398</v>
      </c>
      <c r="E726" t="s">
        <v>399</v>
      </c>
      <c r="F726" t="s">
        <v>408</v>
      </c>
      <c r="G726">
        <v>401</v>
      </c>
      <c r="H726">
        <v>400</v>
      </c>
      <c r="I726" t="s">
        <v>1715</v>
      </c>
      <c r="J726">
        <v>331</v>
      </c>
      <c r="K726">
        <v>330</v>
      </c>
      <c r="L726" t="s">
        <v>1729</v>
      </c>
      <c r="M726">
        <v>0</v>
      </c>
      <c r="N726" t="s">
        <v>167</v>
      </c>
      <c r="O726" t="s">
        <v>167</v>
      </c>
      <c r="P726" t="s">
        <v>403</v>
      </c>
      <c r="Q726" t="s">
        <v>408</v>
      </c>
      <c r="R726" t="s">
        <v>1728</v>
      </c>
      <c r="S726">
        <v>2019</v>
      </c>
      <c r="T726">
        <v>6</v>
      </c>
      <c r="U726" t="s">
        <v>408</v>
      </c>
      <c r="V726" t="s">
        <v>408</v>
      </c>
      <c r="W726">
        <v>0</v>
      </c>
      <c r="X726">
        <v>0</v>
      </c>
      <c r="Y726" t="s">
        <v>408</v>
      </c>
      <c r="Z726">
        <v>2020</v>
      </c>
      <c r="AA726">
        <v>2020</v>
      </c>
      <c r="AB726" s="5">
        <v>0.22829839803300001</v>
      </c>
      <c r="AC726" s="5">
        <v>0.45659679606600001</v>
      </c>
      <c r="AD726" t="s">
        <v>408</v>
      </c>
      <c r="AE726" t="s">
        <v>152</v>
      </c>
      <c r="AF726" t="s">
        <v>408</v>
      </c>
      <c r="AG726" t="s">
        <v>408</v>
      </c>
      <c r="AH726" t="s">
        <v>408</v>
      </c>
      <c r="AI726" t="s">
        <v>408</v>
      </c>
      <c r="AJ726" t="s">
        <v>408</v>
      </c>
      <c r="AK726" t="s">
        <v>408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 s="58">
        <f t="shared" si="11"/>
        <v>1</v>
      </c>
      <c r="AU726" s="79" t="s">
        <v>1712</v>
      </c>
      <c r="AV726" t="s">
        <v>410</v>
      </c>
      <c r="AW726" t="s">
        <v>408</v>
      </c>
      <c r="AX726">
        <v>2</v>
      </c>
      <c r="AY726" t="s">
        <v>412</v>
      </c>
      <c r="AZ726" t="s">
        <v>408</v>
      </c>
    </row>
    <row r="727" spans="1:52" x14ac:dyDescent="0.3">
      <c r="A727">
        <v>716</v>
      </c>
      <c r="B727" t="s">
        <v>397</v>
      </c>
      <c r="C727" t="s">
        <v>447</v>
      </c>
      <c r="D727" t="s">
        <v>398</v>
      </c>
      <c r="E727" t="s">
        <v>399</v>
      </c>
      <c r="F727" t="s">
        <v>408</v>
      </c>
      <c r="G727">
        <v>331</v>
      </c>
      <c r="H727">
        <v>330</v>
      </c>
      <c r="I727" t="s">
        <v>1729</v>
      </c>
      <c r="J727">
        <v>101</v>
      </c>
      <c r="K727">
        <v>100</v>
      </c>
      <c r="L727" t="s">
        <v>1730</v>
      </c>
      <c r="M727">
        <v>0</v>
      </c>
      <c r="N727" t="s">
        <v>165</v>
      </c>
      <c r="O727" t="s">
        <v>165</v>
      </c>
      <c r="P727" t="s">
        <v>403</v>
      </c>
      <c r="Q727" t="s">
        <v>408</v>
      </c>
      <c r="R727" t="s">
        <v>1728</v>
      </c>
      <c r="S727">
        <v>2019</v>
      </c>
      <c r="T727">
        <v>6</v>
      </c>
      <c r="U727" t="s">
        <v>408</v>
      </c>
      <c r="V727" t="s">
        <v>408</v>
      </c>
      <c r="W727">
        <v>0</v>
      </c>
      <c r="X727">
        <v>0</v>
      </c>
      <c r="Y727" t="s">
        <v>408</v>
      </c>
      <c r="Z727">
        <v>2020</v>
      </c>
      <c r="AA727">
        <v>2020</v>
      </c>
      <c r="AB727" s="5">
        <v>0.14566037899699999</v>
      </c>
      <c r="AC727" s="5">
        <v>0.29132075799399998</v>
      </c>
      <c r="AD727" t="s">
        <v>408</v>
      </c>
      <c r="AE727" t="s">
        <v>152</v>
      </c>
      <c r="AF727" t="s">
        <v>408</v>
      </c>
      <c r="AG727" t="s">
        <v>408</v>
      </c>
      <c r="AH727" t="s">
        <v>408</v>
      </c>
      <c r="AI727" t="s">
        <v>408</v>
      </c>
      <c r="AJ727" t="s">
        <v>408</v>
      </c>
      <c r="AK727" t="s">
        <v>408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 s="58">
        <f t="shared" si="11"/>
        <v>1</v>
      </c>
      <c r="AU727" s="79" t="s">
        <v>1712</v>
      </c>
      <c r="AV727" t="s">
        <v>410</v>
      </c>
      <c r="AW727" t="s">
        <v>411</v>
      </c>
      <c r="AX727">
        <v>2</v>
      </c>
      <c r="AY727" t="s">
        <v>412</v>
      </c>
      <c r="AZ727" t="s">
        <v>408</v>
      </c>
    </row>
    <row r="728" spans="1:52" x14ac:dyDescent="0.3">
      <c r="A728">
        <v>717</v>
      </c>
      <c r="B728" t="s">
        <v>397</v>
      </c>
      <c r="C728" t="s">
        <v>447</v>
      </c>
      <c r="D728" t="s">
        <v>398</v>
      </c>
      <c r="E728" t="s">
        <v>399</v>
      </c>
      <c r="F728" t="s">
        <v>408</v>
      </c>
      <c r="G728">
        <v>101</v>
      </c>
      <c r="H728">
        <v>100</v>
      </c>
      <c r="I728" t="s">
        <v>1730</v>
      </c>
      <c r="J728">
        <v>33</v>
      </c>
      <c r="K728">
        <v>34</v>
      </c>
      <c r="L728" t="s">
        <v>878</v>
      </c>
      <c r="M728">
        <v>0</v>
      </c>
      <c r="N728" t="s">
        <v>167</v>
      </c>
      <c r="O728" t="s">
        <v>167</v>
      </c>
      <c r="P728" t="s">
        <v>414</v>
      </c>
      <c r="Q728" t="s">
        <v>408</v>
      </c>
      <c r="R728" t="s">
        <v>1728</v>
      </c>
      <c r="S728">
        <v>2019</v>
      </c>
      <c r="T728">
        <v>6</v>
      </c>
      <c r="U728" t="s">
        <v>408</v>
      </c>
      <c r="V728" t="s">
        <v>408</v>
      </c>
      <c r="W728">
        <v>0</v>
      </c>
      <c r="X728">
        <v>0</v>
      </c>
      <c r="Y728" t="s">
        <v>408</v>
      </c>
      <c r="Z728">
        <v>2020</v>
      </c>
      <c r="AA728">
        <v>2020</v>
      </c>
      <c r="AB728" s="5">
        <v>0.125877845692</v>
      </c>
      <c r="AC728" s="5">
        <v>0.251755691384</v>
      </c>
      <c r="AD728" t="s">
        <v>408</v>
      </c>
      <c r="AE728" t="s">
        <v>152</v>
      </c>
      <c r="AF728" t="s">
        <v>408</v>
      </c>
      <c r="AG728" t="s">
        <v>408</v>
      </c>
      <c r="AH728" t="s">
        <v>408</v>
      </c>
      <c r="AI728" t="s">
        <v>408</v>
      </c>
      <c r="AJ728" t="s">
        <v>408</v>
      </c>
      <c r="AK728" t="s">
        <v>408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 s="58">
        <f t="shared" si="11"/>
        <v>1</v>
      </c>
      <c r="AU728" s="79" t="s">
        <v>1712</v>
      </c>
      <c r="AV728" t="s">
        <v>410</v>
      </c>
      <c r="AW728" t="s">
        <v>408</v>
      </c>
      <c r="AX728">
        <v>2</v>
      </c>
      <c r="AY728" t="s">
        <v>412</v>
      </c>
      <c r="AZ728" t="s">
        <v>408</v>
      </c>
    </row>
    <row r="729" spans="1:52" x14ac:dyDescent="0.3">
      <c r="A729">
        <v>718</v>
      </c>
      <c r="B729" t="s">
        <v>397</v>
      </c>
      <c r="C729" t="s">
        <v>447</v>
      </c>
      <c r="D729" t="s">
        <v>398</v>
      </c>
      <c r="E729" t="s">
        <v>399</v>
      </c>
      <c r="F729" t="s">
        <v>408</v>
      </c>
      <c r="G729">
        <v>1</v>
      </c>
      <c r="H729">
        <v>2</v>
      </c>
      <c r="I729" t="s">
        <v>877</v>
      </c>
      <c r="J729">
        <v>33</v>
      </c>
      <c r="K729">
        <v>34</v>
      </c>
      <c r="L729" t="s">
        <v>878</v>
      </c>
      <c r="M729">
        <v>0</v>
      </c>
      <c r="N729" t="s">
        <v>165</v>
      </c>
      <c r="O729" t="s">
        <v>165</v>
      </c>
      <c r="P729" t="s">
        <v>403</v>
      </c>
      <c r="Q729" t="s">
        <v>408</v>
      </c>
      <c r="R729" t="s">
        <v>1728</v>
      </c>
      <c r="S729">
        <v>2019</v>
      </c>
      <c r="T729">
        <v>0</v>
      </c>
      <c r="U729" t="s">
        <v>408</v>
      </c>
      <c r="V729" t="s">
        <v>408</v>
      </c>
      <c r="W729">
        <v>0</v>
      </c>
      <c r="X729">
        <v>0</v>
      </c>
      <c r="Y729" t="s">
        <v>408</v>
      </c>
      <c r="Z729">
        <v>2019</v>
      </c>
      <c r="AA729">
        <v>2019</v>
      </c>
      <c r="AB729" s="5">
        <v>6.2601480343999996E-2</v>
      </c>
      <c r="AC729" s="5">
        <v>0.12520296068799999</v>
      </c>
      <c r="AD729" t="s">
        <v>408</v>
      </c>
      <c r="AE729" t="s">
        <v>152</v>
      </c>
      <c r="AF729" t="s">
        <v>408</v>
      </c>
      <c r="AG729" t="s">
        <v>408</v>
      </c>
      <c r="AH729" t="s">
        <v>408</v>
      </c>
      <c r="AI729" t="s">
        <v>408</v>
      </c>
      <c r="AJ729" t="s">
        <v>408</v>
      </c>
      <c r="AK729" t="s">
        <v>408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0</v>
      </c>
      <c r="AT729" s="58">
        <f t="shared" si="11"/>
        <v>1</v>
      </c>
      <c r="AU729" s="79" t="s">
        <v>1712</v>
      </c>
      <c r="AV729" s="78" t="s">
        <v>410</v>
      </c>
      <c r="AW729" t="s">
        <v>411</v>
      </c>
      <c r="AX729">
        <v>2</v>
      </c>
      <c r="AY729" t="s">
        <v>412</v>
      </c>
      <c r="AZ729" t="s">
        <v>408</v>
      </c>
    </row>
    <row r="730" spans="1:52" x14ac:dyDescent="0.3">
      <c r="A730">
        <v>719</v>
      </c>
      <c r="B730" t="s">
        <v>397</v>
      </c>
      <c r="C730" t="s">
        <v>447</v>
      </c>
      <c r="D730" t="s">
        <v>398</v>
      </c>
      <c r="E730" t="s">
        <v>399</v>
      </c>
      <c r="F730" t="s">
        <v>408</v>
      </c>
      <c r="G730">
        <v>1</v>
      </c>
      <c r="H730">
        <v>2</v>
      </c>
      <c r="I730" t="s">
        <v>877</v>
      </c>
      <c r="J730">
        <v>45</v>
      </c>
      <c r="K730">
        <v>46</v>
      </c>
      <c r="L730" t="s">
        <v>1514</v>
      </c>
      <c r="M730">
        <v>0</v>
      </c>
      <c r="N730" t="s">
        <v>167</v>
      </c>
      <c r="O730" t="s">
        <v>167</v>
      </c>
      <c r="P730" t="s">
        <v>414</v>
      </c>
      <c r="Q730" t="s">
        <v>408</v>
      </c>
      <c r="R730" t="s">
        <v>1728</v>
      </c>
      <c r="S730">
        <v>2019</v>
      </c>
      <c r="T730">
        <v>0</v>
      </c>
      <c r="U730" t="s">
        <v>408</v>
      </c>
      <c r="V730" t="s">
        <v>408</v>
      </c>
      <c r="W730">
        <v>0</v>
      </c>
      <c r="X730">
        <v>0</v>
      </c>
      <c r="Y730" t="s">
        <v>408</v>
      </c>
      <c r="Z730">
        <v>2020</v>
      </c>
      <c r="AA730">
        <v>2020</v>
      </c>
      <c r="AB730" s="5">
        <v>8.4530581500599999E-2</v>
      </c>
      <c r="AC730" s="5">
        <v>0.16906116300099999</v>
      </c>
      <c r="AD730" t="s">
        <v>408</v>
      </c>
      <c r="AE730" t="s">
        <v>152</v>
      </c>
      <c r="AF730" t="s">
        <v>408</v>
      </c>
      <c r="AG730" t="s">
        <v>408</v>
      </c>
      <c r="AH730" t="s">
        <v>408</v>
      </c>
      <c r="AI730" t="s">
        <v>408</v>
      </c>
      <c r="AJ730" t="s">
        <v>408</v>
      </c>
      <c r="AK730" t="s">
        <v>408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 s="58">
        <f t="shared" si="11"/>
        <v>1</v>
      </c>
      <c r="AU730" s="79" t="s">
        <v>769</v>
      </c>
      <c r="AV730" t="s">
        <v>410</v>
      </c>
      <c r="AW730" t="s">
        <v>408</v>
      </c>
      <c r="AX730">
        <v>2</v>
      </c>
      <c r="AY730" t="s">
        <v>412</v>
      </c>
      <c r="AZ730" t="s">
        <v>408</v>
      </c>
    </row>
    <row r="731" spans="1:52" x14ac:dyDescent="0.3">
      <c r="A731">
        <v>720</v>
      </c>
      <c r="B731" t="s">
        <v>397</v>
      </c>
      <c r="C731" t="s">
        <v>154</v>
      </c>
      <c r="D731" t="s">
        <v>398</v>
      </c>
      <c r="E731" t="s">
        <v>399</v>
      </c>
      <c r="F731" t="s">
        <v>408</v>
      </c>
      <c r="G731">
        <v>45</v>
      </c>
      <c r="H731">
        <v>46</v>
      </c>
      <c r="I731" t="s">
        <v>1731</v>
      </c>
      <c r="J731">
        <v>631</v>
      </c>
      <c r="K731">
        <v>630</v>
      </c>
      <c r="L731" t="s">
        <v>1732</v>
      </c>
      <c r="M731">
        <v>0</v>
      </c>
      <c r="N731" t="s">
        <v>165</v>
      </c>
      <c r="O731" t="s">
        <v>165</v>
      </c>
      <c r="P731" t="s">
        <v>403</v>
      </c>
      <c r="Q731" t="s">
        <v>408</v>
      </c>
      <c r="R731" t="s">
        <v>1728</v>
      </c>
      <c r="S731">
        <v>2019</v>
      </c>
      <c r="T731">
        <v>0</v>
      </c>
      <c r="U731" t="s">
        <v>408</v>
      </c>
      <c r="V731" t="s">
        <v>408</v>
      </c>
      <c r="W731">
        <v>0</v>
      </c>
      <c r="X731">
        <v>0</v>
      </c>
      <c r="Y731" t="s">
        <v>408</v>
      </c>
      <c r="Z731">
        <v>2019</v>
      </c>
      <c r="AA731">
        <v>2019</v>
      </c>
      <c r="AB731" s="5">
        <v>0.71911477772900001</v>
      </c>
      <c r="AC731" s="5">
        <v>1.43822955546</v>
      </c>
      <c r="AD731" t="s">
        <v>408</v>
      </c>
      <c r="AE731" t="s">
        <v>152</v>
      </c>
      <c r="AF731" t="s">
        <v>408</v>
      </c>
      <c r="AG731" t="s">
        <v>408</v>
      </c>
      <c r="AH731" t="s">
        <v>408</v>
      </c>
      <c r="AI731" t="s">
        <v>408</v>
      </c>
      <c r="AJ731" t="s">
        <v>408</v>
      </c>
      <c r="AK731" t="s">
        <v>408</v>
      </c>
      <c r="AL731">
        <v>0</v>
      </c>
      <c r="AM731">
        <v>0</v>
      </c>
      <c r="AN731">
        <v>0</v>
      </c>
      <c r="AO731">
        <v>0</v>
      </c>
      <c r="AP731">
        <v>0.4</v>
      </c>
      <c r="AQ731">
        <v>0.6</v>
      </c>
      <c r="AR731">
        <v>0</v>
      </c>
      <c r="AS731">
        <v>0</v>
      </c>
      <c r="AT731" s="58">
        <f t="shared" si="11"/>
        <v>1</v>
      </c>
      <c r="AU731" s="79" t="s">
        <v>1712</v>
      </c>
      <c r="AV731" s="78" t="s">
        <v>410</v>
      </c>
      <c r="AW731" t="s">
        <v>411</v>
      </c>
      <c r="AX731">
        <v>2</v>
      </c>
      <c r="AY731" t="s">
        <v>412</v>
      </c>
      <c r="AZ731" t="s">
        <v>408</v>
      </c>
    </row>
    <row r="732" spans="1:52" x14ac:dyDescent="0.3">
      <c r="A732">
        <v>721</v>
      </c>
      <c r="B732" t="s">
        <v>397</v>
      </c>
      <c r="C732" t="s">
        <v>154</v>
      </c>
      <c r="D732" t="s">
        <v>398</v>
      </c>
      <c r="E732" t="s">
        <v>399</v>
      </c>
      <c r="F732" t="s">
        <v>408</v>
      </c>
      <c r="G732">
        <v>631</v>
      </c>
      <c r="H732">
        <v>630</v>
      </c>
      <c r="I732" t="s">
        <v>1732</v>
      </c>
      <c r="J732">
        <v>651</v>
      </c>
      <c r="K732">
        <v>650</v>
      </c>
      <c r="L732" t="s">
        <v>1722</v>
      </c>
      <c r="M732">
        <v>0</v>
      </c>
      <c r="N732" t="s">
        <v>167</v>
      </c>
      <c r="O732" t="s">
        <v>167</v>
      </c>
      <c r="P732" t="s">
        <v>414</v>
      </c>
      <c r="Q732" t="s">
        <v>408</v>
      </c>
      <c r="R732" t="s">
        <v>1728</v>
      </c>
      <c r="S732">
        <v>2019</v>
      </c>
      <c r="T732">
        <v>0</v>
      </c>
      <c r="U732" t="s">
        <v>408</v>
      </c>
      <c r="V732" t="s">
        <v>408</v>
      </c>
      <c r="W732">
        <v>0</v>
      </c>
      <c r="X732">
        <v>0</v>
      </c>
      <c r="Y732" t="s">
        <v>408</v>
      </c>
      <c r="Z732">
        <v>2019</v>
      </c>
      <c r="AA732">
        <v>2019</v>
      </c>
      <c r="AB732" s="5">
        <v>5.6837210612799997E-2</v>
      </c>
      <c r="AC732" s="5">
        <v>0.11367442122599999</v>
      </c>
      <c r="AD732" t="s">
        <v>408</v>
      </c>
      <c r="AE732" t="s">
        <v>152</v>
      </c>
      <c r="AF732" t="s">
        <v>408</v>
      </c>
      <c r="AG732" t="s">
        <v>408</v>
      </c>
      <c r="AH732" t="s">
        <v>408</v>
      </c>
      <c r="AI732" t="s">
        <v>408</v>
      </c>
      <c r="AJ732" t="s">
        <v>408</v>
      </c>
      <c r="AK732" t="s">
        <v>408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 s="58">
        <f t="shared" si="11"/>
        <v>1</v>
      </c>
      <c r="AU732" s="79" t="s">
        <v>1712</v>
      </c>
      <c r="AV732" t="s">
        <v>410</v>
      </c>
      <c r="AW732" t="s">
        <v>408</v>
      </c>
      <c r="AX732">
        <v>2</v>
      </c>
      <c r="AY732" t="s">
        <v>412</v>
      </c>
      <c r="AZ732" t="s">
        <v>408</v>
      </c>
    </row>
    <row r="733" spans="1:52" x14ac:dyDescent="0.3">
      <c r="A733">
        <v>722</v>
      </c>
      <c r="B733" t="s">
        <v>397</v>
      </c>
      <c r="C733" t="s">
        <v>154</v>
      </c>
      <c r="D733" t="s">
        <v>398</v>
      </c>
      <c r="E733" t="s">
        <v>399</v>
      </c>
      <c r="F733" t="s">
        <v>408</v>
      </c>
      <c r="G733">
        <v>651</v>
      </c>
      <c r="H733">
        <v>650</v>
      </c>
      <c r="I733" t="s">
        <v>1722</v>
      </c>
      <c r="J733">
        <v>675</v>
      </c>
      <c r="K733">
        <v>676</v>
      </c>
      <c r="L733" t="s">
        <v>1722</v>
      </c>
      <c r="M733">
        <v>0</v>
      </c>
      <c r="N733" t="s">
        <v>165</v>
      </c>
      <c r="O733" t="s">
        <v>165</v>
      </c>
      <c r="P733" t="s">
        <v>403</v>
      </c>
      <c r="Q733" t="s">
        <v>408</v>
      </c>
      <c r="R733" t="s">
        <v>1728</v>
      </c>
      <c r="S733">
        <v>2019</v>
      </c>
      <c r="T733">
        <v>0</v>
      </c>
      <c r="U733" t="s">
        <v>408</v>
      </c>
      <c r="V733" t="s">
        <v>408</v>
      </c>
      <c r="W733">
        <v>0</v>
      </c>
      <c r="X733">
        <v>0</v>
      </c>
      <c r="Y733" t="s">
        <v>408</v>
      </c>
      <c r="Z733">
        <v>2019</v>
      </c>
      <c r="AA733">
        <v>2019</v>
      </c>
      <c r="AB733" s="5">
        <v>4.3205692934799998E-2</v>
      </c>
      <c r="AC733" s="5">
        <v>8.6411385869599996E-2</v>
      </c>
      <c r="AD733" t="s">
        <v>408</v>
      </c>
      <c r="AE733" t="s">
        <v>152</v>
      </c>
      <c r="AF733" t="s">
        <v>408</v>
      </c>
      <c r="AG733" t="s">
        <v>408</v>
      </c>
      <c r="AH733" t="s">
        <v>408</v>
      </c>
      <c r="AI733" t="s">
        <v>408</v>
      </c>
      <c r="AJ733" t="s">
        <v>408</v>
      </c>
      <c r="AK733" t="s">
        <v>408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 s="58">
        <f t="shared" si="11"/>
        <v>1</v>
      </c>
      <c r="AU733" s="79" t="s">
        <v>1712</v>
      </c>
      <c r="AV733" t="s">
        <v>410</v>
      </c>
      <c r="AW733" t="s">
        <v>411</v>
      </c>
      <c r="AX733">
        <v>2</v>
      </c>
      <c r="AY733" t="s">
        <v>412</v>
      </c>
      <c r="AZ733" t="s">
        <v>408</v>
      </c>
    </row>
    <row r="734" spans="1:52" x14ac:dyDescent="0.3">
      <c r="A734">
        <v>723</v>
      </c>
      <c r="B734" t="s">
        <v>397</v>
      </c>
      <c r="C734" t="s">
        <v>154</v>
      </c>
      <c r="D734" t="s">
        <v>398</v>
      </c>
      <c r="E734" t="s">
        <v>399</v>
      </c>
      <c r="F734" t="s">
        <v>408</v>
      </c>
      <c r="G734">
        <v>675</v>
      </c>
      <c r="H734">
        <v>676</v>
      </c>
      <c r="I734" t="s">
        <v>1722</v>
      </c>
      <c r="J734">
        <v>715</v>
      </c>
      <c r="K734">
        <v>716</v>
      </c>
      <c r="L734" t="s">
        <v>1426</v>
      </c>
      <c r="M734">
        <v>0</v>
      </c>
      <c r="N734" t="s">
        <v>167</v>
      </c>
      <c r="O734" t="s">
        <v>167</v>
      </c>
      <c r="P734" t="s">
        <v>414</v>
      </c>
      <c r="Q734" t="s">
        <v>408</v>
      </c>
      <c r="R734" t="s">
        <v>1728</v>
      </c>
      <c r="S734">
        <v>2019</v>
      </c>
      <c r="T734">
        <v>0</v>
      </c>
      <c r="U734" t="s">
        <v>408</v>
      </c>
      <c r="V734" t="s">
        <v>408</v>
      </c>
      <c r="W734">
        <v>0</v>
      </c>
      <c r="X734">
        <v>0</v>
      </c>
      <c r="Y734" t="s">
        <v>408</v>
      </c>
      <c r="Z734">
        <v>2019</v>
      </c>
      <c r="AA734">
        <v>2019</v>
      </c>
      <c r="AB734" s="5">
        <v>3.3274248022100002E-2</v>
      </c>
      <c r="AC734" s="5">
        <v>6.6548496044200003E-2</v>
      </c>
      <c r="AD734" t="s">
        <v>408</v>
      </c>
      <c r="AE734" t="s">
        <v>152</v>
      </c>
      <c r="AF734" t="s">
        <v>408</v>
      </c>
      <c r="AG734" t="s">
        <v>408</v>
      </c>
      <c r="AH734" t="s">
        <v>408</v>
      </c>
      <c r="AI734" t="s">
        <v>408</v>
      </c>
      <c r="AJ734" t="s">
        <v>408</v>
      </c>
      <c r="AK734" t="s">
        <v>408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 s="58">
        <f t="shared" si="11"/>
        <v>1</v>
      </c>
      <c r="AU734" s="79" t="s">
        <v>1712</v>
      </c>
      <c r="AV734" t="s">
        <v>410</v>
      </c>
      <c r="AW734" t="s">
        <v>408</v>
      </c>
      <c r="AX734">
        <v>2</v>
      </c>
      <c r="AY734" t="s">
        <v>412</v>
      </c>
      <c r="AZ734" t="s">
        <v>408</v>
      </c>
    </row>
    <row r="735" spans="1:52" x14ac:dyDescent="0.3">
      <c r="A735">
        <v>724</v>
      </c>
      <c r="B735" t="s">
        <v>397</v>
      </c>
      <c r="C735" t="s">
        <v>154</v>
      </c>
      <c r="D735" t="s">
        <v>398</v>
      </c>
      <c r="E735" t="s">
        <v>399</v>
      </c>
      <c r="F735" t="s">
        <v>408</v>
      </c>
      <c r="G735">
        <v>715</v>
      </c>
      <c r="H735">
        <v>716</v>
      </c>
      <c r="I735" t="s">
        <v>1426</v>
      </c>
      <c r="J735">
        <v>831</v>
      </c>
      <c r="K735">
        <v>831</v>
      </c>
      <c r="L735" t="s">
        <v>1733</v>
      </c>
      <c r="M735">
        <v>0</v>
      </c>
      <c r="N735" t="s">
        <v>165</v>
      </c>
      <c r="O735" t="s">
        <v>165</v>
      </c>
      <c r="P735" t="s">
        <v>403</v>
      </c>
      <c r="Q735" t="s">
        <v>408</v>
      </c>
      <c r="R735" t="s">
        <v>1728</v>
      </c>
      <c r="S735">
        <v>2019</v>
      </c>
      <c r="T735">
        <v>0</v>
      </c>
      <c r="U735" t="s">
        <v>408</v>
      </c>
      <c r="V735" t="s">
        <v>408</v>
      </c>
      <c r="W735">
        <v>0</v>
      </c>
      <c r="X735">
        <v>0</v>
      </c>
      <c r="Y735" t="s">
        <v>408</v>
      </c>
      <c r="Z735">
        <v>2019</v>
      </c>
      <c r="AA735">
        <v>2019</v>
      </c>
      <c r="AB735" s="5">
        <v>0.13207585601399999</v>
      </c>
      <c r="AC735" s="5">
        <v>0.26415171202799997</v>
      </c>
      <c r="AD735" t="s">
        <v>408</v>
      </c>
      <c r="AE735" t="s">
        <v>152</v>
      </c>
      <c r="AF735" t="s">
        <v>408</v>
      </c>
      <c r="AG735" t="s">
        <v>408</v>
      </c>
      <c r="AH735" t="s">
        <v>408</v>
      </c>
      <c r="AI735" t="s">
        <v>408</v>
      </c>
      <c r="AJ735" t="s">
        <v>408</v>
      </c>
      <c r="AK735" t="s">
        <v>408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 s="58">
        <f t="shared" si="11"/>
        <v>1</v>
      </c>
      <c r="AU735" s="79" t="s">
        <v>1712</v>
      </c>
      <c r="AV735" t="s">
        <v>410</v>
      </c>
      <c r="AW735" t="s">
        <v>411</v>
      </c>
      <c r="AX735">
        <v>2</v>
      </c>
      <c r="AY735" t="s">
        <v>412</v>
      </c>
      <c r="AZ735" t="s">
        <v>408</v>
      </c>
    </row>
    <row r="736" spans="1:52" x14ac:dyDescent="0.3">
      <c r="A736">
        <v>725</v>
      </c>
      <c r="B736" t="s">
        <v>397</v>
      </c>
      <c r="C736" t="s">
        <v>154</v>
      </c>
      <c r="D736" t="s">
        <v>398</v>
      </c>
      <c r="E736" t="s">
        <v>399</v>
      </c>
      <c r="F736" t="s">
        <v>408</v>
      </c>
      <c r="G736">
        <v>831</v>
      </c>
      <c r="H736">
        <v>830</v>
      </c>
      <c r="I736" t="s">
        <v>1733</v>
      </c>
      <c r="J736">
        <v>931</v>
      </c>
      <c r="K736">
        <v>930</v>
      </c>
      <c r="L736" t="s">
        <v>1734</v>
      </c>
      <c r="M736">
        <v>0</v>
      </c>
      <c r="N736" t="s">
        <v>167</v>
      </c>
      <c r="O736" t="s">
        <v>167</v>
      </c>
      <c r="P736" t="s">
        <v>414</v>
      </c>
      <c r="Q736" t="s">
        <v>408</v>
      </c>
      <c r="R736" t="s">
        <v>1728</v>
      </c>
      <c r="S736">
        <v>2019</v>
      </c>
      <c r="T736">
        <v>0</v>
      </c>
      <c r="U736" t="s">
        <v>408</v>
      </c>
      <c r="V736" t="s">
        <v>408</v>
      </c>
      <c r="W736">
        <v>0</v>
      </c>
      <c r="X736">
        <v>0</v>
      </c>
      <c r="Y736" t="s">
        <v>408</v>
      </c>
      <c r="Z736">
        <v>2019</v>
      </c>
      <c r="AA736">
        <v>2019</v>
      </c>
      <c r="AB736" s="5">
        <v>0.12513043154100001</v>
      </c>
      <c r="AC736" s="5">
        <v>0.25026086308200002</v>
      </c>
      <c r="AD736" t="s">
        <v>408</v>
      </c>
      <c r="AE736" t="s">
        <v>152</v>
      </c>
      <c r="AF736" t="s">
        <v>408</v>
      </c>
      <c r="AG736" t="s">
        <v>408</v>
      </c>
      <c r="AH736" t="s">
        <v>408</v>
      </c>
      <c r="AI736" t="s">
        <v>408</v>
      </c>
      <c r="AJ736" t="s">
        <v>408</v>
      </c>
      <c r="AK736" t="s">
        <v>408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 s="58">
        <f t="shared" si="11"/>
        <v>1</v>
      </c>
      <c r="AU736" s="79" t="s">
        <v>769</v>
      </c>
      <c r="AV736" t="s">
        <v>410</v>
      </c>
      <c r="AW736" t="s">
        <v>408</v>
      </c>
      <c r="AX736">
        <v>2</v>
      </c>
      <c r="AY736" t="s">
        <v>412</v>
      </c>
      <c r="AZ736" t="s">
        <v>408</v>
      </c>
    </row>
    <row r="737" spans="1:52" x14ac:dyDescent="0.3">
      <c r="A737">
        <v>726</v>
      </c>
      <c r="B737" t="s">
        <v>397</v>
      </c>
      <c r="C737" t="s">
        <v>154</v>
      </c>
      <c r="D737" t="s">
        <v>398</v>
      </c>
      <c r="E737" t="s">
        <v>399</v>
      </c>
      <c r="F737" t="s">
        <v>408</v>
      </c>
      <c r="G737">
        <v>931</v>
      </c>
      <c r="H737">
        <v>930</v>
      </c>
      <c r="I737" t="s">
        <v>1734</v>
      </c>
      <c r="J737">
        <v>1401</v>
      </c>
      <c r="K737">
        <v>1400</v>
      </c>
      <c r="L737" t="s">
        <v>1735</v>
      </c>
      <c r="M737">
        <v>0</v>
      </c>
      <c r="N737" t="s">
        <v>165</v>
      </c>
      <c r="O737" t="s">
        <v>165</v>
      </c>
      <c r="P737" t="s">
        <v>403</v>
      </c>
      <c r="Q737" t="s">
        <v>408</v>
      </c>
      <c r="R737" t="s">
        <v>1728</v>
      </c>
      <c r="S737">
        <v>2019</v>
      </c>
      <c r="T737">
        <v>0</v>
      </c>
      <c r="U737" t="s">
        <v>408</v>
      </c>
      <c r="V737" t="s">
        <v>408</v>
      </c>
      <c r="W737">
        <v>0</v>
      </c>
      <c r="X737">
        <v>0</v>
      </c>
      <c r="Y737" t="s">
        <v>408</v>
      </c>
      <c r="Z737">
        <v>2019</v>
      </c>
      <c r="AA737">
        <v>2019</v>
      </c>
      <c r="AB737" s="5">
        <v>0.564849853909</v>
      </c>
      <c r="AC737" s="5">
        <v>1.12969970782</v>
      </c>
      <c r="AD737" t="s">
        <v>408</v>
      </c>
      <c r="AE737" t="s">
        <v>152</v>
      </c>
      <c r="AF737" t="s">
        <v>408</v>
      </c>
      <c r="AG737" t="s">
        <v>408</v>
      </c>
      <c r="AH737" t="s">
        <v>408</v>
      </c>
      <c r="AI737" t="s">
        <v>408</v>
      </c>
      <c r="AJ737" t="s">
        <v>408</v>
      </c>
      <c r="AK737" t="s">
        <v>408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 s="58">
        <f t="shared" si="11"/>
        <v>1</v>
      </c>
      <c r="AU737" s="79" t="s">
        <v>769</v>
      </c>
      <c r="AV737" t="s">
        <v>410</v>
      </c>
      <c r="AW737" t="s">
        <v>411</v>
      </c>
      <c r="AX737">
        <v>2</v>
      </c>
      <c r="AY737" t="s">
        <v>412</v>
      </c>
      <c r="AZ737" t="s">
        <v>408</v>
      </c>
    </row>
    <row r="738" spans="1:52" x14ac:dyDescent="0.3">
      <c r="A738">
        <v>727</v>
      </c>
      <c r="B738" t="s">
        <v>397</v>
      </c>
      <c r="C738" t="s">
        <v>154</v>
      </c>
      <c r="D738" t="s">
        <v>398</v>
      </c>
      <c r="E738" t="s">
        <v>399</v>
      </c>
      <c r="F738" t="s">
        <v>408</v>
      </c>
      <c r="G738">
        <v>1401</v>
      </c>
      <c r="H738">
        <v>1400</v>
      </c>
      <c r="I738" t="s">
        <v>1735</v>
      </c>
      <c r="J738">
        <v>1501</v>
      </c>
      <c r="K738">
        <v>1500</v>
      </c>
      <c r="L738" t="s">
        <v>1473</v>
      </c>
      <c r="M738">
        <v>0</v>
      </c>
      <c r="N738" t="s">
        <v>167</v>
      </c>
      <c r="O738" t="s">
        <v>167</v>
      </c>
      <c r="P738" t="s">
        <v>414</v>
      </c>
      <c r="Q738" t="s">
        <v>408</v>
      </c>
      <c r="R738" t="s">
        <v>1728</v>
      </c>
      <c r="S738">
        <v>2019</v>
      </c>
      <c r="T738">
        <v>0</v>
      </c>
      <c r="U738" t="s">
        <v>408</v>
      </c>
      <c r="V738" t="s">
        <v>408</v>
      </c>
      <c r="W738">
        <v>0</v>
      </c>
      <c r="X738">
        <v>0</v>
      </c>
      <c r="Y738" t="s">
        <v>408</v>
      </c>
      <c r="Z738">
        <v>2019</v>
      </c>
      <c r="AA738">
        <v>2019</v>
      </c>
      <c r="AB738" s="5">
        <v>0.125237240714</v>
      </c>
      <c r="AC738" s="5">
        <v>0.250474481428</v>
      </c>
      <c r="AD738" t="s">
        <v>408</v>
      </c>
      <c r="AE738" t="s">
        <v>152</v>
      </c>
      <c r="AF738" t="s">
        <v>408</v>
      </c>
      <c r="AG738" t="s">
        <v>408</v>
      </c>
      <c r="AH738" t="s">
        <v>408</v>
      </c>
      <c r="AI738" t="s">
        <v>408</v>
      </c>
      <c r="AJ738" t="s">
        <v>408</v>
      </c>
      <c r="AK738" t="s">
        <v>408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 s="58">
        <f t="shared" si="11"/>
        <v>1</v>
      </c>
      <c r="AU738" s="79" t="s">
        <v>769</v>
      </c>
      <c r="AV738" s="78" t="s">
        <v>410</v>
      </c>
      <c r="AW738" t="s">
        <v>408</v>
      </c>
      <c r="AX738">
        <v>2</v>
      </c>
      <c r="AY738" t="s">
        <v>412</v>
      </c>
      <c r="AZ738" t="s">
        <v>408</v>
      </c>
    </row>
    <row r="739" spans="1:52" x14ac:dyDescent="0.3">
      <c r="A739">
        <v>728</v>
      </c>
      <c r="B739" t="s">
        <v>397</v>
      </c>
      <c r="C739" t="s">
        <v>154</v>
      </c>
      <c r="D739" t="s">
        <v>398</v>
      </c>
      <c r="E739" t="s">
        <v>399</v>
      </c>
      <c r="F739" t="s">
        <v>408</v>
      </c>
      <c r="G739">
        <v>1501</v>
      </c>
      <c r="H739">
        <v>1500</v>
      </c>
      <c r="I739" t="s">
        <v>1473</v>
      </c>
      <c r="J739">
        <v>1531</v>
      </c>
      <c r="K739">
        <v>1530</v>
      </c>
      <c r="L739" t="s">
        <v>1736</v>
      </c>
      <c r="M739">
        <v>0</v>
      </c>
      <c r="N739" t="s">
        <v>165</v>
      </c>
      <c r="O739" t="s">
        <v>165</v>
      </c>
      <c r="P739" t="s">
        <v>403</v>
      </c>
      <c r="Q739" t="s">
        <v>408</v>
      </c>
      <c r="R739" t="s">
        <v>1728</v>
      </c>
      <c r="S739">
        <v>2019</v>
      </c>
      <c r="T739">
        <v>0</v>
      </c>
      <c r="U739" t="s">
        <v>408</v>
      </c>
      <c r="V739" t="s">
        <v>408</v>
      </c>
      <c r="W739">
        <v>0</v>
      </c>
      <c r="X739">
        <v>0</v>
      </c>
      <c r="Y739" t="s">
        <v>408</v>
      </c>
      <c r="Z739">
        <v>2019</v>
      </c>
      <c r="AA739">
        <v>2019</v>
      </c>
      <c r="AB739" s="5">
        <v>6.2585846985200005E-2</v>
      </c>
      <c r="AC739" s="5">
        <v>0.12517169397</v>
      </c>
      <c r="AD739" t="s">
        <v>408</v>
      </c>
      <c r="AE739" t="s">
        <v>152</v>
      </c>
      <c r="AF739" t="s">
        <v>408</v>
      </c>
      <c r="AG739" t="s">
        <v>408</v>
      </c>
      <c r="AH739" t="s">
        <v>408</v>
      </c>
      <c r="AI739" t="s">
        <v>408</v>
      </c>
      <c r="AJ739" t="s">
        <v>408</v>
      </c>
      <c r="AK739" t="s">
        <v>408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 s="58">
        <f t="shared" si="11"/>
        <v>1</v>
      </c>
      <c r="AU739" s="79" t="s">
        <v>769</v>
      </c>
      <c r="AV739" t="s">
        <v>410</v>
      </c>
      <c r="AW739" t="s">
        <v>411</v>
      </c>
      <c r="AX739">
        <v>2</v>
      </c>
      <c r="AY739" t="s">
        <v>412</v>
      </c>
      <c r="AZ739" t="s">
        <v>408</v>
      </c>
    </row>
    <row r="740" spans="1:52" x14ac:dyDescent="0.3">
      <c r="A740">
        <v>729</v>
      </c>
      <c r="B740" t="s">
        <v>397</v>
      </c>
      <c r="C740" t="s">
        <v>154</v>
      </c>
      <c r="D740" t="s">
        <v>398</v>
      </c>
      <c r="E740" t="s">
        <v>399</v>
      </c>
      <c r="F740" t="s">
        <v>408</v>
      </c>
      <c r="G740">
        <v>1531</v>
      </c>
      <c r="H740">
        <v>1530</v>
      </c>
      <c r="I740" t="s">
        <v>1736</v>
      </c>
      <c r="J740">
        <v>1601</v>
      </c>
      <c r="K740">
        <v>1600</v>
      </c>
      <c r="L740" t="s">
        <v>813</v>
      </c>
      <c r="M740">
        <v>0</v>
      </c>
      <c r="N740" t="s">
        <v>167</v>
      </c>
      <c r="O740" t="s">
        <v>167</v>
      </c>
      <c r="P740" t="s">
        <v>414</v>
      </c>
      <c r="Q740" t="s">
        <v>408</v>
      </c>
      <c r="R740" t="s">
        <v>1728</v>
      </c>
      <c r="S740">
        <v>2019</v>
      </c>
      <c r="T740">
        <v>0</v>
      </c>
      <c r="U740" t="s">
        <v>408</v>
      </c>
      <c r="V740" t="s">
        <v>408</v>
      </c>
      <c r="W740">
        <v>0</v>
      </c>
      <c r="X740">
        <v>0</v>
      </c>
      <c r="Y740" t="s">
        <v>408</v>
      </c>
      <c r="Z740">
        <v>2019</v>
      </c>
      <c r="AA740">
        <v>2019</v>
      </c>
      <c r="AB740" s="5">
        <v>6.3126077202000003E-2</v>
      </c>
      <c r="AC740" s="5">
        <v>0.12625215440400001</v>
      </c>
      <c r="AD740" t="s">
        <v>408</v>
      </c>
      <c r="AE740" t="s">
        <v>152</v>
      </c>
      <c r="AF740" t="s">
        <v>408</v>
      </c>
      <c r="AG740" t="s">
        <v>408</v>
      </c>
      <c r="AH740" t="s">
        <v>408</v>
      </c>
      <c r="AI740" t="s">
        <v>408</v>
      </c>
      <c r="AJ740" t="s">
        <v>408</v>
      </c>
      <c r="AK740" t="s">
        <v>408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 s="58">
        <f t="shared" si="11"/>
        <v>1</v>
      </c>
      <c r="AU740" s="79" t="s">
        <v>769</v>
      </c>
      <c r="AV740" t="s">
        <v>410</v>
      </c>
      <c r="AW740" t="s">
        <v>408</v>
      </c>
      <c r="AX740">
        <v>2</v>
      </c>
      <c r="AY740" t="s">
        <v>412</v>
      </c>
      <c r="AZ740" t="s">
        <v>408</v>
      </c>
    </row>
    <row r="741" spans="1:52" x14ac:dyDescent="0.3">
      <c r="A741">
        <v>730</v>
      </c>
      <c r="B741" t="s">
        <v>1289</v>
      </c>
      <c r="C741" t="s">
        <v>154</v>
      </c>
      <c r="D741" t="s">
        <v>1290</v>
      </c>
      <c r="E741" t="s">
        <v>417</v>
      </c>
      <c r="F741" t="s">
        <v>408</v>
      </c>
      <c r="G741">
        <v>1601</v>
      </c>
      <c r="H741">
        <v>1600</v>
      </c>
      <c r="I741" t="s">
        <v>545</v>
      </c>
      <c r="J741">
        <v>2001</v>
      </c>
      <c r="K741">
        <v>2000</v>
      </c>
      <c r="L741" t="s">
        <v>435</v>
      </c>
      <c r="M741">
        <v>0</v>
      </c>
      <c r="N741" t="s">
        <v>170</v>
      </c>
      <c r="O741" t="s">
        <v>170</v>
      </c>
      <c r="P741" t="s">
        <v>420</v>
      </c>
      <c r="Q741" t="s">
        <v>408</v>
      </c>
      <c r="R741" t="s">
        <v>1707</v>
      </c>
      <c r="S741">
        <v>2020</v>
      </c>
      <c r="T741">
        <v>0</v>
      </c>
      <c r="U741" t="s">
        <v>408</v>
      </c>
      <c r="V741" t="s">
        <v>408</v>
      </c>
      <c r="W741">
        <v>0</v>
      </c>
      <c r="X741">
        <v>0</v>
      </c>
      <c r="Y741" t="s">
        <v>408</v>
      </c>
      <c r="Z741">
        <v>2020</v>
      </c>
      <c r="AA741">
        <v>0</v>
      </c>
      <c r="AB741" s="5">
        <v>0.50357298353900004</v>
      </c>
      <c r="AC741" s="5">
        <v>1.00714596708</v>
      </c>
      <c r="AD741" t="s">
        <v>408</v>
      </c>
      <c r="AE741" t="s">
        <v>152</v>
      </c>
      <c r="AF741" t="s">
        <v>408</v>
      </c>
      <c r="AG741" t="s">
        <v>408</v>
      </c>
      <c r="AH741" t="s">
        <v>408</v>
      </c>
      <c r="AI741" t="s">
        <v>408</v>
      </c>
      <c r="AJ741" t="s">
        <v>408</v>
      </c>
      <c r="AK741" t="s">
        <v>408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 s="58">
        <f t="shared" si="11"/>
        <v>1</v>
      </c>
      <c r="AU741" s="79" t="s">
        <v>1737</v>
      </c>
      <c r="AV741" t="s">
        <v>410</v>
      </c>
      <c r="AW741" t="s">
        <v>408</v>
      </c>
      <c r="AX741">
        <v>3</v>
      </c>
      <c r="AY741" t="s">
        <v>1579</v>
      </c>
      <c r="AZ741" t="s">
        <v>408</v>
      </c>
    </row>
    <row r="742" spans="1:52" x14ac:dyDescent="0.3">
      <c r="A742">
        <v>731</v>
      </c>
      <c r="B742" t="s">
        <v>667</v>
      </c>
      <c r="C742" t="s">
        <v>154</v>
      </c>
      <c r="D742" t="s">
        <v>668</v>
      </c>
      <c r="E742" t="s">
        <v>460</v>
      </c>
      <c r="F742" t="s">
        <v>408</v>
      </c>
      <c r="G742">
        <v>4401</v>
      </c>
      <c r="H742">
        <v>4400</v>
      </c>
      <c r="I742" t="s">
        <v>670</v>
      </c>
      <c r="J742">
        <v>4801</v>
      </c>
      <c r="K742">
        <v>4800</v>
      </c>
      <c r="L742" t="s">
        <v>1068</v>
      </c>
      <c r="M742">
        <v>0</v>
      </c>
      <c r="N742" t="s">
        <v>167</v>
      </c>
      <c r="O742" t="s">
        <v>167</v>
      </c>
      <c r="P742" t="s">
        <v>420</v>
      </c>
      <c r="Q742" t="s">
        <v>408</v>
      </c>
      <c r="R742" t="s">
        <v>1738</v>
      </c>
      <c r="S742">
        <v>2020</v>
      </c>
      <c r="T742">
        <v>5</v>
      </c>
      <c r="U742" t="s">
        <v>408</v>
      </c>
      <c r="V742" t="s">
        <v>408</v>
      </c>
      <c r="W742">
        <v>0</v>
      </c>
      <c r="X742">
        <v>0</v>
      </c>
      <c r="Y742" t="s">
        <v>408</v>
      </c>
      <c r="Z742">
        <v>2020</v>
      </c>
      <c r="AA742">
        <v>0</v>
      </c>
      <c r="AB742" s="5">
        <v>0.50621303962099995</v>
      </c>
      <c r="AC742" s="5">
        <v>1.0124260792399999</v>
      </c>
      <c r="AD742" t="s">
        <v>408</v>
      </c>
      <c r="AE742" t="s">
        <v>152</v>
      </c>
      <c r="AF742" t="s">
        <v>408</v>
      </c>
      <c r="AG742" t="s">
        <v>408</v>
      </c>
      <c r="AH742" t="s">
        <v>408</v>
      </c>
      <c r="AI742" t="s">
        <v>408</v>
      </c>
      <c r="AJ742" t="s">
        <v>408</v>
      </c>
      <c r="AK742" t="s">
        <v>408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 s="58">
        <f t="shared" si="11"/>
        <v>1</v>
      </c>
      <c r="AU742" s="79" t="s">
        <v>769</v>
      </c>
      <c r="AV742" s="78" t="s">
        <v>410</v>
      </c>
      <c r="AW742" t="s">
        <v>408</v>
      </c>
      <c r="AX742">
        <v>2</v>
      </c>
      <c r="AY742" t="s">
        <v>412</v>
      </c>
      <c r="AZ742" t="s">
        <v>408</v>
      </c>
    </row>
    <row r="743" spans="1:52" x14ac:dyDescent="0.3">
      <c r="A743">
        <v>732</v>
      </c>
      <c r="B743" t="s">
        <v>1026</v>
      </c>
      <c r="C743" t="s">
        <v>152</v>
      </c>
      <c r="D743" t="s">
        <v>881</v>
      </c>
      <c r="E743" t="s">
        <v>460</v>
      </c>
      <c r="F743" t="s">
        <v>408</v>
      </c>
      <c r="G743">
        <v>2401</v>
      </c>
      <c r="H743">
        <v>2400</v>
      </c>
      <c r="I743" t="s">
        <v>1739</v>
      </c>
      <c r="J743">
        <v>2851</v>
      </c>
      <c r="K743">
        <v>2850</v>
      </c>
      <c r="L743" t="s">
        <v>1740</v>
      </c>
      <c r="M743">
        <v>0</v>
      </c>
      <c r="N743" t="s">
        <v>167</v>
      </c>
      <c r="O743" t="s">
        <v>167</v>
      </c>
      <c r="P743" t="s">
        <v>420</v>
      </c>
      <c r="Q743" t="s">
        <v>408</v>
      </c>
      <c r="R743" t="s">
        <v>794</v>
      </c>
      <c r="S743">
        <v>2020</v>
      </c>
      <c r="T743">
        <v>0</v>
      </c>
      <c r="U743" t="s">
        <v>757</v>
      </c>
      <c r="V743" t="s">
        <v>408</v>
      </c>
      <c r="W743">
        <v>0</v>
      </c>
      <c r="X743">
        <v>0</v>
      </c>
      <c r="Y743" t="s">
        <v>408</v>
      </c>
      <c r="Z743">
        <v>2020</v>
      </c>
      <c r="AA743">
        <v>2020</v>
      </c>
      <c r="AB743" s="5">
        <v>0.56772050885299996</v>
      </c>
      <c r="AC743" s="5">
        <v>1.1354410177100001</v>
      </c>
      <c r="AD743" t="s">
        <v>408</v>
      </c>
      <c r="AE743" t="s">
        <v>152</v>
      </c>
      <c r="AF743" t="s">
        <v>408</v>
      </c>
      <c r="AG743" t="s">
        <v>408</v>
      </c>
      <c r="AH743" t="s">
        <v>408</v>
      </c>
      <c r="AI743" t="s">
        <v>408</v>
      </c>
      <c r="AJ743" t="s">
        <v>408</v>
      </c>
      <c r="AK743" t="s">
        <v>408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 s="58">
        <f t="shared" si="11"/>
        <v>1</v>
      </c>
      <c r="AU743" s="79" t="s">
        <v>1741</v>
      </c>
      <c r="AV743" s="78" t="s">
        <v>410</v>
      </c>
      <c r="AW743" t="s">
        <v>408</v>
      </c>
      <c r="AX743">
        <v>2</v>
      </c>
      <c r="AY743" t="s">
        <v>412</v>
      </c>
      <c r="AZ743" t="s">
        <v>408</v>
      </c>
    </row>
    <row r="744" spans="1:52" x14ac:dyDescent="0.3">
      <c r="A744">
        <v>733</v>
      </c>
      <c r="B744" t="s">
        <v>557</v>
      </c>
      <c r="C744" t="s">
        <v>152</v>
      </c>
      <c r="D744" t="s">
        <v>558</v>
      </c>
      <c r="E744" t="s">
        <v>460</v>
      </c>
      <c r="F744" t="s">
        <v>400</v>
      </c>
      <c r="G744">
        <v>3600</v>
      </c>
      <c r="H744">
        <v>3601</v>
      </c>
      <c r="I744" t="s">
        <v>573</v>
      </c>
      <c r="J744">
        <v>3900</v>
      </c>
      <c r="K744">
        <v>3901</v>
      </c>
      <c r="L744" t="s">
        <v>1742</v>
      </c>
      <c r="M744">
        <v>3</v>
      </c>
      <c r="N744" t="s">
        <v>163</v>
      </c>
      <c r="O744" t="s">
        <v>163</v>
      </c>
      <c r="P744" t="s">
        <v>403</v>
      </c>
      <c r="Q744" t="s">
        <v>1743</v>
      </c>
      <c r="R744" t="s">
        <v>1744</v>
      </c>
      <c r="S744">
        <v>2022</v>
      </c>
      <c r="T744">
        <v>11</v>
      </c>
      <c r="U744" t="s">
        <v>1745</v>
      </c>
      <c r="V744" t="s">
        <v>408</v>
      </c>
      <c r="W744">
        <v>2020</v>
      </c>
      <c r="X744">
        <v>0</v>
      </c>
      <c r="Y744" t="s">
        <v>408</v>
      </c>
      <c r="Z744">
        <v>2020</v>
      </c>
      <c r="AA744">
        <v>0</v>
      </c>
      <c r="AB744" s="5">
        <v>0.77688397660700004</v>
      </c>
      <c r="AC744" s="5">
        <v>1.553768</v>
      </c>
      <c r="AD744" t="s">
        <v>400</v>
      </c>
      <c r="AE744" t="s">
        <v>152</v>
      </c>
      <c r="AF744" t="s">
        <v>400</v>
      </c>
      <c r="AG744" t="s">
        <v>400</v>
      </c>
      <c r="AH744" t="s">
        <v>408</v>
      </c>
      <c r="AI744" t="s">
        <v>744</v>
      </c>
      <c r="AJ744" t="s">
        <v>400</v>
      </c>
      <c r="AK744" t="s">
        <v>411</v>
      </c>
      <c r="AL744">
        <v>2017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s="58">
        <f t="shared" si="11"/>
        <v>1</v>
      </c>
      <c r="AU744" s="79" t="s">
        <v>439</v>
      </c>
      <c r="AV744" t="s">
        <v>410</v>
      </c>
      <c r="AW744" t="s">
        <v>411</v>
      </c>
      <c r="AX744">
        <v>1</v>
      </c>
      <c r="AY744" t="s">
        <v>412</v>
      </c>
      <c r="AZ744">
        <v>30</v>
      </c>
    </row>
    <row r="745" spans="1:52" x14ac:dyDescent="0.3">
      <c r="A745">
        <v>734</v>
      </c>
      <c r="B745" t="s">
        <v>1599</v>
      </c>
      <c r="C745" t="s">
        <v>155</v>
      </c>
      <c r="D745" t="s">
        <v>1600</v>
      </c>
      <c r="E745" t="s">
        <v>460</v>
      </c>
      <c r="F745" t="s">
        <v>408</v>
      </c>
      <c r="G745">
        <v>9401</v>
      </c>
      <c r="H745">
        <v>9400</v>
      </c>
      <c r="I745" t="s">
        <v>1718</v>
      </c>
      <c r="J745">
        <v>9501</v>
      </c>
      <c r="K745">
        <v>9500</v>
      </c>
      <c r="L745" t="s">
        <v>696</v>
      </c>
      <c r="M745">
        <v>0</v>
      </c>
      <c r="N745" t="s">
        <v>167</v>
      </c>
      <c r="O745" t="s">
        <v>167</v>
      </c>
      <c r="P745" t="s">
        <v>420</v>
      </c>
      <c r="Q745" t="s">
        <v>408</v>
      </c>
      <c r="R745" t="s">
        <v>1719</v>
      </c>
      <c r="S745">
        <v>2020</v>
      </c>
      <c r="T745">
        <v>6</v>
      </c>
      <c r="U745" t="s">
        <v>1746</v>
      </c>
      <c r="V745" t="s">
        <v>408</v>
      </c>
      <c r="W745">
        <v>0</v>
      </c>
      <c r="X745">
        <v>0</v>
      </c>
      <c r="Y745" t="s">
        <v>408</v>
      </c>
      <c r="Z745">
        <v>2020</v>
      </c>
      <c r="AA745">
        <v>0</v>
      </c>
      <c r="AB745" s="5">
        <v>0.12616346838199999</v>
      </c>
      <c r="AC745" s="5">
        <v>0.25232693676399998</v>
      </c>
      <c r="AD745" t="s">
        <v>408</v>
      </c>
      <c r="AE745" t="s">
        <v>152</v>
      </c>
      <c r="AF745" t="s">
        <v>408</v>
      </c>
      <c r="AG745" t="s">
        <v>411</v>
      </c>
      <c r="AH745" t="s">
        <v>408</v>
      </c>
      <c r="AI745" t="s">
        <v>408</v>
      </c>
      <c r="AJ745" t="s">
        <v>408</v>
      </c>
      <c r="AK745" t="s">
        <v>408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 s="58">
        <f t="shared" si="11"/>
        <v>1</v>
      </c>
      <c r="AU745" s="79" t="s">
        <v>1737</v>
      </c>
      <c r="AV745" t="s">
        <v>410</v>
      </c>
      <c r="AW745" t="s">
        <v>408</v>
      </c>
      <c r="AX745">
        <v>3</v>
      </c>
      <c r="AY745" t="s">
        <v>17</v>
      </c>
      <c r="AZ745" t="s">
        <v>408</v>
      </c>
    </row>
    <row r="746" spans="1:52" x14ac:dyDescent="0.3">
      <c r="A746">
        <v>735</v>
      </c>
      <c r="B746" t="s">
        <v>1747</v>
      </c>
      <c r="C746" t="s">
        <v>447</v>
      </c>
      <c r="D746" t="s">
        <v>1748</v>
      </c>
      <c r="E746" t="s">
        <v>417</v>
      </c>
      <c r="F746" t="s">
        <v>408</v>
      </c>
      <c r="G746">
        <v>201</v>
      </c>
      <c r="H746">
        <v>200</v>
      </c>
      <c r="I746" t="s">
        <v>1317</v>
      </c>
      <c r="J746">
        <v>101</v>
      </c>
      <c r="K746">
        <v>100</v>
      </c>
      <c r="L746" t="s">
        <v>905</v>
      </c>
      <c r="M746">
        <v>0</v>
      </c>
      <c r="N746" t="s">
        <v>170</v>
      </c>
      <c r="O746" t="s">
        <v>170</v>
      </c>
      <c r="P746" t="s">
        <v>420</v>
      </c>
      <c r="Q746" t="s">
        <v>408</v>
      </c>
      <c r="R746" t="s">
        <v>1719</v>
      </c>
      <c r="S746">
        <v>2020</v>
      </c>
      <c r="T746">
        <v>6</v>
      </c>
      <c r="U746" t="s">
        <v>408</v>
      </c>
      <c r="V746" t="s">
        <v>408</v>
      </c>
      <c r="W746">
        <v>0</v>
      </c>
      <c r="X746">
        <v>0</v>
      </c>
      <c r="Y746" t="s">
        <v>408</v>
      </c>
      <c r="Z746">
        <v>2020</v>
      </c>
      <c r="AA746">
        <v>0</v>
      </c>
      <c r="AB746" s="5">
        <v>8.3409362810900001E-2</v>
      </c>
      <c r="AC746" s="5">
        <v>0.16681872562200001</v>
      </c>
      <c r="AD746" t="s">
        <v>408</v>
      </c>
      <c r="AE746" t="s">
        <v>408</v>
      </c>
      <c r="AF746" t="s">
        <v>408</v>
      </c>
      <c r="AG746" t="s">
        <v>408</v>
      </c>
      <c r="AH746" t="s">
        <v>408</v>
      </c>
      <c r="AI746" t="s">
        <v>408</v>
      </c>
      <c r="AJ746" t="s">
        <v>408</v>
      </c>
      <c r="AK746" t="s">
        <v>408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 s="58">
        <f t="shared" si="11"/>
        <v>1</v>
      </c>
      <c r="AU746" s="79" t="s">
        <v>1712</v>
      </c>
      <c r="AV746" t="s">
        <v>410</v>
      </c>
      <c r="AW746" t="s">
        <v>408</v>
      </c>
      <c r="AX746">
        <v>3</v>
      </c>
      <c r="AY746" t="s">
        <v>17</v>
      </c>
      <c r="AZ746" t="s">
        <v>408</v>
      </c>
    </row>
    <row r="747" spans="1:52" x14ac:dyDescent="0.3">
      <c r="A747">
        <v>736</v>
      </c>
      <c r="B747" t="s">
        <v>1720</v>
      </c>
      <c r="C747" t="s">
        <v>154</v>
      </c>
      <c r="D747" t="s">
        <v>1721</v>
      </c>
      <c r="E747" t="s">
        <v>417</v>
      </c>
      <c r="F747" t="s">
        <v>408</v>
      </c>
      <c r="G747">
        <v>501</v>
      </c>
      <c r="H747">
        <v>500</v>
      </c>
      <c r="I747" t="s">
        <v>496</v>
      </c>
      <c r="J747">
        <v>1</v>
      </c>
      <c r="K747">
        <v>2</v>
      </c>
      <c r="L747" t="s">
        <v>877</v>
      </c>
      <c r="M747">
        <v>0</v>
      </c>
      <c r="N747" t="s">
        <v>167</v>
      </c>
      <c r="O747" t="s">
        <v>569</v>
      </c>
      <c r="P747" t="s">
        <v>403</v>
      </c>
      <c r="Q747" t="s">
        <v>408</v>
      </c>
      <c r="R747" t="s">
        <v>1719</v>
      </c>
      <c r="S747">
        <v>2020</v>
      </c>
      <c r="T747">
        <v>8</v>
      </c>
      <c r="U747" t="s">
        <v>408</v>
      </c>
      <c r="V747" t="s">
        <v>408</v>
      </c>
      <c r="W747">
        <v>0</v>
      </c>
      <c r="X747">
        <v>0</v>
      </c>
      <c r="Y747" t="s">
        <v>408</v>
      </c>
      <c r="Z747">
        <v>2020</v>
      </c>
      <c r="AA747">
        <v>0</v>
      </c>
      <c r="AB747" s="5">
        <v>0.59609230703500005</v>
      </c>
      <c r="AC747" s="5">
        <v>1.1921846140700001</v>
      </c>
      <c r="AD747" t="s">
        <v>408</v>
      </c>
      <c r="AE747" t="s">
        <v>408</v>
      </c>
      <c r="AF747" t="s">
        <v>408</v>
      </c>
      <c r="AG747" t="s">
        <v>408</v>
      </c>
      <c r="AH747" t="s">
        <v>408</v>
      </c>
      <c r="AI747" t="s">
        <v>408</v>
      </c>
      <c r="AJ747" t="s">
        <v>408</v>
      </c>
      <c r="AK747" t="s">
        <v>408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 s="58">
        <f t="shared" si="11"/>
        <v>1</v>
      </c>
      <c r="AU747" s="79" t="s">
        <v>1712</v>
      </c>
      <c r="AV747" t="s">
        <v>408</v>
      </c>
      <c r="AW747" t="s">
        <v>408</v>
      </c>
      <c r="AX747">
        <v>2</v>
      </c>
      <c r="AY747" t="s">
        <v>412</v>
      </c>
      <c r="AZ747" t="s">
        <v>400</v>
      </c>
    </row>
    <row r="748" spans="1:52" x14ac:dyDescent="0.3">
      <c r="A748">
        <v>737</v>
      </c>
      <c r="B748" t="s">
        <v>603</v>
      </c>
      <c r="C748" t="s">
        <v>447</v>
      </c>
      <c r="D748" t="s">
        <v>604</v>
      </c>
      <c r="E748" t="s">
        <v>417</v>
      </c>
      <c r="F748" t="s">
        <v>408</v>
      </c>
      <c r="G748">
        <v>1</v>
      </c>
      <c r="H748">
        <v>2</v>
      </c>
      <c r="I748" t="s">
        <v>877</v>
      </c>
      <c r="J748">
        <v>101</v>
      </c>
      <c r="K748">
        <v>100</v>
      </c>
      <c r="L748" t="s">
        <v>905</v>
      </c>
      <c r="M748">
        <v>0</v>
      </c>
      <c r="N748" t="s">
        <v>170</v>
      </c>
      <c r="O748" t="s">
        <v>170</v>
      </c>
      <c r="P748" t="s">
        <v>420</v>
      </c>
      <c r="Q748" t="s">
        <v>408</v>
      </c>
      <c r="R748" t="s">
        <v>1719</v>
      </c>
      <c r="S748">
        <v>2020</v>
      </c>
      <c r="T748">
        <v>8</v>
      </c>
      <c r="U748" t="s">
        <v>408</v>
      </c>
      <c r="V748" t="s">
        <v>408</v>
      </c>
      <c r="W748">
        <v>0</v>
      </c>
      <c r="X748">
        <v>0</v>
      </c>
      <c r="Y748" t="s">
        <v>408</v>
      </c>
      <c r="Z748">
        <v>2020</v>
      </c>
      <c r="AA748">
        <v>0</v>
      </c>
      <c r="AB748" s="5">
        <v>0.18063336921600001</v>
      </c>
      <c r="AC748" s="5">
        <v>0.36126673843200002</v>
      </c>
      <c r="AD748" t="s">
        <v>408</v>
      </c>
      <c r="AE748" t="s">
        <v>408</v>
      </c>
      <c r="AF748" t="s">
        <v>408</v>
      </c>
      <c r="AG748" t="s">
        <v>408</v>
      </c>
      <c r="AH748" t="s">
        <v>408</v>
      </c>
      <c r="AI748" t="s">
        <v>408</v>
      </c>
      <c r="AJ748" t="s">
        <v>408</v>
      </c>
      <c r="AK748" t="s">
        <v>408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 s="58">
        <f t="shared" si="11"/>
        <v>1</v>
      </c>
      <c r="AU748" s="79" t="s">
        <v>769</v>
      </c>
      <c r="AV748" s="78" t="s">
        <v>410</v>
      </c>
      <c r="AW748" t="s">
        <v>408</v>
      </c>
      <c r="AX748">
        <v>3</v>
      </c>
      <c r="AY748" t="s">
        <v>17</v>
      </c>
      <c r="AZ748" t="s">
        <v>408</v>
      </c>
    </row>
    <row r="749" spans="1:52" x14ac:dyDescent="0.3">
      <c r="A749">
        <v>738</v>
      </c>
      <c r="B749" t="s">
        <v>1638</v>
      </c>
      <c r="C749" t="s">
        <v>155</v>
      </c>
      <c r="D749" t="s">
        <v>1639</v>
      </c>
      <c r="E749" t="s">
        <v>417</v>
      </c>
      <c r="F749" t="s">
        <v>408</v>
      </c>
      <c r="G749">
        <v>401</v>
      </c>
      <c r="H749">
        <v>400</v>
      </c>
      <c r="I749" t="s">
        <v>882</v>
      </c>
      <c r="J749">
        <v>201</v>
      </c>
      <c r="K749">
        <v>200</v>
      </c>
      <c r="L749" t="s">
        <v>628</v>
      </c>
      <c r="M749">
        <v>0</v>
      </c>
      <c r="N749" t="s">
        <v>167</v>
      </c>
      <c r="O749" t="s">
        <v>167</v>
      </c>
      <c r="P749" t="s">
        <v>420</v>
      </c>
      <c r="Q749" t="s">
        <v>408</v>
      </c>
      <c r="R749" t="s">
        <v>1707</v>
      </c>
      <c r="S749">
        <v>2020</v>
      </c>
      <c r="T749">
        <v>0</v>
      </c>
      <c r="U749" t="s">
        <v>408</v>
      </c>
      <c r="V749" t="s">
        <v>408</v>
      </c>
      <c r="W749">
        <v>0</v>
      </c>
      <c r="X749">
        <v>0</v>
      </c>
      <c r="Y749" t="s">
        <v>408</v>
      </c>
      <c r="Z749">
        <v>2020</v>
      </c>
      <c r="AA749">
        <v>0</v>
      </c>
      <c r="AB749" s="5">
        <v>0.52844384003</v>
      </c>
      <c r="AC749" s="5">
        <v>1.05688768006</v>
      </c>
      <c r="AD749" t="s">
        <v>408</v>
      </c>
      <c r="AE749" t="s">
        <v>152</v>
      </c>
      <c r="AF749" t="s">
        <v>408</v>
      </c>
      <c r="AG749" t="s">
        <v>408</v>
      </c>
      <c r="AH749" t="s">
        <v>408</v>
      </c>
      <c r="AI749" t="s">
        <v>408</v>
      </c>
      <c r="AJ749" t="s">
        <v>408</v>
      </c>
      <c r="AK749" t="s">
        <v>408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 s="58">
        <f t="shared" si="11"/>
        <v>1</v>
      </c>
      <c r="AU749" s="79" t="s">
        <v>769</v>
      </c>
      <c r="AV749" s="78" t="s">
        <v>410</v>
      </c>
      <c r="AW749" t="s">
        <v>408</v>
      </c>
      <c r="AX749">
        <v>2</v>
      </c>
      <c r="AY749" t="s">
        <v>412</v>
      </c>
      <c r="AZ749" t="s">
        <v>408</v>
      </c>
    </row>
    <row r="750" spans="1:52" x14ac:dyDescent="0.3">
      <c r="A750">
        <v>739</v>
      </c>
      <c r="B750" t="s">
        <v>1638</v>
      </c>
      <c r="C750" t="s">
        <v>152</v>
      </c>
      <c r="D750" t="s">
        <v>1639</v>
      </c>
      <c r="E750" t="s">
        <v>417</v>
      </c>
      <c r="F750" t="s">
        <v>408</v>
      </c>
      <c r="G750">
        <v>201</v>
      </c>
      <c r="H750">
        <v>200</v>
      </c>
      <c r="I750" t="s">
        <v>628</v>
      </c>
      <c r="J750">
        <v>451</v>
      </c>
      <c r="K750">
        <v>450</v>
      </c>
      <c r="L750" t="s">
        <v>947</v>
      </c>
      <c r="M750">
        <v>0</v>
      </c>
      <c r="N750" t="s">
        <v>170</v>
      </c>
      <c r="O750" t="s">
        <v>170</v>
      </c>
      <c r="P750" t="s">
        <v>420</v>
      </c>
      <c r="Q750" t="s">
        <v>408</v>
      </c>
      <c r="R750" t="s">
        <v>1707</v>
      </c>
      <c r="S750">
        <v>2020</v>
      </c>
      <c r="T750">
        <v>0</v>
      </c>
      <c r="U750" t="s">
        <v>408</v>
      </c>
      <c r="V750" t="s">
        <v>408</v>
      </c>
      <c r="W750">
        <v>0</v>
      </c>
      <c r="X750">
        <v>0</v>
      </c>
      <c r="Y750" t="s">
        <v>408</v>
      </c>
      <c r="Z750">
        <v>2020</v>
      </c>
      <c r="AA750">
        <v>0</v>
      </c>
      <c r="AB750" s="5">
        <v>0.31730586340299999</v>
      </c>
      <c r="AC750" s="5">
        <v>0.63461172680599998</v>
      </c>
      <c r="AD750" t="s">
        <v>408</v>
      </c>
      <c r="AE750" t="s">
        <v>152</v>
      </c>
      <c r="AF750" t="s">
        <v>408</v>
      </c>
      <c r="AG750" t="s">
        <v>408</v>
      </c>
      <c r="AH750" t="s">
        <v>408</v>
      </c>
      <c r="AI750" t="s">
        <v>408</v>
      </c>
      <c r="AJ750" t="s">
        <v>408</v>
      </c>
      <c r="AK750" t="s">
        <v>408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 s="58">
        <f t="shared" si="11"/>
        <v>1</v>
      </c>
      <c r="AU750" s="79" t="s">
        <v>769</v>
      </c>
      <c r="AV750" s="78" t="s">
        <v>410</v>
      </c>
      <c r="AW750" t="s">
        <v>408</v>
      </c>
      <c r="AX750">
        <v>3</v>
      </c>
      <c r="AY750" t="s">
        <v>412</v>
      </c>
      <c r="AZ750" t="s">
        <v>408</v>
      </c>
    </row>
    <row r="751" spans="1:52" x14ac:dyDescent="0.3">
      <c r="A751">
        <v>740</v>
      </c>
      <c r="B751" t="s">
        <v>489</v>
      </c>
      <c r="C751" t="s">
        <v>152</v>
      </c>
      <c r="D751" t="s">
        <v>490</v>
      </c>
      <c r="E751" t="s">
        <v>460</v>
      </c>
      <c r="F751" t="s">
        <v>408</v>
      </c>
      <c r="G751">
        <v>2900</v>
      </c>
      <c r="H751">
        <v>2901</v>
      </c>
      <c r="I751" t="s">
        <v>1749</v>
      </c>
      <c r="J751">
        <v>3001</v>
      </c>
      <c r="K751">
        <v>3000</v>
      </c>
      <c r="L751" t="s">
        <v>484</v>
      </c>
      <c r="M751">
        <v>3</v>
      </c>
      <c r="N751" t="s">
        <v>170</v>
      </c>
      <c r="O751" t="s">
        <v>170</v>
      </c>
      <c r="P751" t="s">
        <v>420</v>
      </c>
      <c r="Q751" t="s">
        <v>408</v>
      </c>
      <c r="R751" t="s">
        <v>422</v>
      </c>
      <c r="S751">
        <v>2011</v>
      </c>
      <c r="T751">
        <v>9</v>
      </c>
      <c r="U751" t="s">
        <v>408</v>
      </c>
      <c r="V751" t="s">
        <v>556</v>
      </c>
      <c r="W751">
        <v>2013</v>
      </c>
      <c r="X751">
        <v>7</v>
      </c>
      <c r="Y751" t="s">
        <v>370</v>
      </c>
      <c r="Z751">
        <v>2013</v>
      </c>
      <c r="AA751">
        <v>2013</v>
      </c>
      <c r="AB751" s="5">
        <v>8.7828058992200003E-2</v>
      </c>
      <c r="AC751" s="5">
        <v>0.17565611798399999</v>
      </c>
      <c r="AD751" t="s">
        <v>408</v>
      </c>
      <c r="AE751" t="s">
        <v>152</v>
      </c>
      <c r="AF751" t="s">
        <v>408</v>
      </c>
      <c r="AG751" t="s">
        <v>408</v>
      </c>
      <c r="AH751" t="s">
        <v>408</v>
      </c>
      <c r="AI751" t="s">
        <v>408</v>
      </c>
      <c r="AJ751" t="s">
        <v>408</v>
      </c>
      <c r="AK751" t="s">
        <v>408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 s="58">
        <f t="shared" si="11"/>
        <v>1</v>
      </c>
      <c r="AU751" s="79" t="s">
        <v>769</v>
      </c>
      <c r="AV751" s="78" t="s">
        <v>410</v>
      </c>
      <c r="AW751" t="s">
        <v>408</v>
      </c>
      <c r="AX751">
        <v>2</v>
      </c>
      <c r="AY751" t="s">
        <v>412</v>
      </c>
      <c r="AZ751" t="s">
        <v>408</v>
      </c>
    </row>
    <row r="752" spans="1:52" x14ac:dyDescent="0.3">
      <c r="A752">
        <v>741</v>
      </c>
      <c r="B752" t="s">
        <v>489</v>
      </c>
      <c r="C752" t="s">
        <v>152</v>
      </c>
      <c r="D752" t="s">
        <v>490</v>
      </c>
      <c r="E752" t="s">
        <v>460</v>
      </c>
      <c r="F752" t="s">
        <v>408</v>
      </c>
      <c r="G752">
        <v>3375</v>
      </c>
      <c r="H752">
        <v>3376</v>
      </c>
      <c r="I752" t="s">
        <v>625</v>
      </c>
      <c r="J752">
        <v>3400</v>
      </c>
      <c r="K752">
        <v>3401</v>
      </c>
      <c r="L752" t="s">
        <v>804</v>
      </c>
      <c r="M752">
        <v>3</v>
      </c>
      <c r="N752" t="s">
        <v>170</v>
      </c>
      <c r="O752" t="s">
        <v>170</v>
      </c>
      <c r="P752" t="s">
        <v>420</v>
      </c>
      <c r="Q752" t="s">
        <v>408</v>
      </c>
      <c r="R752" t="s">
        <v>422</v>
      </c>
      <c r="S752">
        <v>2011</v>
      </c>
      <c r="T752">
        <v>9</v>
      </c>
      <c r="U752" t="s">
        <v>408</v>
      </c>
      <c r="V752" t="s">
        <v>556</v>
      </c>
      <c r="W752">
        <v>2013</v>
      </c>
      <c r="X752">
        <v>7</v>
      </c>
      <c r="Y752" t="s">
        <v>370</v>
      </c>
      <c r="Z752">
        <v>2013</v>
      </c>
      <c r="AA752">
        <v>2013</v>
      </c>
      <c r="AB752" s="5">
        <v>0.25989816093599999</v>
      </c>
      <c r="AC752" s="5">
        <v>0.51979632187199998</v>
      </c>
      <c r="AD752" t="s">
        <v>408</v>
      </c>
      <c r="AE752" t="s">
        <v>152</v>
      </c>
      <c r="AF752" t="s">
        <v>408</v>
      </c>
      <c r="AG752" t="s">
        <v>408</v>
      </c>
      <c r="AH752" t="s">
        <v>408</v>
      </c>
      <c r="AI752" t="s">
        <v>408</v>
      </c>
      <c r="AJ752" t="s">
        <v>408</v>
      </c>
      <c r="AK752" t="s">
        <v>408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 s="58">
        <f t="shared" si="11"/>
        <v>1</v>
      </c>
      <c r="AU752" s="79" t="s">
        <v>769</v>
      </c>
      <c r="AV752" s="78" t="s">
        <v>410</v>
      </c>
      <c r="AW752" t="s">
        <v>408</v>
      </c>
      <c r="AX752">
        <v>2</v>
      </c>
      <c r="AY752" t="s">
        <v>412</v>
      </c>
      <c r="AZ752" t="s">
        <v>408</v>
      </c>
    </row>
    <row r="753" spans="1:52" x14ac:dyDescent="0.3">
      <c r="A753">
        <v>742</v>
      </c>
      <c r="B753" t="s">
        <v>1750</v>
      </c>
      <c r="C753" t="s">
        <v>152</v>
      </c>
      <c r="D753" t="s">
        <v>1751</v>
      </c>
      <c r="E753" t="s">
        <v>460</v>
      </c>
      <c r="F753" t="s">
        <v>408</v>
      </c>
      <c r="G753">
        <v>6625</v>
      </c>
      <c r="H753">
        <v>6626</v>
      </c>
      <c r="I753" t="s">
        <v>1752</v>
      </c>
      <c r="J753">
        <v>6701</v>
      </c>
      <c r="K753">
        <v>6700</v>
      </c>
      <c r="L753" t="s">
        <v>1753</v>
      </c>
      <c r="M753">
        <v>0</v>
      </c>
      <c r="N753" t="s">
        <v>168</v>
      </c>
      <c r="O753" t="s">
        <v>168</v>
      </c>
      <c r="P753" t="s">
        <v>420</v>
      </c>
      <c r="Q753" t="s">
        <v>408</v>
      </c>
      <c r="R753" t="s">
        <v>408</v>
      </c>
      <c r="S753">
        <v>2019</v>
      </c>
      <c r="T753">
        <v>0</v>
      </c>
      <c r="U753" t="s">
        <v>408</v>
      </c>
      <c r="V753" t="s">
        <v>408</v>
      </c>
      <c r="W753">
        <v>0</v>
      </c>
      <c r="X753">
        <v>0</v>
      </c>
      <c r="Y753" t="s">
        <v>408</v>
      </c>
      <c r="Z753">
        <v>0</v>
      </c>
      <c r="AA753">
        <v>0</v>
      </c>
      <c r="AB753" s="5">
        <v>8.1474580753699996E-2</v>
      </c>
      <c r="AC753" s="5">
        <v>0.16294916150700001</v>
      </c>
      <c r="AD753" t="s">
        <v>408</v>
      </c>
      <c r="AE753" t="s">
        <v>152</v>
      </c>
      <c r="AF753" t="s">
        <v>408</v>
      </c>
      <c r="AG753" t="s">
        <v>408</v>
      </c>
      <c r="AH753" t="s">
        <v>408</v>
      </c>
      <c r="AI753" t="s">
        <v>408</v>
      </c>
      <c r="AJ753" t="s">
        <v>408</v>
      </c>
      <c r="AK753" t="s">
        <v>408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s="58">
        <f t="shared" si="11"/>
        <v>1</v>
      </c>
      <c r="AU753" s="79" t="s">
        <v>1737</v>
      </c>
      <c r="AV753" t="s">
        <v>410</v>
      </c>
      <c r="AW753" t="s">
        <v>408</v>
      </c>
      <c r="AX753">
        <v>3</v>
      </c>
      <c r="AY753" t="s">
        <v>17</v>
      </c>
      <c r="AZ753" t="s">
        <v>408</v>
      </c>
    </row>
    <row r="754" spans="1:52" x14ac:dyDescent="0.3">
      <c r="A754">
        <v>743</v>
      </c>
      <c r="B754" t="s">
        <v>1754</v>
      </c>
      <c r="C754" t="s">
        <v>154</v>
      </c>
      <c r="D754" t="s">
        <v>1755</v>
      </c>
      <c r="E754" t="s">
        <v>460</v>
      </c>
      <c r="F754" t="s">
        <v>408</v>
      </c>
      <c r="G754">
        <v>1301</v>
      </c>
      <c r="H754">
        <v>1300</v>
      </c>
      <c r="I754" t="s">
        <v>516</v>
      </c>
      <c r="J754">
        <v>1401</v>
      </c>
      <c r="K754">
        <v>1400</v>
      </c>
      <c r="L754" t="s">
        <v>1345</v>
      </c>
      <c r="M754">
        <v>0</v>
      </c>
      <c r="N754" t="s">
        <v>168</v>
      </c>
      <c r="O754" t="s">
        <v>168</v>
      </c>
      <c r="P754" t="s">
        <v>420</v>
      </c>
      <c r="Q754" t="s">
        <v>408</v>
      </c>
      <c r="R754" t="s">
        <v>408</v>
      </c>
      <c r="S754">
        <v>2019</v>
      </c>
      <c r="T754">
        <v>0</v>
      </c>
      <c r="U754" t="s">
        <v>408</v>
      </c>
      <c r="V754" t="s">
        <v>408</v>
      </c>
      <c r="W754">
        <v>0</v>
      </c>
      <c r="X754">
        <v>0</v>
      </c>
      <c r="Y754" t="s">
        <v>408</v>
      </c>
      <c r="Z754">
        <v>0</v>
      </c>
      <c r="AA754">
        <v>0</v>
      </c>
      <c r="AB754" s="5">
        <v>0.10819671773800001</v>
      </c>
      <c r="AC754" s="5">
        <v>0.21639343547600001</v>
      </c>
      <c r="AD754" t="s">
        <v>408</v>
      </c>
      <c r="AE754" t="s">
        <v>152</v>
      </c>
      <c r="AF754" t="s">
        <v>408</v>
      </c>
      <c r="AG754" t="s">
        <v>408</v>
      </c>
      <c r="AH754" t="s">
        <v>408</v>
      </c>
      <c r="AI754" t="s">
        <v>408</v>
      </c>
      <c r="AJ754" t="s">
        <v>408</v>
      </c>
      <c r="AK754" t="s">
        <v>408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s="58">
        <f t="shared" si="11"/>
        <v>1</v>
      </c>
      <c r="AU754" s="79" t="s">
        <v>1737</v>
      </c>
      <c r="AV754" s="78" t="s">
        <v>410</v>
      </c>
      <c r="AW754" t="s">
        <v>408</v>
      </c>
      <c r="AX754">
        <v>3</v>
      </c>
      <c r="AY754" t="s">
        <v>17</v>
      </c>
      <c r="AZ754" t="s">
        <v>408</v>
      </c>
    </row>
    <row r="755" spans="1:52" x14ac:dyDescent="0.3">
      <c r="A755">
        <v>744</v>
      </c>
      <c r="B755" t="s">
        <v>667</v>
      </c>
      <c r="C755" t="s">
        <v>154</v>
      </c>
      <c r="D755" t="s">
        <v>668</v>
      </c>
      <c r="E755" t="s">
        <v>460</v>
      </c>
      <c r="F755" t="s">
        <v>408</v>
      </c>
      <c r="G755">
        <v>5601</v>
      </c>
      <c r="H755">
        <v>5600</v>
      </c>
      <c r="I755" t="s">
        <v>1136</v>
      </c>
      <c r="J755">
        <v>5625</v>
      </c>
      <c r="K755">
        <v>5626</v>
      </c>
      <c r="L755" t="s">
        <v>781</v>
      </c>
      <c r="M755">
        <v>3</v>
      </c>
      <c r="N755" t="s">
        <v>167</v>
      </c>
      <c r="O755" t="s">
        <v>569</v>
      </c>
      <c r="P755" t="s">
        <v>403</v>
      </c>
      <c r="Q755" t="s">
        <v>408</v>
      </c>
      <c r="R755" t="s">
        <v>782</v>
      </c>
      <c r="S755">
        <v>2021</v>
      </c>
      <c r="T755">
        <v>10</v>
      </c>
      <c r="U755" t="s">
        <v>783</v>
      </c>
      <c r="V755" t="s">
        <v>408</v>
      </c>
      <c r="W755">
        <v>0</v>
      </c>
      <c r="X755">
        <v>0</v>
      </c>
      <c r="Y755" t="s">
        <v>408</v>
      </c>
      <c r="Z755">
        <v>2021</v>
      </c>
      <c r="AA755">
        <v>0</v>
      </c>
      <c r="AB755" s="5">
        <v>6.2647052570699996E-2</v>
      </c>
      <c r="AC755" s="5">
        <v>0.12529410514100001</v>
      </c>
      <c r="AD755" t="s">
        <v>408</v>
      </c>
      <c r="AE755" t="s">
        <v>152</v>
      </c>
      <c r="AF755" t="s">
        <v>408</v>
      </c>
      <c r="AG755" t="s">
        <v>152</v>
      </c>
      <c r="AH755" t="s">
        <v>408</v>
      </c>
      <c r="AI755" t="s">
        <v>408</v>
      </c>
      <c r="AJ755" t="s">
        <v>408</v>
      </c>
      <c r="AK755" t="s">
        <v>408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 s="58">
        <f t="shared" si="11"/>
        <v>1</v>
      </c>
      <c r="AU755" s="79" t="s">
        <v>784</v>
      </c>
      <c r="AV755" s="78" t="s">
        <v>410</v>
      </c>
      <c r="AW755" t="s">
        <v>152</v>
      </c>
      <c r="AX755">
        <v>2</v>
      </c>
      <c r="AY755" t="s">
        <v>412</v>
      </c>
      <c r="AZ755" t="s">
        <v>408</v>
      </c>
    </row>
    <row r="756" spans="1:52" x14ac:dyDescent="0.3">
      <c r="A756">
        <v>745</v>
      </c>
      <c r="B756" t="s">
        <v>1282</v>
      </c>
      <c r="C756" t="s">
        <v>154</v>
      </c>
      <c r="D756" t="s">
        <v>908</v>
      </c>
      <c r="E756" t="s">
        <v>466</v>
      </c>
      <c r="F756" t="s">
        <v>447</v>
      </c>
      <c r="G756">
        <v>2401</v>
      </c>
      <c r="H756">
        <v>2400</v>
      </c>
      <c r="I756" t="s">
        <v>619</v>
      </c>
      <c r="J756">
        <v>2501</v>
      </c>
      <c r="K756">
        <v>2500</v>
      </c>
      <c r="L756" t="s">
        <v>1273</v>
      </c>
      <c r="M756">
        <v>4</v>
      </c>
      <c r="N756" t="s">
        <v>165</v>
      </c>
      <c r="O756" t="s">
        <v>165</v>
      </c>
      <c r="P756" t="s">
        <v>403</v>
      </c>
      <c r="Q756" t="s">
        <v>1284</v>
      </c>
      <c r="R756" t="s">
        <v>562</v>
      </c>
      <c r="S756">
        <v>2014</v>
      </c>
      <c r="T756">
        <v>10</v>
      </c>
      <c r="U756" t="s">
        <v>842</v>
      </c>
      <c r="V756" t="s">
        <v>408</v>
      </c>
      <c r="W756">
        <v>0</v>
      </c>
      <c r="X756">
        <v>0</v>
      </c>
      <c r="Y756" t="s">
        <v>408</v>
      </c>
      <c r="Z756">
        <v>2014</v>
      </c>
      <c r="AA756">
        <v>2011</v>
      </c>
      <c r="AB756" s="5">
        <v>0.105655078527</v>
      </c>
      <c r="AC756" s="5">
        <v>0.105655078527</v>
      </c>
      <c r="AD756" t="s">
        <v>408</v>
      </c>
      <c r="AE756" t="s">
        <v>411</v>
      </c>
      <c r="AF756" t="s">
        <v>447</v>
      </c>
      <c r="AG756" t="s">
        <v>152</v>
      </c>
      <c r="AH756" t="s">
        <v>408</v>
      </c>
      <c r="AI756" t="s">
        <v>408</v>
      </c>
      <c r="AJ756" t="s">
        <v>408</v>
      </c>
      <c r="AK756" t="s">
        <v>408</v>
      </c>
      <c r="AL756">
        <v>0</v>
      </c>
      <c r="AM756">
        <v>0</v>
      </c>
      <c r="AN756">
        <v>0</v>
      </c>
      <c r="AO756">
        <v>0.7</v>
      </c>
      <c r="AP756">
        <v>0</v>
      </c>
      <c r="AQ756">
        <v>0</v>
      </c>
      <c r="AR756">
        <v>0</v>
      </c>
      <c r="AS756">
        <v>0.3</v>
      </c>
      <c r="AT756" s="58">
        <f t="shared" si="11"/>
        <v>1</v>
      </c>
      <c r="AU756" t="s">
        <v>592</v>
      </c>
      <c r="AV756" t="s">
        <v>410</v>
      </c>
      <c r="AW756" t="s">
        <v>152</v>
      </c>
      <c r="AX756">
        <v>2</v>
      </c>
      <c r="AY756" t="s">
        <v>412</v>
      </c>
      <c r="AZ756" t="s">
        <v>408</v>
      </c>
    </row>
    <row r="757" spans="1:52" x14ac:dyDescent="0.3">
      <c r="A757">
        <v>746</v>
      </c>
      <c r="B757" t="s">
        <v>1289</v>
      </c>
      <c r="C757" t="s">
        <v>154</v>
      </c>
      <c r="D757" t="s">
        <v>1290</v>
      </c>
      <c r="E757" t="s">
        <v>417</v>
      </c>
      <c r="F757" t="s">
        <v>408</v>
      </c>
      <c r="G757">
        <v>1301</v>
      </c>
      <c r="H757">
        <v>1300</v>
      </c>
      <c r="I757" t="s">
        <v>647</v>
      </c>
      <c r="J757">
        <v>1601</v>
      </c>
      <c r="K757">
        <v>1600</v>
      </c>
      <c r="L757" t="s">
        <v>545</v>
      </c>
      <c r="M757">
        <v>4</v>
      </c>
      <c r="N757" t="s">
        <v>165</v>
      </c>
      <c r="O757" t="s">
        <v>165</v>
      </c>
      <c r="P757" t="s">
        <v>420</v>
      </c>
      <c r="Q757" t="s">
        <v>1291</v>
      </c>
      <c r="R757" t="s">
        <v>703</v>
      </c>
      <c r="S757">
        <v>2014</v>
      </c>
      <c r="T757">
        <v>10</v>
      </c>
      <c r="U757" t="s">
        <v>408</v>
      </c>
      <c r="V757" t="s">
        <v>408</v>
      </c>
      <c r="W757">
        <v>0</v>
      </c>
      <c r="X757">
        <v>0</v>
      </c>
      <c r="Y757" t="s">
        <v>408</v>
      </c>
      <c r="Z757">
        <v>2014</v>
      </c>
      <c r="AA757">
        <v>0</v>
      </c>
      <c r="AB757" s="5">
        <v>0.36901886435300002</v>
      </c>
      <c r="AC757" s="5">
        <v>0.73803772870600004</v>
      </c>
      <c r="AD757" t="s">
        <v>408</v>
      </c>
      <c r="AE757" t="s">
        <v>152</v>
      </c>
      <c r="AF757" t="s">
        <v>408</v>
      </c>
      <c r="AG757" t="s">
        <v>408</v>
      </c>
      <c r="AH757" t="s">
        <v>408</v>
      </c>
      <c r="AI757" t="s">
        <v>408</v>
      </c>
      <c r="AJ757" t="s">
        <v>408</v>
      </c>
      <c r="AK757" t="s">
        <v>408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 s="58">
        <f t="shared" si="11"/>
        <v>1</v>
      </c>
      <c r="AU757" t="s">
        <v>592</v>
      </c>
      <c r="AV757" s="78" t="s">
        <v>410</v>
      </c>
      <c r="AW757" t="s">
        <v>152</v>
      </c>
      <c r="AX757">
        <v>3</v>
      </c>
      <c r="AY757" t="s">
        <v>412</v>
      </c>
      <c r="AZ757" t="s">
        <v>408</v>
      </c>
    </row>
    <row r="758" spans="1:52" x14ac:dyDescent="0.3">
      <c r="A758">
        <v>747</v>
      </c>
      <c r="B758" t="s">
        <v>1289</v>
      </c>
      <c r="C758" t="s">
        <v>154</v>
      </c>
      <c r="D758" t="s">
        <v>1290</v>
      </c>
      <c r="E758" t="s">
        <v>417</v>
      </c>
      <c r="F758" t="s">
        <v>408</v>
      </c>
      <c r="G758">
        <v>801</v>
      </c>
      <c r="H758">
        <v>800</v>
      </c>
      <c r="I758" t="s">
        <v>502</v>
      </c>
      <c r="J758">
        <v>701</v>
      </c>
      <c r="K758">
        <v>700</v>
      </c>
      <c r="L758" t="s">
        <v>1756</v>
      </c>
      <c r="M758">
        <v>4</v>
      </c>
      <c r="N758" t="s">
        <v>165</v>
      </c>
      <c r="O758" t="s">
        <v>165</v>
      </c>
      <c r="P758" t="s">
        <v>420</v>
      </c>
      <c r="Q758" t="s">
        <v>1291</v>
      </c>
      <c r="R758" t="s">
        <v>703</v>
      </c>
      <c r="S758">
        <v>2014</v>
      </c>
      <c r="T758">
        <v>10</v>
      </c>
      <c r="U758" t="s">
        <v>408</v>
      </c>
      <c r="V758" t="s">
        <v>408</v>
      </c>
      <c r="W758">
        <v>0</v>
      </c>
      <c r="X758">
        <v>0</v>
      </c>
      <c r="Y758" t="s">
        <v>408</v>
      </c>
      <c r="Z758">
        <v>2014</v>
      </c>
      <c r="AA758">
        <v>0</v>
      </c>
      <c r="AB758" s="5">
        <v>8.5037032142800006E-2</v>
      </c>
      <c r="AC758" s="5">
        <v>0.170074064286</v>
      </c>
      <c r="AD758" t="s">
        <v>408</v>
      </c>
      <c r="AE758" t="s">
        <v>152</v>
      </c>
      <c r="AF758" t="s">
        <v>408</v>
      </c>
      <c r="AG758" t="s">
        <v>408</v>
      </c>
      <c r="AH758" t="s">
        <v>408</v>
      </c>
      <c r="AI758" t="s">
        <v>408</v>
      </c>
      <c r="AJ758" t="s">
        <v>408</v>
      </c>
      <c r="AK758" t="s">
        <v>408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 s="58">
        <f t="shared" si="11"/>
        <v>1</v>
      </c>
      <c r="AU758" t="s">
        <v>592</v>
      </c>
      <c r="AV758" s="78" t="s">
        <v>410</v>
      </c>
      <c r="AW758" t="s">
        <v>152</v>
      </c>
      <c r="AX758">
        <v>2</v>
      </c>
      <c r="AY758" t="s">
        <v>412</v>
      </c>
      <c r="AZ758" t="s">
        <v>408</v>
      </c>
    </row>
    <row r="759" spans="1:52" x14ac:dyDescent="0.3">
      <c r="A759">
        <v>748</v>
      </c>
      <c r="B759" t="s">
        <v>911</v>
      </c>
      <c r="C759" t="s">
        <v>154</v>
      </c>
      <c r="D759" t="s">
        <v>912</v>
      </c>
      <c r="E759" t="s">
        <v>417</v>
      </c>
      <c r="F759" t="s">
        <v>408</v>
      </c>
      <c r="G759">
        <v>2001</v>
      </c>
      <c r="H759">
        <v>2000</v>
      </c>
      <c r="I759" t="s">
        <v>418</v>
      </c>
      <c r="J759">
        <v>2201</v>
      </c>
      <c r="K759">
        <v>2200</v>
      </c>
      <c r="L759" t="s">
        <v>583</v>
      </c>
      <c r="M759">
        <v>4</v>
      </c>
      <c r="N759" t="s">
        <v>167</v>
      </c>
      <c r="O759" t="s">
        <v>167</v>
      </c>
      <c r="P759" t="s">
        <v>420</v>
      </c>
      <c r="Q759" t="s">
        <v>408</v>
      </c>
      <c r="R759" t="s">
        <v>497</v>
      </c>
      <c r="S759">
        <v>2003</v>
      </c>
      <c r="T759">
        <v>6</v>
      </c>
      <c r="U759" t="s">
        <v>408</v>
      </c>
      <c r="V759" t="s">
        <v>494</v>
      </c>
      <c r="W759">
        <v>2018</v>
      </c>
      <c r="X759">
        <v>9</v>
      </c>
      <c r="Y759" t="s">
        <v>408</v>
      </c>
      <c r="Z759">
        <v>2018</v>
      </c>
      <c r="AA759">
        <v>2006</v>
      </c>
      <c r="AB759">
        <v>0.234715546804</v>
      </c>
      <c r="AC759">
        <v>0.46943109360800001</v>
      </c>
      <c r="AD759" t="s">
        <v>408</v>
      </c>
      <c r="AE759" t="s">
        <v>152</v>
      </c>
      <c r="AF759" t="s">
        <v>408</v>
      </c>
      <c r="AG759" t="s">
        <v>408</v>
      </c>
      <c r="AH759" t="s">
        <v>408</v>
      </c>
      <c r="AI759" t="s">
        <v>408</v>
      </c>
      <c r="AJ759" t="s">
        <v>408</v>
      </c>
      <c r="AK759" t="s">
        <v>408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 s="58">
        <f t="shared" si="11"/>
        <v>1</v>
      </c>
      <c r="AU759" t="s">
        <v>592</v>
      </c>
      <c r="AV759" t="s">
        <v>410</v>
      </c>
      <c r="AW759" t="s">
        <v>408</v>
      </c>
      <c r="AX759">
        <v>2</v>
      </c>
      <c r="AY759" t="s">
        <v>412</v>
      </c>
      <c r="AZ759" t="s">
        <v>408</v>
      </c>
    </row>
    <row r="760" spans="1:52" x14ac:dyDescent="0.3">
      <c r="A760">
        <v>749</v>
      </c>
      <c r="B760" t="s">
        <v>1037</v>
      </c>
      <c r="C760" t="s">
        <v>152</v>
      </c>
      <c r="D760" t="s">
        <v>1038</v>
      </c>
      <c r="E760" t="s">
        <v>417</v>
      </c>
      <c r="F760" t="s">
        <v>152</v>
      </c>
      <c r="G760">
        <v>726</v>
      </c>
      <c r="H760">
        <v>725</v>
      </c>
      <c r="I760" t="s">
        <v>1039</v>
      </c>
      <c r="J760">
        <v>801</v>
      </c>
      <c r="K760">
        <v>800</v>
      </c>
      <c r="L760" t="s">
        <v>554</v>
      </c>
      <c r="M760">
        <v>4</v>
      </c>
      <c r="N760" t="s">
        <v>165</v>
      </c>
      <c r="O760" t="s">
        <v>165</v>
      </c>
      <c r="P760" t="s">
        <v>414</v>
      </c>
      <c r="Q760" t="s">
        <v>1040</v>
      </c>
      <c r="R760" t="s">
        <v>482</v>
      </c>
      <c r="S760">
        <v>2017</v>
      </c>
      <c r="T760">
        <v>11</v>
      </c>
      <c r="U760" t="s">
        <v>370</v>
      </c>
      <c r="V760" t="s">
        <v>487</v>
      </c>
      <c r="W760">
        <v>2020</v>
      </c>
      <c r="X760">
        <v>0</v>
      </c>
      <c r="Y760" t="s">
        <v>408</v>
      </c>
      <c r="Z760">
        <v>2020</v>
      </c>
      <c r="AA760">
        <v>2017</v>
      </c>
      <c r="AB760">
        <v>6.8678689256799999E-2</v>
      </c>
      <c r="AC760">
        <v>6.8678689256799999E-2</v>
      </c>
      <c r="AD760" t="s">
        <v>408</v>
      </c>
      <c r="AE760" t="s">
        <v>411</v>
      </c>
      <c r="AF760" t="s">
        <v>152</v>
      </c>
      <c r="AG760" t="s">
        <v>152</v>
      </c>
      <c r="AH760" t="s">
        <v>408</v>
      </c>
      <c r="AI760" t="s">
        <v>408</v>
      </c>
      <c r="AJ760" t="s">
        <v>408</v>
      </c>
      <c r="AK760" t="s">
        <v>408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 s="58">
        <f t="shared" si="11"/>
        <v>1</v>
      </c>
      <c r="AU760" t="s">
        <v>488</v>
      </c>
      <c r="AV760" t="s">
        <v>410</v>
      </c>
      <c r="AW760" t="s">
        <v>152</v>
      </c>
      <c r="AX760">
        <v>2</v>
      </c>
      <c r="AY760" t="s">
        <v>412</v>
      </c>
      <c r="AZ760" t="s">
        <v>408</v>
      </c>
    </row>
    <row r="761" spans="1:52" x14ac:dyDescent="0.3">
      <c r="A761">
        <v>750</v>
      </c>
      <c r="B761" t="s">
        <v>464</v>
      </c>
      <c r="C761" t="s">
        <v>154</v>
      </c>
      <c r="D761" t="s">
        <v>465</v>
      </c>
      <c r="E761" t="s">
        <v>466</v>
      </c>
      <c r="F761" t="s">
        <v>447</v>
      </c>
      <c r="G761">
        <v>1601</v>
      </c>
      <c r="H761">
        <v>1600</v>
      </c>
      <c r="I761" t="s">
        <v>813</v>
      </c>
      <c r="J761">
        <v>1501</v>
      </c>
      <c r="K761">
        <v>1500</v>
      </c>
      <c r="L761" t="s">
        <v>1473</v>
      </c>
      <c r="M761">
        <v>4</v>
      </c>
      <c r="N761" t="s">
        <v>165</v>
      </c>
      <c r="O761" t="s">
        <v>165</v>
      </c>
      <c r="P761" t="s">
        <v>414</v>
      </c>
      <c r="Q761" t="s">
        <v>1472</v>
      </c>
      <c r="R761" t="s">
        <v>445</v>
      </c>
      <c r="S761">
        <v>2012</v>
      </c>
      <c r="T761">
        <v>12</v>
      </c>
      <c r="U761" t="s">
        <v>452</v>
      </c>
      <c r="V761" t="s">
        <v>487</v>
      </c>
      <c r="W761">
        <v>2020</v>
      </c>
      <c r="X761">
        <v>0</v>
      </c>
      <c r="Y761" t="s">
        <v>408</v>
      </c>
      <c r="Z761">
        <v>2020</v>
      </c>
      <c r="AA761">
        <v>0</v>
      </c>
      <c r="AB761">
        <v>0.122286614494</v>
      </c>
      <c r="AC761">
        <v>0.122286614494</v>
      </c>
      <c r="AD761" t="s">
        <v>408</v>
      </c>
      <c r="AE761" t="s">
        <v>411</v>
      </c>
      <c r="AF761" t="s">
        <v>447</v>
      </c>
      <c r="AG761" t="s">
        <v>152</v>
      </c>
      <c r="AH761" t="s">
        <v>408</v>
      </c>
      <c r="AI761" t="s">
        <v>408</v>
      </c>
      <c r="AJ761" t="s">
        <v>408</v>
      </c>
      <c r="AK761" t="s">
        <v>408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 s="58">
        <f t="shared" si="11"/>
        <v>1</v>
      </c>
      <c r="AU761" t="s">
        <v>488</v>
      </c>
      <c r="AV761" t="s">
        <v>410</v>
      </c>
      <c r="AW761" t="s">
        <v>1554</v>
      </c>
      <c r="AX761">
        <v>2</v>
      </c>
      <c r="AY761" t="s">
        <v>412</v>
      </c>
      <c r="AZ761" t="s">
        <v>408</v>
      </c>
    </row>
    <row r="762" spans="1:52" x14ac:dyDescent="0.3">
      <c r="A762">
        <v>751</v>
      </c>
      <c r="B762" t="s">
        <v>709</v>
      </c>
      <c r="C762" t="s">
        <v>154</v>
      </c>
      <c r="D762" t="s">
        <v>710</v>
      </c>
      <c r="E762" t="s">
        <v>426</v>
      </c>
      <c r="F762" t="s">
        <v>408</v>
      </c>
      <c r="G762">
        <v>2400</v>
      </c>
      <c r="H762">
        <v>2401</v>
      </c>
      <c r="I762" t="s">
        <v>619</v>
      </c>
      <c r="J762">
        <v>2000</v>
      </c>
      <c r="K762">
        <v>2001</v>
      </c>
      <c r="L762" t="s">
        <v>435</v>
      </c>
      <c r="M762">
        <v>2</v>
      </c>
      <c r="N762" t="s">
        <v>167</v>
      </c>
      <c r="O762" t="s">
        <v>167</v>
      </c>
      <c r="P762" t="s">
        <v>414</v>
      </c>
      <c r="Q762" t="s">
        <v>408</v>
      </c>
      <c r="R762" t="s">
        <v>1051</v>
      </c>
      <c r="S762">
        <v>2006</v>
      </c>
      <c r="T762">
        <v>10</v>
      </c>
      <c r="U762" t="s">
        <v>408</v>
      </c>
      <c r="V762" t="s">
        <v>487</v>
      </c>
      <c r="W762">
        <v>2020</v>
      </c>
      <c r="X762">
        <v>0</v>
      </c>
      <c r="Y762" t="s">
        <v>408</v>
      </c>
      <c r="Z762">
        <v>2020</v>
      </c>
      <c r="AA762">
        <v>2014</v>
      </c>
      <c r="AB762">
        <v>0.50079499470199995</v>
      </c>
      <c r="AC762">
        <v>1.0015899894</v>
      </c>
      <c r="AD762" t="s">
        <v>408</v>
      </c>
      <c r="AE762" t="s">
        <v>152</v>
      </c>
      <c r="AF762" t="s">
        <v>408</v>
      </c>
      <c r="AG762" t="s">
        <v>408</v>
      </c>
      <c r="AH762" t="s">
        <v>408</v>
      </c>
      <c r="AI762" t="s">
        <v>408</v>
      </c>
      <c r="AJ762" t="s">
        <v>408</v>
      </c>
      <c r="AK762" t="s">
        <v>408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s="58">
        <f t="shared" si="11"/>
        <v>1</v>
      </c>
      <c r="AU762" t="s">
        <v>488</v>
      </c>
      <c r="AV762" t="s">
        <v>410</v>
      </c>
      <c r="AW762" t="s">
        <v>408</v>
      </c>
      <c r="AX762">
        <v>2</v>
      </c>
      <c r="AY762" t="s">
        <v>412</v>
      </c>
      <c r="AZ762" t="s">
        <v>408</v>
      </c>
    </row>
    <row r="763" spans="1:52" x14ac:dyDescent="0.3">
      <c r="A763">
        <v>752</v>
      </c>
      <c r="B763" t="s">
        <v>557</v>
      </c>
      <c r="C763" t="s">
        <v>152</v>
      </c>
      <c r="D763" t="s">
        <v>558</v>
      </c>
      <c r="E763" t="s">
        <v>460</v>
      </c>
      <c r="F763" t="s">
        <v>408</v>
      </c>
      <c r="G763">
        <v>1200</v>
      </c>
      <c r="H763">
        <v>1201</v>
      </c>
      <c r="I763" t="s">
        <v>699</v>
      </c>
      <c r="J763">
        <v>1600</v>
      </c>
      <c r="K763">
        <v>1601</v>
      </c>
      <c r="L763" t="s">
        <v>545</v>
      </c>
      <c r="M763">
        <v>3</v>
      </c>
      <c r="N763" t="s">
        <v>167</v>
      </c>
      <c r="O763" t="s">
        <v>569</v>
      </c>
      <c r="P763" t="s">
        <v>414</v>
      </c>
      <c r="Q763" t="s">
        <v>700</v>
      </c>
      <c r="R763" t="s">
        <v>571</v>
      </c>
      <c r="S763">
        <v>2017</v>
      </c>
      <c r="T763">
        <v>9</v>
      </c>
      <c r="U763" t="s">
        <v>729</v>
      </c>
      <c r="V763" t="s">
        <v>487</v>
      </c>
      <c r="W763">
        <v>2020</v>
      </c>
      <c r="X763">
        <v>0</v>
      </c>
      <c r="Y763" t="s">
        <v>408</v>
      </c>
      <c r="Z763">
        <v>2020</v>
      </c>
      <c r="AA763">
        <v>2011</v>
      </c>
      <c r="AB763">
        <v>6.9684190199500007E-2</v>
      </c>
      <c r="AC763">
        <v>0.13936838039900001</v>
      </c>
      <c r="AD763" t="s">
        <v>408</v>
      </c>
      <c r="AE763" t="s">
        <v>152</v>
      </c>
      <c r="AF763" t="s">
        <v>408</v>
      </c>
      <c r="AG763" t="s">
        <v>408</v>
      </c>
      <c r="AH763" t="s">
        <v>408</v>
      </c>
      <c r="AI763" t="s">
        <v>408</v>
      </c>
      <c r="AJ763" t="s">
        <v>408</v>
      </c>
      <c r="AK763" t="s">
        <v>408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 s="58">
        <f t="shared" si="11"/>
        <v>1</v>
      </c>
      <c r="AU763" t="s">
        <v>488</v>
      </c>
      <c r="AV763" t="s">
        <v>410</v>
      </c>
      <c r="AW763" t="s">
        <v>408</v>
      </c>
      <c r="AX763">
        <v>2</v>
      </c>
      <c r="AY763" t="s">
        <v>412</v>
      </c>
      <c r="AZ763">
        <v>20</v>
      </c>
    </row>
    <row r="764" spans="1:52" x14ac:dyDescent="0.3">
      <c r="A764">
        <v>753</v>
      </c>
      <c r="B764" t="s">
        <v>477</v>
      </c>
      <c r="C764" t="s">
        <v>152</v>
      </c>
      <c r="D764" t="s">
        <v>478</v>
      </c>
      <c r="E764" t="s">
        <v>417</v>
      </c>
      <c r="F764" t="s">
        <v>408</v>
      </c>
      <c r="G764">
        <v>2200</v>
      </c>
      <c r="H764">
        <v>2201</v>
      </c>
      <c r="I764" t="s">
        <v>480</v>
      </c>
      <c r="J764">
        <v>2300</v>
      </c>
      <c r="K764">
        <v>2301</v>
      </c>
      <c r="L764" t="s">
        <v>988</v>
      </c>
      <c r="M764">
        <v>2</v>
      </c>
      <c r="N764" t="s">
        <v>167</v>
      </c>
      <c r="O764" t="s">
        <v>167</v>
      </c>
      <c r="P764" t="s">
        <v>414</v>
      </c>
      <c r="Q764" t="s">
        <v>408</v>
      </c>
      <c r="R764" t="s">
        <v>481</v>
      </c>
      <c r="S764">
        <v>2000</v>
      </c>
      <c r="T764">
        <v>7</v>
      </c>
      <c r="U764" t="s">
        <v>408</v>
      </c>
      <c r="V764" t="s">
        <v>487</v>
      </c>
      <c r="W764">
        <v>2020</v>
      </c>
      <c r="X764">
        <v>0</v>
      </c>
      <c r="Y764" t="s">
        <v>408</v>
      </c>
      <c r="Z764">
        <v>2020</v>
      </c>
      <c r="AA764">
        <v>2018</v>
      </c>
      <c r="AB764">
        <v>0.12380962931300001</v>
      </c>
      <c r="AC764">
        <v>0.24761925862600001</v>
      </c>
      <c r="AD764" t="s">
        <v>408</v>
      </c>
      <c r="AE764" t="s">
        <v>152</v>
      </c>
      <c r="AF764" t="s">
        <v>408</v>
      </c>
      <c r="AG764" t="s">
        <v>408</v>
      </c>
      <c r="AH764" t="s">
        <v>408</v>
      </c>
      <c r="AI764" t="s">
        <v>408</v>
      </c>
      <c r="AJ764" t="s">
        <v>408</v>
      </c>
      <c r="AK764" t="s">
        <v>408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s="58">
        <f t="shared" si="11"/>
        <v>1</v>
      </c>
      <c r="AU764" t="s">
        <v>488</v>
      </c>
      <c r="AV764" t="s">
        <v>410</v>
      </c>
      <c r="AW764" t="s">
        <v>408</v>
      </c>
      <c r="AX764">
        <v>2</v>
      </c>
      <c r="AY764" t="s">
        <v>412</v>
      </c>
      <c r="AZ764" t="s">
        <v>408</v>
      </c>
    </row>
    <row r="765" spans="1:52" x14ac:dyDescent="0.3">
      <c r="A765">
        <v>754</v>
      </c>
      <c r="B765" t="s">
        <v>477</v>
      </c>
      <c r="C765" t="s">
        <v>152</v>
      </c>
      <c r="D765" t="s">
        <v>478</v>
      </c>
      <c r="E765" t="s">
        <v>417</v>
      </c>
      <c r="F765" t="s">
        <v>408</v>
      </c>
      <c r="G765">
        <v>3700</v>
      </c>
      <c r="H765">
        <v>3701</v>
      </c>
      <c r="I765" t="s">
        <v>573</v>
      </c>
      <c r="J765">
        <v>3734</v>
      </c>
      <c r="K765">
        <v>3733</v>
      </c>
      <c r="L765" t="s">
        <v>1668</v>
      </c>
      <c r="M765">
        <v>2</v>
      </c>
      <c r="N765" t="s">
        <v>167</v>
      </c>
      <c r="O765" t="s">
        <v>167</v>
      </c>
      <c r="P765" t="s">
        <v>420</v>
      </c>
      <c r="Q765" t="s">
        <v>408</v>
      </c>
      <c r="R765" t="s">
        <v>810</v>
      </c>
      <c r="S765">
        <v>2004</v>
      </c>
      <c r="T765">
        <v>7</v>
      </c>
      <c r="U765" t="s">
        <v>408</v>
      </c>
      <c r="V765" t="s">
        <v>511</v>
      </c>
      <c r="W765">
        <v>2018</v>
      </c>
      <c r="X765">
        <v>6</v>
      </c>
      <c r="Y765" t="s">
        <v>408</v>
      </c>
      <c r="Z765">
        <v>2018</v>
      </c>
      <c r="AA765">
        <v>2010</v>
      </c>
      <c r="AB765">
        <v>4.88286828444E-2</v>
      </c>
      <c r="AC765">
        <v>9.7657365688799999E-2</v>
      </c>
      <c r="AD765" t="s">
        <v>408</v>
      </c>
      <c r="AE765" t="s">
        <v>152</v>
      </c>
      <c r="AF765" t="s">
        <v>408</v>
      </c>
      <c r="AG765" t="s">
        <v>408</v>
      </c>
      <c r="AH765" t="s">
        <v>408</v>
      </c>
      <c r="AI765" t="s">
        <v>408</v>
      </c>
      <c r="AJ765" t="s">
        <v>408</v>
      </c>
      <c r="AK765" t="s">
        <v>408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s="58">
        <f t="shared" si="11"/>
        <v>1</v>
      </c>
      <c r="AU765" t="s">
        <v>488</v>
      </c>
      <c r="AV765" t="s">
        <v>410</v>
      </c>
      <c r="AW765" t="s">
        <v>408</v>
      </c>
      <c r="AX765">
        <v>2</v>
      </c>
      <c r="AY765" t="s">
        <v>412</v>
      </c>
      <c r="AZ765" t="s">
        <v>408</v>
      </c>
    </row>
    <row r="766" spans="1:52" x14ac:dyDescent="0.3">
      <c r="A766">
        <v>755</v>
      </c>
      <c r="B766" t="s">
        <v>477</v>
      </c>
      <c r="C766" t="s">
        <v>155</v>
      </c>
      <c r="D766" t="s">
        <v>478</v>
      </c>
      <c r="E766" t="s">
        <v>417</v>
      </c>
      <c r="F766" t="s">
        <v>408</v>
      </c>
      <c r="G766">
        <v>7501</v>
      </c>
      <c r="H766">
        <v>7500</v>
      </c>
      <c r="I766" t="s">
        <v>1330</v>
      </c>
      <c r="J766">
        <v>7401</v>
      </c>
      <c r="K766">
        <v>7400</v>
      </c>
      <c r="L766" t="s">
        <v>519</v>
      </c>
      <c r="M766">
        <v>2</v>
      </c>
      <c r="N766" t="s">
        <v>165</v>
      </c>
      <c r="O766" t="s">
        <v>165</v>
      </c>
      <c r="P766" t="s">
        <v>414</v>
      </c>
      <c r="Q766" t="s">
        <v>521</v>
      </c>
      <c r="R766" t="s">
        <v>476</v>
      </c>
      <c r="S766">
        <v>2012</v>
      </c>
      <c r="T766">
        <v>7</v>
      </c>
      <c r="U766" t="s">
        <v>370</v>
      </c>
      <c r="V766" t="s">
        <v>487</v>
      </c>
      <c r="W766">
        <v>2020</v>
      </c>
      <c r="X766">
        <v>0</v>
      </c>
      <c r="Y766" t="s">
        <v>408</v>
      </c>
      <c r="Z766">
        <v>2020</v>
      </c>
      <c r="AA766" s="5">
        <v>2012</v>
      </c>
      <c r="AB766">
        <v>9.4690544955100001E-2</v>
      </c>
      <c r="AC766">
        <v>0.18938108990999999</v>
      </c>
      <c r="AD766" t="s">
        <v>408</v>
      </c>
      <c r="AE766" t="s">
        <v>152</v>
      </c>
      <c r="AF766" t="s">
        <v>408</v>
      </c>
      <c r="AG766" t="s">
        <v>408</v>
      </c>
      <c r="AH766" t="s">
        <v>408</v>
      </c>
      <c r="AI766" t="s">
        <v>408</v>
      </c>
      <c r="AJ766" t="s">
        <v>408</v>
      </c>
      <c r="AK766" t="s">
        <v>408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 s="58">
        <f t="shared" si="11"/>
        <v>1</v>
      </c>
      <c r="AU766" t="s">
        <v>488</v>
      </c>
      <c r="AV766" t="s">
        <v>410</v>
      </c>
      <c r="AW766" t="s">
        <v>152</v>
      </c>
      <c r="AX766">
        <v>2</v>
      </c>
      <c r="AY766" t="s">
        <v>412</v>
      </c>
      <c r="AZ766" t="s">
        <v>408</v>
      </c>
    </row>
    <row r="767" spans="1:52" x14ac:dyDescent="0.3">
      <c r="A767">
        <v>756</v>
      </c>
      <c r="B767" t="s">
        <v>477</v>
      </c>
      <c r="C767" t="s">
        <v>155</v>
      </c>
      <c r="D767" t="s">
        <v>478</v>
      </c>
      <c r="E767" t="s">
        <v>417</v>
      </c>
      <c r="F767" t="s">
        <v>408</v>
      </c>
      <c r="G767">
        <v>8500</v>
      </c>
      <c r="H767">
        <v>8501</v>
      </c>
      <c r="I767" t="s">
        <v>1757</v>
      </c>
      <c r="J767">
        <v>8300</v>
      </c>
      <c r="K767">
        <v>8301</v>
      </c>
      <c r="L767" t="s">
        <v>1329</v>
      </c>
      <c r="M767">
        <v>2</v>
      </c>
      <c r="N767" t="s">
        <v>165</v>
      </c>
      <c r="O767" t="s">
        <v>165</v>
      </c>
      <c r="P767" t="s">
        <v>414</v>
      </c>
      <c r="Q767" t="s">
        <v>1331</v>
      </c>
      <c r="R767" t="s">
        <v>703</v>
      </c>
      <c r="S767">
        <v>2014</v>
      </c>
      <c r="T767">
        <v>6</v>
      </c>
      <c r="U767" t="s">
        <v>408</v>
      </c>
      <c r="V767" t="s">
        <v>487</v>
      </c>
      <c r="W767">
        <v>2020</v>
      </c>
      <c r="X767">
        <v>0</v>
      </c>
      <c r="Y767" t="s">
        <v>408</v>
      </c>
      <c r="Z767">
        <v>2020</v>
      </c>
      <c r="AA767" s="5">
        <v>0</v>
      </c>
      <c r="AB767">
        <v>0.25290603983100002</v>
      </c>
      <c r="AC767">
        <v>0.50581207966200004</v>
      </c>
      <c r="AD767" t="s">
        <v>408</v>
      </c>
      <c r="AE767" t="s">
        <v>152</v>
      </c>
      <c r="AF767" t="s">
        <v>408</v>
      </c>
      <c r="AG767" t="s">
        <v>408</v>
      </c>
      <c r="AH767" t="s">
        <v>408</v>
      </c>
      <c r="AI767" t="s">
        <v>408</v>
      </c>
      <c r="AJ767" t="s">
        <v>408</v>
      </c>
      <c r="AK767" t="s">
        <v>408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 s="58">
        <f t="shared" si="11"/>
        <v>1</v>
      </c>
      <c r="AU767" t="s">
        <v>488</v>
      </c>
      <c r="AV767" t="s">
        <v>410</v>
      </c>
      <c r="AW767" t="s">
        <v>152</v>
      </c>
      <c r="AX767">
        <v>2</v>
      </c>
      <c r="AY767" t="s">
        <v>412</v>
      </c>
      <c r="AZ767" t="s">
        <v>408</v>
      </c>
    </row>
    <row r="768" spans="1:52" x14ac:dyDescent="0.3">
      <c r="A768">
        <v>757</v>
      </c>
      <c r="B768" t="s">
        <v>557</v>
      </c>
      <c r="C768" t="s">
        <v>152</v>
      </c>
      <c r="D768" t="s">
        <v>558</v>
      </c>
      <c r="E768" t="s">
        <v>460</v>
      </c>
      <c r="F768" t="s">
        <v>408</v>
      </c>
      <c r="G768">
        <v>2426</v>
      </c>
      <c r="H768">
        <v>2425</v>
      </c>
      <c r="I768" t="s">
        <v>479</v>
      </c>
      <c r="J768">
        <v>2400</v>
      </c>
      <c r="K768">
        <v>2401</v>
      </c>
      <c r="L768" t="s">
        <v>619</v>
      </c>
      <c r="M768">
        <v>3</v>
      </c>
      <c r="N768" t="s">
        <v>163</v>
      </c>
      <c r="O768" t="s">
        <v>163</v>
      </c>
      <c r="P768" t="s">
        <v>403</v>
      </c>
      <c r="Q768" t="s">
        <v>408</v>
      </c>
      <c r="R768" t="s">
        <v>270</v>
      </c>
      <c r="S768">
        <v>2020</v>
      </c>
      <c r="T768">
        <v>9</v>
      </c>
      <c r="U768" t="s">
        <v>757</v>
      </c>
      <c r="V768" t="s">
        <v>408</v>
      </c>
      <c r="W768">
        <v>0</v>
      </c>
      <c r="X768">
        <v>0</v>
      </c>
      <c r="Y768" t="s">
        <v>408</v>
      </c>
      <c r="Z768">
        <v>2020</v>
      </c>
      <c r="AA768" s="5">
        <v>2005</v>
      </c>
      <c r="AB768">
        <v>8.1900133528999997E-2</v>
      </c>
      <c r="AC768">
        <v>0.16380026705799999</v>
      </c>
      <c r="AD768" t="s">
        <v>408</v>
      </c>
      <c r="AE768" t="s">
        <v>152</v>
      </c>
      <c r="AF768" t="s">
        <v>408</v>
      </c>
      <c r="AG768" t="s">
        <v>408</v>
      </c>
      <c r="AH768" t="s">
        <v>408</v>
      </c>
      <c r="AI768" t="s">
        <v>762</v>
      </c>
      <c r="AJ768" t="s">
        <v>152</v>
      </c>
      <c r="AK768" t="s">
        <v>408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 s="58">
        <f t="shared" si="11"/>
        <v>1</v>
      </c>
      <c r="AU768" t="s">
        <v>457</v>
      </c>
      <c r="AV768" t="s">
        <v>410</v>
      </c>
      <c r="AW768" t="s">
        <v>400</v>
      </c>
      <c r="AX768">
        <v>1</v>
      </c>
      <c r="AY768" t="s">
        <v>412</v>
      </c>
      <c r="AZ768">
        <v>20</v>
      </c>
    </row>
    <row r="769" spans="1:52" x14ac:dyDescent="0.3">
      <c r="A769">
        <v>758</v>
      </c>
      <c r="B769" t="s">
        <v>693</v>
      </c>
      <c r="C769" t="s">
        <v>152</v>
      </c>
      <c r="D769" t="s">
        <v>694</v>
      </c>
      <c r="E769" t="s">
        <v>460</v>
      </c>
      <c r="F769" t="s">
        <v>408</v>
      </c>
      <c r="G769">
        <v>3200</v>
      </c>
      <c r="H769">
        <v>3201</v>
      </c>
      <c r="I769" t="s">
        <v>803</v>
      </c>
      <c r="J769">
        <v>2800</v>
      </c>
      <c r="K769">
        <v>2801</v>
      </c>
      <c r="L769" t="s">
        <v>483</v>
      </c>
      <c r="M769">
        <v>0</v>
      </c>
      <c r="N769" t="s">
        <v>167</v>
      </c>
      <c r="O769" t="s">
        <v>569</v>
      </c>
      <c r="P769" t="s">
        <v>420</v>
      </c>
      <c r="Q769" t="s">
        <v>408</v>
      </c>
      <c r="R769" t="s">
        <v>1758</v>
      </c>
      <c r="S769">
        <v>2020</v>
      </c>
      <c r="T769">
        <v>11</v>
      </c>
      <c r="U769" t="s">
        <v>1759</v>
      </c>
      <c r="V769" t="s">
        <v>408</v>
      </c>
      <c r="W769">
        <v>0</v>
      </c>
      <c r="X769">
        <v>0</v>
      </c>
      <c r="Y769" t="s">
        <v>408</v>
      </c>
      <c r="Z769">
        <v>2020</v>
      </c>
      <c r="AA769" s="5">
        <v>0</v>
      </c>
      <c r="AB769">
        <v>0.50236598453199999</v>
      </c>
      <c r="AC769">
        <v>1.0047319690600001</v>
      </c>
      <c r="AD769" t="s">
        <v>408</v>
      </c>
      <c r="AE769" t="s">
        <v>152</v>
      </c>
      <c r="AF769" t="s">
        <v>408</v>
      </c>
      <c r="AG769" t="s">
        <v>408</v>
      </c>
      <c r="AH769" t="s">
        <v>408</v>
      </c>
      <c r="AI769" t="s">
        <v>408</v>
      </c>
      <c r="AJ769" t="s">
        <v>408</v>
      </c>
      <c r="AK769" t="s">
        <v>408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 s="58">
        <f t="shared" si="11"/>
        <v>1</v>
      </c>
      <c r="AU769" t="s">
        <v>1484</v>
      </c>
      <c r="AV769" t="s">
        <v>410</v>
      </c>
      <c r="AW769" t="s">
        <v>408</v>
      </c>
      <c r="AX769">
        <v>2</v>
      </c>
      <c r="AY769" t="s">
        <v>412</v>
      </c>
      <c r="AZ769" t="s">
        <v>408</v>
      </c>
    </row>
    <row r="770" spans="1:52" x14ac:dyDescent="0.3">
      <c r="A770">
        <v>759</v>
      </c>
      <c r="B770" t="s">
        <v>1760</v>
      </c>
      <c r="C770" t="s">
        <v>155</v>
      </c>
      <c r="D770" t="s">
        <v>1761</v>
      </c>
      <c r="E770" t="s">
        <v>460</v>
      </c>
      <c r="F770" t="s">
        <v>408</v>
      </c>
      <c r="G770">
        <v>6600</v>
      </c>
      <c r="H770">
        <v>6601</v>
      </c>
      <c r="I770" t="s">
        <v>1710</v>
      </c>
      <c r="J770">
        <v>6700</v>
      </c>
      <c r="K770">
        <v>6701</v>
      </c>
      <c r="L770" t="s">
        <v>1202</v>
      </c>
      <c r="M770">
        <v>0</v>
      </c>
      <c r="N770" t="s">
        <v>170</v>
      </c>
      <c r="O770" t="s">
        <v>170</v>
      </c>
      <c r="P770" t="s">
        <v>420</v>
      </c>
      <c r="Q770" t="s">
        <v>408</v>
      </c>
      <c r="R770" t="s">
        <v>1758</v>
      </c>
      <c r="S770">
        <v>2020</v>
      </c>
      <c r="T770">
        <v>0</v>
      </c>
      <c r="U770" t="s">
        <v>408</v>
      </c>
      <c r="V770" t="s">
        <v>408</v>
      </c>
      <c r="W770">
        <v>0</v>
      </c>
      <c r="X770">
        <v>0</v>
      </c>
      <c r="Y770" t="s">
        <v>408</v>
      </c>
      <c r="Z770">
        <v>2020</v>
      </c>
      <c r="AA770" s="5">
        <v>0</v>
      </c>
      <c r="AB770">
        <v>0.12553232691999999</v>
      </c>
      <c r="AC770">
        <v>0.25106465383999998</v>
      </c>
      <c r="AD770" t="s">
        <v>408</v>
      </c>
      <c r="AE770" t="s">
        <v>152</v>
      </c>
      <c r="AF770" t="s">
        <v>408</v>
      </c>
      <c r="AG770" t="s">
        <v>408</v>
      </c>
      <c r="AH770" t="s">
        <v>408</v>
      </c>
      <c r="AI770" t="s">
        <v>408</v>
      </c>
      <c r="AJ770" t="s">
        <v>408</v>
      </c>
      <c r="AK770" t="s">
        <v>408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0</v>
      </c>
      <c r="AT770" s="58">
        <f t="shared" si="11"/>
        <v>1</v>
      </c>
      <c r="AU770" t="s">
        <v>1484</v>
      </c>
      <c r="AV770" t="s">
        <v>410</v>
      </c>
      <c r="AW770" t="s">
        <v>408</v>
      </c>
      <c r="AX770">
        <v>2</v>
      </c>
      <c r="AY770" t="s">
        <v>412</v>
      </c>
      <c r="AZ770" t="s">
        <v>408</v>
      </c>
    </row>
    <row r="771" spans="1:52" x14ac:dyDescent="0.3">
      <c r="A771">
        <v>760</v>
      </c>
      <c r="B771" t="s">
        <v>1256</v>
      </c>
      <c r="C771" t="s">
        <v>152</v>
      </c>
      <c r="D771" t="s">
        <v>1257</v>
      </c>
      <c r="E771" t="s">
        <v>417</v>
      </c>
      <c r="F771" t="s">
        <v>408</v>
      </c>
      <c r="G771">
        <v>624</v>
      </c>
      <c r="H771">
        <v>625</v>
      </c>
      <c r="I771" t="s">
        <v>646</v>
      </c>
      <c r="J771">
        <v>424</v>
      </c>
      <c r="K771">
        <v>425</v>
      </c>
      <c r="L771" t="s">
        <v>947</v>
      </c>
      <c r="M771">
        <v>0</v>
      </c>
      <c r="N771" t="s">
        <v>170</v>
      </c>
      <c r="O771" t="s">
        <v>170</v>
      </c>
      <c r="P771" t="s">
        <v>420</v>
      </c>
      <c r="Q771" t="s">
        <v>408</v>
      </c>
      <c r="R771" t="s">
        <v>1758</v>
      </c>
      <c r="S771">
        <v>2020</v>
      </c>
      <c r="T771">
        <v>0</v>
      </c>
      <c r="U771" t="s">
        <v>408</v>
      </c>
      <c r="V771" t="s">
        <v>408</v>
      </c>
      <c r="W771">
        <v>0</v>
      </c>
      <c r="X771">
        <v>0</v>
      </c>
      <c r="Y771" t="s">
        <v>408</v>
      </c>
      <c r="Z771">
        <v>2020</v>
      </c>
      <c r="AA771" s="5">
        <v>0</v>
      </c>
      <c r="AB771">
        <v>0.23973017966599999</v>
      </c>
      <c r="AC771">
        <v>0.47946035933199999</v>
      </c>
      <c r="AD771" t="s">
        <v>408</v>
      </c>
      <c r="AE771" t="s">
        <v>152</v>
      </c>
      <c r="AF771" t="s">
        <v>408</v>
      </c>
      <c r="AG771" t="s">
        <v>408</v>
      </c>
      <c r="AH771" t="s">
        <v>408</v>
      </c>
      <c r="AI771" t="s">
        <v>408</v>
      </c>
      <c r="AJ771" t="s">
        <v>408</v>
      </c>
      <c r="AK771" t="s">
        <v>408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 s="58">
        <f t="shared" si="11"/>
        <v>1</v>
      </c>
      <c r="AU771" t="s">
        <v>1484</v>
      </c>
      <c r="AV771" t="s">
        <v>410</v>
      </c>
      <c r="AW771" t="s">
        <v>408</v>
      </c>
      <c r="AX771">
        <v>2</v>
      </c>
      <c r="AY771" t="s">
        <v>17</v>
      </c>
      <c r="AZ771" t="s">
        <v>408</v>
      </c>
    </row>
    <row r="772" spans="1:52" x14ac:dyDescent="0.3">
      <c r="A772">
        <v>761</v>
      </c>
      <c r="B772" t="s">
        <v>1424</v>
      </c>
      <c r="C772" t="s">
        <v>154</v>
      </c>
      <c r="D772" t="s">
        <v>1425</v>
      </c>
      <c r="E772" t="s">
        <v>417</v>
      </c>
      <c r="F772" t="s">
        <v>408</v>
      </c>
      <c r="G772">
        <v>800</v>
      </c>
      <c r="H772">
        <v>801</v>
      </c>
      <c r="I772" t="s">
        <v>814</v>
      </c>
      <c r="J772">
        <v>826</v>
      </c>
      <c r="K772">
        <v>825</v>
      </c>
      <c r="L772" t="s">
        <v>1426</v>
      </c>
      <c r="M772">
        <v>0</v>
      </c>
      <c r="N772" t="s">
        <v>167</v>
      </c>
      <c r="O772" t="s">
        <v>167</v>
      </c>
      <c r="P772" t="s">
        <v>420</v>
      </c>
      <c r="Q772" t="s">
        <v>408</v>
      </c>
      <c r="R772" t="s">
        <v>1758</v>
      </c>
      <c r="S772">
        <v>2020</v>
      </c>
      <c r="T772">
        <v>0</v>
      </c>
      <c r="U772" t="s">
        <v>408</v>
      </c>
      <c r="V772" t="s">
        <v>408</v>
      </c>
      <c r="W772">
        <v>0</v>
      </c>
      <c r="X772">
        <v>0</v>
      </c>
      <c r="Y772" t="s">
        <v>408</v>
      </c>
      <c r="Z772">
        <v>2020</v>
      </c>
      <c r="AA772" s="5">
        <v>0</v>
      </c>
      <c r="AB772">
        <v>6.4097659166199999E-2</v>
      </c>
      <c r="AC772">
        <v>0.12819531833200001</v>
      </c>
      <c r="AD772" t="s">
        <v>408</v>
      </c>
      <c r="AE772" t="s">
        <v>408</v>
      </c>
      <c r="AF772" t="s">
        <v>408</v>
      </c>
      <c r="AG772" t="s">
        <v>408</v>
      </c>
      <c r="AH772" t="s">
        <v>408</v>
      </c>
      <c r="AI772" t="s">
        <v>408</v>
      </c>
      <c r="AJ772" t="s">
        <v>408</v>
      </c>
      <c r="AK772" t="s">
        <v>408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 s="58">
        <f t="shared" si="11"/>
        <v>1</v>
      </c>
      <c r="AU772" t="s">
        <v>1484</v>
      </c>
      <c r="AV772" t="s">
        <v>410</v>
      </c>
      <c r="AW772" t="s">
        <v>408</v>
      </c>
      <c r="AX772">
        <v>3</v>
      </c>
      <c r="AY772" t="s">
        <v>412</v>
      </c>
      <c r="AZ772" t="s">
        <v>408</v>
      </c>
    </row>
    <row r="773" spans="1:52" x14ac:dyDescent="0.3">
      <c r="A773">
        <v>762</v>
      </c>
      <c r="B773" t="s">
        <v>1228</v>
      </c>
      <c r="C773" t="s">
        <v>155</v>
      </c>
      <c r="D773" t="s">
        <v>1229</v>
      </c>
      <c r="E773" t="s">
        <v>417</v>
      </c>
      <c r="F773" t="s">
        <v>408</v>
      </c>
      <c r="G773">
        <v>2300</v>
      </c>
      <c r="H773">
        <v>2301</v>
      </c>
      <c r="I773" t="s">
        <v>1762</v>
      </c>
      <c r="J773">
        <v>2200</v>
      </c>
      <c r="K773">
        <v>2201</v>
      </c>
      <c r="L773" t="s">
        <v>492</v>
      </c>
      <c r="M773">
        <v>0</v>
      </c>
      <c r="N773" t="s">
        <v>170</v>
      </c>
      <c r="O773" t="s">
        <v>170</v>
      </c>
      <c r="P773" t="s">
        <v>420</v>
      </c>
      <c r="Q773" t="s">
        <v>408</v>
      </c>
      <c r="R773" t="s">
        <v>1758</v>
      </c>
      <c r="S773">
        <v>2020</v>
      </c>
      <c r="T773">
        <v>0</v>
      </c>
      <c r="U773" t="s">
        <v>408</v>
      </c>
      <c r="V773" t="s">
        <v>408</v>
      </c>
      <c r="W773">
        <v>0</v>
      </c>
      <c r="X773">
        <v>0</v>
      </c>
      <c r="Y773" t="s">
        <v>408</v>
      </c>
      <c r="Z773">
        <v>2020</v>
      </c>
      <c r="AA773" s="5">
        <v>0</v>
      </c>
      <c r="AB773">
        <v>0.126857057951</v>
      </c>
      <c r="AC773">
        <v>0.25371411590199999</v>
      </c>
      <c r="AD773" t="s">
        <v>408</v>
      </c>
      <c r="AE773" t="s">
        <v>408</v>
      </c>
      <c r="AF773" t="s">
        <v>408</v>
      </c>
      <c r="AG773" t="s">
        <v>408</v>
      </c>
      <c r="AH773" t="s">
        <v>408</v>
      </c>
      <c r="AI773" t="s">
        <v>408</v>
      </c>
      <c r="AJ773" t="s">
        <v>408</v>
      </c>
      <c r="AK773" t="s">
        <v>408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 s="58">
        <f t="shared" si="11"/>
        <v>1</v>
      </c>
      <c r="AU773" t="s">
        <v>1484</v>
      </c>
      <c r="AV773" t="s">
        <v>410</v>
      </c>
      <c r="AW773" t="s">
        <v>408</v>
      </c>
      <c r="AX773">
        <v>3</v>
      </c>
      <c r="AY773" t="s">
        <v>17</v>
      </c>
      <c r="AZ773" t="s">
        <v>408</v>
      </c>
    </row>
    <row r="774" spans="1:52" x14ac:dyDescent="0.3">
      <c r="A774">
        <v>763</v>
      </c>
      <c r="B774" t="s">
        <v>693</v>
      </c>
      <c r="C774" t="s">
        <v>152</v>
      </c>
      <c r="D774" t="s">
        <v>694</v>
      </c>
      <c r="E774" t="s">
        <v>460</v>
      </c>
      <c r="F774" t="s">
        <v>408</v>
      </c>
      <c r="G774">
        <v>5500</v>
      </c>
      <c r="H774">
        <v>5501</v>
      </c>
      <c r="I774" t="s">
        <v>840</v>
      </c>
      <c r="J774">
        <v>5400</v>
      </c>
      <c r="K774">
        <v>5401</v>
      </c>
      <c r="L774" t="s">
        <v>1458</v>
      </c>
      <c r="M774">
        <v>0</v>
      </c>
      <c r="N774" t="s">
        <v>167</v>
      </c>
      <c r="O774" t="s">
        <v>569</v>
      </c>
      <c r="P774" t="s">
        <v>420</v>
      </c>
      <c r="Q774" t="s">
        <v>408</v>
      </c>
      <c r="R774" t="s">
        <v>408</v>
      </c>
      <c r="S774">
        <v>2020</v>
      </c>
      <c r="T774">
        <v>11</v>
      </c>
      <c r="U774" t="s">
        <v>569</v>
      </c>
      <c r="V774" t="s">
        <v>408</v>
      </c>
      <c r="W774">
        <v>0</v>
      </c>
      <c r="X774">
        <v>0</v>
      </c>
      <c r="Y774" t="s">
        <v>408</v>
      </c>
      <c r="Z774">
        <v>2020</v>
      </c>
      <c r="AA774" s="5">
        <v>0</v>
      </c>
      <c r="AB774">
        <v>0.156405145553</v>
      </c>
      <c r="AC774">
        <v>0.312810291106</v>
      </c>
      <c r="AD774" t="s">
        <v>408</v>
      </c>
      <c r="AE774" t="s">
        <v>408</v>
      </c>
      <c r="AF774" t="s">
        <v>408</v>
      </c>
      <c r="AG774" t="s">
        <v>408</v>
      </c>
      <c r="AH774" t="s">
        <v>408</v>
      </c>
      <c r="AI774" t="s">
        <v>408</v>
      </c>
      <c r="AJ774" t="s">
        <v>408</v>
      </c>
      <c r="AK774" t="s">
        <v>408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s="58">
        <f t="shared" si="11"/>
        <v>1</v>
      </c>
      <c r="AU774" t="s">
        <v>1484</v>
      </c>
      <c r="AV774" t="s">
        <v>410</v>
      </c>
      <c r="AW774" t="s">
        <v>408</v>
      </c>
      <c r="AX774">
        <v>2</v>
      </c>
      <c r="AY774" t="s">
        <v>412</v>
      </c>
      <c r="AZ774" t="s">
        <v>408</v>
      </c>
    </row>
    <row r="775" spans="1:52" x14ac:dyDescent="0.3">
      <c r="A775">
        <v>764</v>
      </c>
      <c r="B775" t="s">
        <v>1763</v>
      </c>
      <c r="C775" t="s">
        <v>155</v>
      </c>
      <c r="D775" t="s">
        <v>1763</v>
      </c>
      <c r="E775" t="s">
        <v>426</v>
      </c>
      <c r="F775" t="s">
        <v>408</v>
      </c>
      <c r="G775">
        <v>10000</v>
      </c>
      <c r="H775">
        <v>10001</v>
      </c>
      <c r="I775" t="s">
        <v>1526</v>
      </c>
      <c r="J775">
        <v>10300</v>
      </c>
      <c r="K775">
        <v>10301</v>
      </c>
      <c r="L775" t="s">
        <v>1764</v>
      </c>
      <c r="M775">
        <v>0</v>
      </c>
      <c r="N775" t="s">
        <v>170</v>
      </c>
      <c r="O775" t="s">
        <v>170</v>
      </c>
      <c r="P775" t="s">
        <v>420</v>
      </c>
      <c r="Q775" t="s">
        <v>408</v>
      </c>
      <c r="R775" t="s">
        <v>1758</v>
      </c>
      <c r="S775">
        <v>2020</v>
      </c>
      <c r="T775">
        <v>11</v>
      </c>
      <c r="U775" t="s">
        <v>1765</v>
      </c>
      <c r="V775" t="s">
        <v>408</v>
      </c>
      <c r="W775">
        <v>0</v>
      </c>
      <c r="X775">
        <v>0</v>
      </c>
      <c r="Y775" t="s">
        <v>408</v>
      </c>
      <c r="Z775">
        <v>2020</v>
      </c>
      <c r="AA775" s="5">
        <v>0</v>
      </c>
      <c r="AB775">
        <v>0.57502416749800001</v>
      </c>
      <c r="AC775">
        <v>1.1500483349999999</v>
      </c>
      <c r="AD775" t="s">
        <v>408</v>
      </c>
      <c r="AE775" t="s">
        <v>408</v>
      </c>
      <c r="AF775" t="s">
        <v>408</v>
      </c>
      <c r="AG775" t="s">
        <v>408</v>
      </c>
      <c r="AH775" t="s">
        <v>408</v>
      </c>
      <c r="AI775" t="s">
        <v>408</v>
      </c>
      <c r="AJ775" t="s">
        <v>408</v>
      </c>
      <c r="AK775" t="s">
        <v>408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 s="58">
        <f t="shared" si="11"/>
        <v>1</v>
      </c>
      <c r="AU775" t="s">
        <v>1484</v>
      </c>
      <c r="AV775" t="s">
        <v>410</v>
      </c>
      <c r="AW775" t="s">
        <v>408</v>
      </c>
      <c r="AX775">
        <v>3</v>
      </c>
      <c r="AY775" t="s">
        <v>17</v>
      </c>
      <c r="AZ775" t="s">
        <v>408</v>
      </c>
    </row>
    <row r="776" spans="1:52" x14ac:dyDescent="0.3">
      <c r="A776">
        <v>765</v>
      </c>
      <c r="B776" t="s">
        <v>1726</v>
      </c>
      <c r="C776" t="s">
        <v>155</v>
      </c>
      <c r="D776" t="s">
        <v>1160</v>
      </c>
      <c r="E776" t="s">
        <v>466</v>
      </c>
      <c r="F776" t="s">
        <v>408</v>
      </c>
      <c r="G776">
        <v>8700</v>
      </c>
      <c r="H776">
        <v>8701</v>
      </c>
      <c r="I776" t="s">
        <v>1488</v>
      </c>
      <c r="J776">
        <v>8300</v>
      </c>
      <c r="K776">
        <v>8301</v>
      </c>
      <c r="L776" t="s">
        <v>1329</v>
      </c>
      <c r="M776">
        <v>0</v>
      </c>
      <c r="N776" t="s">
        <v>167</v>
      </c>
      <c r="O776" t="s">
        <v>167</v>
      </c>
      <c r="P776" t="s">
        <v>420</v>
      </c>
      <c r="Q776" t="s">
        <v>408</v>
      </c>
      <c r="R776" t="s">
        <v>1719</v>
      </c>
      <c r="S776">
        <v>2020</v>
      </c>
      <c r="T776">
        <v>10</v>
      </c>
      <c r="U776" t="s">
        <v>408</v>
      </c>
      <c r="V776" t="s">
        <v>408</v>
      </c>
      <c r="W776">
        <v>0</v>
      </c>
      <c r="X776">
        <v>0</v>
      </c>
      <c r="Y776" t="s">
        <v>408</v>
      </c>
      <c r="Z776">
        <v>2020</v>
      </c>
      <c r="AA776" s="5">
        <v>0</v>
      </c>
      <c r="AB776">
        <v>0.50260137984300002</v>
      </c>
      <c r="AC776">
        <v>1.0052027596899999</v>
      </c>
      <c r="AD776" t="s">
        <v>408</v>
      </c>
      <c r="AE776" t="s">
        <v>408</v>
      </c>
      <c r="AF776" t="s">
        <v>408</v>
      </c>
      <c r="AG776" t="s">
        <v>408</v>
      </c>
      <c r="AH776" t="s">
        <v>408</v>
      </c>
      <c r="AI776" t="s">
        <v>408</v>
      </c>
      <c r="AJ776" t="s">
        <v>408</v>
      </c>
      <c r="AK776" t="s">
        <v>408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 s="58">
        <f t="shared" si="11"/>
        <v>1</v>
      </c>
      <c r="AU776" t="s">
        <v>1484</v>
      </c>
      <c r="AV776" t="s">
        <v>410</v>
      </c>
      <c r="AW776" t="s">
        <v>408</v>
      </c>
      <c r="AX776">
        <v>2</v>
      </c>
      <c r="AY776" t="s">
        <v>412</v>
      </c>
      <c r="AZ776" t="s">
        <v>400</v>
      </c>
    </row>
    <row r="777" spans="1:52" x14ac:dyDescent="0.3">
      <c r="A777">
        <v>766</v>
      </c>
      <c r="B777" t="s">
        <v>1766</v>
      </c>
      <c r="C777" t="s">
        <v>154</v>
      </c>
      <c r="D777" t="s">
        <v>1767</v>
      </c>
      <c r="E777" t="s">
        <v>417</v>
      </c>
      <c r="F777" t="s">
        <v>408</v>
      </c>
      <c r="G777">
        <v>9800</v>
      </c>
      <c r="H777">
        <v>9801</v>
      </c>
      <c r="I777" t="s">
        <v>419</v>
      </c>
      <c r="J777">
        <v>9800</v>
      </c>
      <c r="K777">
        <v>9801</v>
      </c>
      <c r="L777" t="s">
        <v>509</v>
      </c>
      <c r="M777">
        <v>0</v>
      </c>
      <c r="N777" t="s">
        <v>168</v>
      </c>
      <c r="O777" t="s">
        <v>168</v>
      </c>
      <c r="P777" t="s">
        <v>420</v>
      </c>
      <c r="Q777" t="s">
        <v>408</v>
      </c>
      <c r="R777" t="s">
        <v>1719</v>
      </c>
      <c r="S777">
        <v>2020</v>
      </c>
      <c r="T777">
        <v>10</v>
      </c>
      <c r="U777" t="s">
        <v>408</v>
      </c>
      <c r="V777" t="s">
        <v>408</v>
      </c>
      <c r="W777">
        <v>0</v>
      </c>
      <c r="X777">
        <v>0</v>
      </c>
      <c r="Y777" t="s">
        <v>408</v>
      </c>
      <c r="Z777">
        <v>2020</v>
      </c>
      <c r="AA777" s="5">
        <v>0</v>
      </c>
      <c r="AB777">
        <v>0.25858377054999998</v>
      </c>
      <c r="AC777">
        <v>0.51716754109999996</v>
      </c>
      <c r="AD777" t="s">
        <v>408</v>
      </c>
      <c r="AE777" t="s">
        <v>408</v>
      </c>
      <c r="AF777" t="s">
        <v>408</v>
      </c>
      <c r="AG777" t="s">
        <v>408</v>
      </c>
      <c r="AH777" t="s">
        <v>408</v>
      </c>
      <c r="AI777" t="s">
        <v>408</v>
      </c>
      <c r="AJ777" t="s">
        <v>408</v>
      </c>
      <c r="AK777" t="s">
        <v>408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 s="58">
        <f t="shared" si="11"/>
        <v>1</v>
      </c>
      <c r="AU777" t="s">
        <v>1484</v>
      </c>
      <c r="AV777" t="s">
        <v>410</v>
      </c>
      <c r="AW777" t="s">
        <v>408</v>
      </c>
      <c r="AX777">
        <v>3</v>
      </c>
      <c r="AY777" t="s">
        <v>17</v>
      </c>
      <c r="AZ777" t="s">
        <v>408</v>
      </c>
    </row>
    <row r="778" spans="1:52" x14ac:dyDescent="0.3">
      <c r="A778">
        <v>767</v>
      </c>
      <c r="B778" t="s">
        <v>1159</v>
      </c>
      <c r="C778" t="s">
        <v>155</v>
      </c>
      <c r="D778" t="s">
        <v>1160</v>
      </c>
      <c r="E778" t="s">
        <v>417</v>
      </c>
      <c r="F778" t="s">
        <v>408</v>
      </c>
      <c r="G778">
        <v>9800</v>
      </c>
      <c r="H778">
        <v>9801</v>
      </c>
      <c r="I778" t="s">
        <v>1768</v>
      </c>
      <c r="J778">
        <v>8700</v>
      </c>
      <c r="K778">
        <v>8701</v>
      </c>
      <c r="L778" t="s">
        <v>1488</v>
      </c>
      <c r="M778">
        <v>0</v>
      </c>
      <c r="N778" t="s">
        <v>168</v>
      </c>
      <c r="O778" t="s">
        <v>168</v>
      </c>
      <c r="P778" t="s">
        <v>420</v>
      </c>
      <c r="Q778" t="s">
        <v>408</v>
      </c>
      <c r="R778" t="s">
        <v>1719</v>
      </c>
      <c r="S778">
        <v>2020</v>
      </c>
      <c r="T778">
        <v>10</v>
      </c>
      <c r="U778" t="s">
        <v>408</v>
      </c>
      <c r="V778" t="s">
        <v>408</v>
      </c>
      <c r="W778">
        <v>0</v>
      </c>
      <c r="X778">
        <v>0</v>
      </c>
      <c r="Y778" t="s">
        <v>408</v>
      </c>
      <c r="Z778">
        <v>2020</v>
      </c>
      <c r="AA778" s="5">
        <v>0</v>
      </c>
      <c r="AB778">
        <v>1.3842124792099999</v>
      </c>
      <c r="AC778">
        <v>2.7684249584199998</v>
      </c>
      <c r="AD778" t="s">
        <v>408</v>
      </c>
      <c r="AE778" t="s">
        <v>408</v>
      </c>
      <c r="AF778" t="s">
        <v>408</v>
      </c>
      <c r="AG778" t="s">
        <v>408</v>
      </c>
      <c r="AH778" t="s">
        <v>408</v>
      </c>
      <c r="AI778" t="s">
        <v>408</v>
      </c>
      <c r="AJ778" t="s">
        <v>408</v>
      </c>
      <c r="AK778" t="s">
        <v>408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 s="58">
        <f t="shared" si="11"/>
        <v>1</v>
      </c>
      <c r="AU778" t="s">
        <v>1484</v>
      </c>
      <c r="AV778" t="s">
        <v>410</v>
      </c>
      <c r="AW778" t="s">
        <v>408</v>
      </c>
      <c r="AX778">
        <v>3</v>
      </c>
      <c r="AY778" t="s">
        <v>17</v>
      </c>
      <c r="AZ778" t="s">
        <v>400</v>
      </c>
    </row>
    <row r="779" spans="1:52" x14ac:dyDescent="0.3">
      <c r="A779">
        <v>768</v>
      </c>
      <c r="B779" t="s">
        <v>1769</v>
      </c>
      <c r="C779" t="s">
        <v>447</v>
      </c>
      <c r="D779" t="s">
        <v>1770</v>
      </c>
      <c r="E779" t="s">
        <v>417</v>
      </c>
      <c r="F779" t="s">
        <v>408</v>
      </c>
      <c r="G779">
        <v>3100</v>
      </c>
      <c r="H779">
        <v>3101</v>
      </c>
      <c r="I779" t="s">
        <v>1307</v>
      </c>
      <c r="J779">
        <v>3626</v>
      </c>
      <c r="K779">
        <v>3625</v>
      </c>
      <c r="L779" t="s">
        <v>1771</v>
      </c>
      <c r="M779">
        <v>0</v>
      </c>
      <c r="N779" t="s">
        <v>170</v>
      </c>
      <c r="O779" t="s">
        <v>170</v>
      </c>
      <c r="P779" t="s">
        <v>420</v>
      </c>
      <c r="Q779" t="s">
        <v>408</v>
      </c>
      <c r="R779" t="s">
        <v>1719</v>
      </c>
      <c r="S779">
        <v>2020</v>
      </c>
      <c r="T779">
        <v>10</v>
      </c>
      <c r="U779" t="s">
        <v>408</v>
      </c>
      <c r="V779" t="s">
        <v>408</v>
      </c>
      <c r="W779">
        <v>0</v>
      </c>
      <c r="X779">
        <v>0</v>
      </c>
      <c r="Y779" t="s">
        <v>408</v>
      </c>
      <c r="Z779">
        <v>2020</v>
      </c>
      <c r="AA779" s="5">
        <v>0</v>
      </c>
      <c r="AB779">
        <v>0.78705810930700004</v>
      </c>
      <c r="AC779">
        <v>1.57411621861</v>
      </c>
      <c r="AD779" t="s">
        <v>408</v>
      </c>
      <c r="AE779" t="s">
        <v>408</v>
      </c>
      <c r="AF779" t="s">
        <v>408</v>
      </c>
      <c r="AG779" t="s">
        <v>408</v>
      </c>
      <c r="AH779" t="s">
        <v>408</v>
      </c>
      <c r="AI779" t="s">
        <v>408</v>
      </c>
      <c r="AJ779" t="s">
        <v>408</v>
      </c>
      <c r="AK779" t="s">
        <v>408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 s="58">
        <f t="shared" ref="AT779:AT842" si="12">SUM(AM779:AS779)</f>
        <v>1</v>
      </c>
      <c r="AU779" t="s">
        <v>1772</v>
      </c>
      <c r="AV779" t="s">
        <v>410</v>
      </c>
      <c r="AW779" t="s">
        <v>408</v>
      </c>
      <c r="AX779">
        <v>2</v>
      </c>
      <c r="AY779" t="s">
        <v>17</v>
      </c>
      <c r="AZ779" t="s">
        <v>408</v>
      </c>
    </row>
    <row r="780" spans="1:52" x14ac:dyDescent="0.3">
      <c r="A780">
        <v>769</v>
      </c>
      <c r="B780" t="s">
        <v>1773</v>
      </c>
      <c r="C780" t="s">
        <v>155</v>
      </c>
      <c r="D780" t="s">
        <v>1773</v>
      </c>
      <c r="E780" t="s">
        <v>408</v>
      </c>
      <c r="F780" t="s">
        <v>408</v>
      </c>
      <c r="G780">
        <v>13000</v>
      </c>
      <c r="H780">
        <v>13001</v>
      </c>
      <c r="I780" t="s">
        <v>1308</v>
      </c>
      <c r="J780">
        <v>13400</v>
      </c>
      <c r="K780">
        <v>13401</v>
      </c>
      <c r="L780" t="s">
        <v>1774</v>
      </c>
      <c r="M780">
        <v>0</v>
      </c>
      <c r="N780" t="s">
        <v>170</v>
      </c>
      <c r="O780" t="s">
        <v>170</v>
      </c>
      <c r="P780" t="s">
        <v>420</v>
      </c>
      <c r="Q780" t="s">
        <v>408</v>
      </c>
      <c r="R780" t="s">
        <v>1719</v>
      </c>
      <c r="S780">
        <v>2020</v>
      </c>
      <c r="T780">
        <v>10</v>
      </c>
      <c r="U780" t="s">
        <v>408</v>
      </c>
      <c r="V780" t="s">
        <v>408</v>
      </c>
      <c r="W780">
        <v>0</v>
      </c>
      <c r="X780">
        <v>0</v>
      </c>
      <c r="Y780" t="s">
        <v>408</v>
      </c>
      <c r="Z780">
        <v>2020</v>
      </c>
      <c r="AA780" s="5">
        <v>0</v>
      </c>
      <c r="AB780">
        <v>0.50123169763300002</v>
      </c>
      <c r="AC780">
        <v>1.0024633952699999</v>
      </c>
      <c r="AD780" t="s">
        <v>408</v>
      </c>
      <c r="AE780" t="s">
        <v>408</v>
      </c>
      <c r="AF780" t="s">
        <v>408</v>
      </c>
      <c r="AG780" t="s">
        <v>408</v>
      </c>
      <c r="AH780" t="s">
        <v>408</v>
      </c>
      <c r="AI780" t="s">
        <v>408</v>
      </c>
      <c r="AJ780" t="s">
        <v>408</v>
      </c>
      <c r="AK780" t="s">
        <v>408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0</v>
      </c>
      <c r="AT780" s="58">
        <f t="shared" si="12"/>
        <v>1</v>
      </c>
      <c r="AU780" t="s">
        <v>1484</v>
      </c>
      <c r="AV780" t="s">
        <v>410</v>
      </c>
      <c r="AW780" t="s">
        <v>408</v>
      </c>
      <c r="AX780">
        <v>3</v>
      </c>
      <c r="AY780" t="s">
        <v>17</v>
      </c>
      <c r="AZ780" t="s">
        <v>408</v>
      </c>
    </row>
    <row r="781" spans="1:52" x14ac:dyDescent="0.3">
      <c r="A781">
        <v>770</v>
      </c>
      <c r="B781" t="s">
        <v>1110</v>
      </c>
      <c r="C781" t="s">
        <v>155</v>
      </c>
      <c r="D781" t="s">
        <v>1111</v>
      </c>
      <c r="E781" t="s">
        <v>460</v>
      </c>
      <c r="F781" t="s">
        <v>408</v>
      </c>
      <c r="G781">
        <v>10038</v>
      </c>
      <c r="H781">
        <v>10039</v>
      </c>
      <c r="I781" t="s">
        <v>1775</v>
      </c>
      <c r="J781">
        <v>10600</v>
      </c>
      <c r="K781">
        <v>10601</v>
      </c>
      <c r="L781" t="s">
        <v>1776</v>
      </c>
      <c r="M781">
        <v>0</v>
      </c>
      <c r="N781" t="s">
        <v>167</v>
      </c>
      <c r="O781" t="s">
        <v>167</v>
      </c>
      <c r="P781" t="s">
        <v>420</v>
      </c>
      <c r="Q781" t="s">
        <v>408</v>
      </c>
      <c r="R781" t="s">
        <v>1719</v>
      </c>
      <c r="S781">
        <v>2020</v>
      </c>
      <c r="T781">
        <v>11</v>
      </c>
      <c r="U781" t="s">
        <v>408</v>
      </c>
      <c r="V781" t="s">
        <v>408</v>
      </c>
      <c r="W781">
        <v>0</v>
      </c>
      <c r="X781">
        <v>0</v>
      </c>
      <c r="Y781" t="s">
        <v>408</v>
      </c>
      <c r="Z781">
        <v>2020</v>
      </c>
      <c r="AA781" s="5">
        <v>0</v>
      </c>
      <c r="AB781">
        <v>0.69562226061700005</v>
      </c>
      <c r="AC781">
        <v>1.39124452123</v>
      </c>
      <c r="AD781" t="s">
        <v>408</v>
      </c>
      <c r="AE781" t="s">
        <v>408</v>
      </c>
      <c r="AF781" t="s">
        <v>408</v>
      </c>
      <c r="AG781" t="s">
        <v>408</v>
      </c>
      <c r="AH781" t="s">
        <v>408</v>
      </c>
      <c r="AI781" t="s">
        <v>408</v>
      </c>
      <c r="AJ781" t="s">
        <v>408</v>
      </c>
      <c r="AK781" t="s">
        <v>408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0</v>
      </c>
      <c r="AT781" s="58">
        <f t="shared" si="12"/>
        <v>1</v>
      </c>
      <c r="AU781" t="s">
        <v>1484</v>
      </c>
      <c r="AV781" t="s">
        <v>410</v>
      </c>
      <c r="AW781" t="s">
        <v>408</v>
      </c>
      <c r="AX781">
        <v>2</v>
      </c>
      <c r="AY781" t="s">
        <v>412</v>
      </c>
      <c r="AZ781" t="s">
        <v>408</v>
      </c>
    </row>
    <row r="782" spans="1:52" x14ac:dyDescent="0.3">
      <c r="A782">
        <v>771</v>
      </c>
      <c r="B782" t="s">
        <v>1777</v>
      </c>
      <c r="C782" t="s">
        <v>155</v>
      </c>
      <c r="D782" t="s">
        <v>1777</v>
      </c>
      <c r="E782" t="s">
        <v>408</v>
      </c>
      <c r="F782" t="s">
        <v>155</v>
      </c>
      <c r="G782">
        <v>9800</v>
      </c>
      <c r="H782">
        <v>9801</v>
      </c>
      <c r="I782" t="s">
        <v>1778</v>
      </c>
      <c r="J782">
        <v>10000</v>
      </c>
      <c r="K782">
        <v>10001</v>
      </c>
      <c r="L782" t="s">
        <v>1526</v>
      </c>
      <c r="M782">
        <v>0</v>
      </c>
      <c r="N782" t="s">
        <v>168</v>
      </c>
      <c r="O782" t="s">
        <v>168</v>
      </c>
      <c r="P782" t="s">
        <v>420</v>
      </c>
      <c r="Q782" t="s">
        <v>408</v>
      </c>
      <c r="R782" t="s">
        <v>1719</v>
      </c>
      <c r="S782">
        <v>2020</v>
      </c>
      <c r="T782">
        <v>12</v>
      </c>
      <c r="U782" t="s">
        <v>376</v>
      </c>
      <c r="V782" t="s">
        <v>408</v>
      </c>
      <c r="W782">
        <v>0</v>
      </c>
      <c r="X782">
        <v>0</v>
      </c>
      <c r="Y782" t="s">
        <v>408</v>
      </c>
      <c r="Z782">
        <v>2020</v>
      </c>
      <c r="AA782" s="5">
        <v>0</v>
      </c>
      <c r="AB782">
        <v>0.25327857567399997</v>
      </c>
      <c r="AC782">
        <v>0.50655715134799995</v>
      </c>
      <c r="AD782" t="s">
        <v>408</v>
      </c>
      <c r="AE782" t="s">
        <v>152</v>
      </c>
      <c r="AF782" t="s">
        <v>408</v>
      </c>
      <c r="AG782" t="s">
        <v>411</v>
      </c>
      <c r="AH782" t="s">
        <v>408</v>
      </c>
      <c r="AI782" t="s">
        <v>408</v>
      </c>
      <c r="AJ782" t="s">
        <v>408</v>
      </c>
      <c r="AK782" t="s">
        <v>408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 s="58">
        <f t="shared" si="12"/>
        <v>1</v>
      </c>
      <c r="AU782" t="s">
        <v>1484</v>
      </c>
      <c r="AV782" t="s">
        <v>410</v>
      </c>
      <c r="AW782" t="s">
        <v>408</v>
      </c>
      <c r="AX782">
        <v>3</v>
      </c>
      <c r="AY782" t="s">
        <v>17</v>
      </c>
      <c r="AZ782" t="s">
        <v>408</v>
      </c>
    </row>
    <row r="783" spans="1:52" x14ac:dyDescent="0.3">
      <c r="A783">
        <v>772</v>
      </c>
      <c r="B783" t="s">
        <v>1766</v>
      </c>
      <c r="C783" t="s">
        <v>447</v>
      </c>
      <c r="D783" t="s">
        <v>1767</v>
      </c>
      <c r="E783" t="s">
        <v>417</v>
      </c>
      <c r="F783" t="s">
        <v>447</v>
      </c>
      <c r="G783">
        <v>3600</v>
      </c>
      <c r="H783">
        <v>3600</v>
      </c>
      <c r="I783" t="s">
        <v>1779</v>
      </c>
      <c r="J783">
        <v>3700</v>
      </c>
      <c r="K783">
        <v>3701</v>
      </c>
      <c r="L783" t="s">
        <v>1055</v>
      </c>
      <c r="M783">
        <v>0</v>
      </c>
      <c r="N783" t="s">
        <v>168</v>
      </c>
      <c r="O783" t="s">
        <v>168</v>
      </c>
      <c r="P783" t="s">
        <v>420</v>
      </c>
      <c r="Q783" t="s">
        <v>408</v>
      </c>
      <c r="R783" t="s">
        <v>1719</v>
      </c>
      <c r="S783">
        <v>2020</v>
      </c>
      <c r="T783">
        <v>12</v>
      </c>
      <c r="U783" t="s">
        <v>376</v>
      </c>
      <c r="V783" t="s">
        <v>408</v>
      </c>
      <c r="W783">
        <v>0</v>
      </c>
      <c r="X783">
        <v>0</v>
      </c>
      <c r="Y783" t="s">
        <v>408</v>
      </c>
      <c r="Z783">
        <v>2020</v>
      </c>
      <c r="AA783" s="5">
        <v>0</v>
      </c>
      <c r="AB783">
        <v>0.12485948534000001</v>
      </c>
      <c r="AC783">
        <v>0.24971897068000001</v>
      </c>
      <c r="AD783" t="s">
        <v>408</v>
      </c>
      <c r="AE783" t="s">
        <v>152</v>
      </c>
      <c r="AF783" t="s">
        <v>408</v>
      </c>
      <c r="AG783" t="s">
        <v>411</v>
      </c>
      <c r="AH783" t="s">
        <v>408</v>
      </c>
      <c r="AI783" t="s">
        <v>408</v>
      </c>
      <c r="AJ783" t="s">
        <v>408</v>
      </c>
      <c r="AK783" t="s">
        <v>408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 s="58">
        <f t="shared" si="12"/>
        <v>1</v>
      </c>
      <c r="AU783" t="s">
        <v>1484</v>
      </c>
      <c r="AV783" t="s">
        <v>410</v>
      </c>
      <c r="AW783" t="s">
        <v>408</v>
      </c>
      <c r="AX783">
        <v>3</v>
      </c>
      <c r="AY783" t="s">
        <v>17</v>
      </c>
      <c r="AZ783" t="s">
        <v>408</v>
      </c>
    </row>
    <row r="784" spans="1:52" x14ac:dyDescent="0.3">
      <c r="A784">
        <v>773</v>
      </c>
      <c r="B784" t="s">
        <v>886</v>
      </c>
      <c r="C784" t="s">
        <v>154</v>
      </c>
      <c r="D784" t="s">
        <v>887</v>
      </c>
      <c r="E784" t="s">
        <v>417</v>
      </c>
      <c r="F784" t="s">
        <v>408</v>
      </c>
      <c r="G784">
        <v>6000</v>
      </c>
      <c r="H784">
        <v>6001</v>
      </c>
      <c r="I784" t="s">
        <v>1301</v>
      </c>
      <c r="J784">
        <v>4800</v>
      </c>
      <c r="K784">
        <v>4801</v>
      </c>
      <c r="L784" t="s">
        <v>1068</v>
      </c>
      <c r="M784">
        <v>0</v>
      </c>
      <c r="N784" t="s">
        <v>167</v>
      </c>
      <c r="O784" t="s">
        <v>569</v>
      </c>
      <c r="P784" t="s">
        <v>420</v>
      </c>
      <c r="Q784" t="s">
        <v>408</v>
      </c>
      <c r="R784" t="s">
        <v>1780</v>
      </c>
      <c r="S784">
        <v>2020</v>
      </c>
      <c r="T784">
        <v>10</v>
      </c>
      <c r="U784" t="s">
        <v>1759</v>
      </c>
      <c r="V784" t="s">
        <v>408</v>
      </c>
      <c r="W784">
        <v>0</v>
      </c>
      <c r="X784">
        <v>0</v>
      </c>
      <c r="Y784" t="s">
        <v>408</v>
      </c>
      <c r="Z784">
        <v>2020</v>
      </c>
      <c r="AA784" s="5">
        <v>0</v>
      </c>
      <c r="AB784">
        <v>1.51520676385</v>
      </c>
      <c r="AC784">
        <v>3.0304135276999999</v>
      </c>
      <c r="AD784" t="s">
        <v>408</v>
      </c>
      <c r="AE784" t="s">
        <v>408</v>
      </c>
      <c r="AF784" t="s">
        <v>408</v>
      </c>
      <c r="AG784" t="s">
        <v>408</v>
      </c>
      <c r="AH784" t="s">
        <v>408</v>
      </c>
      <c r="AI784" t="s">
        <v>408</v>
      </c>
      <c r="AJ784" t="s">
        <v>408</v>
      </c>
      <c r="AK784" t="s">
        <v>408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 s="58">
        <f t="shared" si="12"/>
        <v>1</v>
      </c>
      <c r="AU784" t="s">
        <v>1484</v>
      </c>
      <c r="AV784" t="s">
        <v>410</v>
      </c>
      <c r="AW784" t="s">
        <v>408</v>
      </c>
      <c r="AX784">
        <v>2</v>
      </c>
      <c r="AY784" t="s">
        <v>412</v>
      </c>
      <c r="AZ784" t="s">
        <v>408</v>
      </c>
    </row>
    <row r="785" spans="1:52" x14ac:dyDescent="0.3">
      <c r="A785">
        <v>774</v>
      </c>
      <c r="B785" t="s">
        <v>557</v>
      </c>
      <c r="C785" t="s">
        <v>152</v>
      </c>
      <c r="D785" t="s">
        <v>558</v>
      </c>
      <c r="E785" t="s">
        <v>460</v>
      </c>
      <c r="F785" t="s">
        <v>408</v>
      </c>
      <c r="G785">
        <v>3200</v>
      </c>
      <c r="H785">
        <v>3201</v>
      </c>
      <c r="I785" t="s">
        <v>1781</v>
      </c>
      <c r="J785">
        <v>3100</v>
      </c>
      <c r="K785">
        <v>3101</v>
      </c>
      <c r="L785" t="s">
        <v>1782</v>
      </c>
      <c r="M785">
        <v>0</v>
      </c>
      <c r="N785" t="s">
        <v>167</v>
      </c>
      <c r="O785" t="s">
        <v>569</v>
      </c>
      <c r="P785" t="s">
        <v>420</v>
      </c>
      <c r="Q785" t="s">
        <v>408</v>
      </c>
      <c r="R785" t="s">
        <v>1780</v>
      </c>
      <c r="S785">
        <v>2020</v>
      </c>
      <c r="T785">
        <v>0</v>
      </c>
      <c r="U785" t="s">
        <v>569</v>
      </c>
      <c r="V785" t="s">
        <v>408</v>
      </c>
      <c r="W785">
        <v>0</v>
      </c>
      <c r="X785">
        <v>0</v>
      </c>
      <c r="Y785" t="s">
        <v>408</v>
      </c>
      <c r="Z785">
        <v>2020</v>
      </c>
      <c r="AA785">
        <v>0</v>
      </c>
      <c r="AB785">
        <v>0.18445671843</v>
      </c>
      <c r="AC785">
        <v>0.36891343686</v>
      </c>
      <c r="AD785" t="s">
        <v>408</v>
      </c>
      <c r="AE785" t="s">
        <v>408</v>
      </c>
      <c r="AF785" t="s">
        <v>408</v>
      </c>
      <c r="AG785" t="s">
        <v>408</v>
      </c>
      <c r="AH785" t="s">
        <v>408</v>
      </c>
      <c r="AI785" t="s">
        <v>408</v>
      </c>
      <c r="AJ785" t="s">
        <v>408</v>
      </c>
      <c r="AK785" t="s">
        <v>408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 s="58">
        <f t="shared" si="12"/>
        <v>1</v>
      </c>
      <c r="AU785" t="s">
        <v>1484</v>
      </c>
      <c r="AV785" t="s">
        <v>410</v>
      </c>
      <c r="AW785" t="s">
        <v>408</v>
      </c>
      <c r="AX785">
        <v>2</v>
      </c>
      <c r="AY785" t="s">
        <v>412</v>
      </c>
      <c r="AZ785" t="s">
        <v>408</v>
      </c>
    </row>
    <row r="786" spans="1:52" x14ac:dyDescent="0.3">
      <c r="A786">
        <v>775</v>
      </c>
      <c r="B786" t="s">
        <v>1783</v>
      </c>
      <c r="C786" t="s">
        <v>152</v>
      </c>
      <c r="D786" t="s">
        <v>650</v>
      </c>
      <c r="E786" t="s">
        <v>460</v>
      </c>
      <c r="F786" t="s">
        <v>408</v>
      </c>
      <c r="G786">
        <v>2200</v>
      </c>
      <c r="H786">
        <v>2201</v>
      </c>
      <c r="I786" t="s">
        <v>1784</v>
      </c>
      <c r="J786">
        <v>2426</v>
      </c>
      <c r="K786">
        <v>2425</v>
      </c>
      <c r="L786" t="s">
        <v>474</v>
      </c>
      <c r="M786">
        <v>0</v>
      </c>
      <c r="N786" t="s">
        <v>167</v>
      </c>
      <c r="O786" t="s">
        <v>167</v>
      </c>
      <c r="P786" t="s">
        <v>420</v>
      </c>
      <c r="Q786" t="s">
        <v>408</v>
      </c>
      <c r="R786" t="s">
        <v>1785</v>
      </c>
      <c r="S786">
        <v>2020</v>
      </c>
      <c r="T786">
        <v>0</v>
      </c>
      <c r="U786" t="s">
        <v>1786</v>
      </c>
      <c r="V786" t="s">
        <v>408</v>
      </c>
      <c r="W786">
        <v>0</v>
      </c>
      <c r="X786">
        <v>0</v>
      </c>
      <c r="Y786" t="s">
        <v>408</v>
      </c>
      <c r="Z786">
        <v>2020</v>
      </c>
      <c r="AA786">
        <v>0</v>
      </c>
      <c r="AB786">
        <v>0.36338104025399998</v>
      </c>
      <c r="AC786">
        <v>0.72676208050799995</v>
      </c>
      <c r="AD786" t="s">
        <v>408</v>
      </c>
      <c r="AE786" t="s">
        <v>408</v>
      </c>
      <c r="AF786" t="s">
        <v>408</v>
      </c>
      <c r="AG786" t="s">
        <v>408</v>
      </c>
      <c r="AH786" t="s">
        <v>408</v>
      </c>
      <c r="AI786" t="s">
        <v>408</v>
      </c>
      <c r="AJ786" t="s">
        <v>408</v>
      </c>
      <c r="AK786" t="s">
        <v>408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 s="58">
        <f t="shared" si="12"/>
        <v>1</v>
      </c>
      <c r="AU786" t="s">
        <v>1484</v>
      </c>
      <c r="AV786" t="s">
        <v>410</v>
      </c>
      <c r="AW786" t="s">
        <v>408</v>
      </c>
      <c r="AX786">
        <v>2</v>
      </c>
      <c r="AY786" t="s">
        <v>412</v>
      </c>
      <c r="AZ786" t="s">
        <v>408</v>
      </c>
    </row>
    <row r="787" spans="1:52" x14ac:dyDescent="0.3">
      <c r="A787">
        <v>776</v>
      </c>
      <c r="B787" t="s">
        <v>1787</v>
      </c>
      <c r="C787" t="s">
        <v>154</v>
      </c>
      <c r="D787" t="s">
        <v>1788</v>
      </c>
      <c r="E787" t="s">
        <v>417</v>
      </c>
      <c r="F787" t="s">
        <v>447</v>
      </c>
      <c r="G787">
        <v>2000</v>
      </c>
      <c r="H787">
        <v>2001</v>
      </c>
      <c r="I787" t="s">
        <v>435</v>
      </c>
      <c r="J787">
        <v>1900</v>
      </c>
      <c r="K787">
        <v>1901</v>
      </c>
      <c r="L787" t="s">
        <v>1789</v>
      </c>
      <c r="M787">
        <v>0</v>
      </c>
      <c r="N787" t="s">
        <v>167</v>
      </c>
      <c r="O787" t="s">
        <v>167</v>
      </c>
      <c r="P787" t="s">
        <v>420</v>
      </c>
      <c r="Q787" t="s">
        <v>408</v>
      </c>
      <c r="R787" t="s">
        <v>1790</v>
      </c>
      <c r="S787">
        <v>2020</v>
      </c>
      <c r="T787">
        <v>10</v>
      </c>
      <c r="U787" t="s">
        <v>376</v>
      </c>
      <c r="V787" t="s">
        <v>408</v>
      </c>
      <c r="W787">
        <v>0</v>
      </c>
      <c r="X787">
        <v>0</v>
      </c>
      <c r="Y787" t="s">
        <v>408</v>
      </c>
      <c r="Z787">
        <v>2020</v>
      </c>
      <c r="AA787">
        <v>0</v>
      </c>
      <c r="AB787">
        <v>0.12412968416</v>
      </c>
      <c r="AC787">
        <v>0.24825936832000001</v>
      </c>
      <c r="AD787" t="s">
        <v>408</v>
      </c>
      <c r="AE787" t="s">
        <v>152</v>
      </c>
      <c r="AF787" t="s">
        <v>408</v>
      </c>
      <c r="AG787" t="s">
        <v>411</v>
      </c>
      <c r="AH787" t="s">
        <v>408</v>
      </c>
      <c r="AI787" t="s">
        <v>408</v>
      </c>
      <c r="AJ787" t="s">
        <v>408</v>
      </c>
      <c r="AK787" t="s">
        <v>408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s="58">
        <f t="shared" si="12"/>
        <v>1</v>
      </c>
      <c r="AU787" t="s">
        <v>1484</v>
      </c>
      <c r="AV787" t="s">
        <v>410</v>
      </c>
      <c r="AW787" t="s">
        <v>408</v>
      </c>
      <c r="AX787">
        <v>3</v>
      </c>
      <c r="AY787" t="s">
        <v>17</v>
      </c>
      <c r="AZ787" t="s">
        <v>408</v>
      </c>
    </row>
    <row r="788" spans="1:52" x14ac:dyDescent="0.3">
      <c r="A788">
        <v>777</v>
      </c>
      <c r="B788" t="s">
        <v>1791</v>
      </c>
      <c r="C788" t="s">
        <v>152</v>
      </c>
      <c r="D788" t="s">
        <v>1792</v>
      </c>
      <c r="E788" t="s">
        <v>460</v>
      </c>
      <c r="F788" t="s">
        <v>152</v>
      </c>
      <c r="G788">
        <v>4600</v>
      </c>
      <c r="H788">
        <v>4601</v>
      </c>
      <c r="I788" t="s">
        <v>686</v>
      </c>
      <c r="J788">
        <v>4400</v>
      </c>
      <c r="K788">
        <v>4401</v>
      </c>
      <c r="L788" t="s">
        <v>685</v>
      </c>
      <c r="M788">
        <v>0</v>
      </c>
      <c r="N788" t="s">
        <v>167</v>
      </c>
      <c r="O788" t="s">
        <v>167</v>
      </c>
      <c r="P788" t="s">
        <v>420</v>
      </c>
      <c r="Q788" t="s">
        <v>408</v>
      </c>
      <c r="R788" t="s">
        <v>408</v>
      </c>
      <c r="S788">
        <v>2020</v>
      </c>
      <c r="T788">
        <v>10</v>
      </c>
      <c r="U788" t="s">
        <v>1793</v>
      </c>
      <c r="V788" t="s">
        <v>408</v>
      </c>
      <c r="W788">
        <v>0</v>
      </c>
      <c r="X788">
        <v>0</v>
      </c>
      <c r="Y788" t="s">
        <v>408</v>
      </c>
      <c r="Z788">
        <v>2020</v>
      </c>
      <c r="AA788">
        <v>0</v>
      </c>
      <c r="AB788">
        <v>0.24418161782700001</v>
      </c>
      <c r="AC788">
        <v>0.24418161782700001</v>
      </c>
      <c r="AD788" t="s">
        <v>408</v>
      </c>
      <c r="AE788" t="s">
        <v>411</v>
      </c>
      <c r="AF788" t="s">
        <v>152</v>
      </c>
      <c r="AG788" t="s">
        <v>152</v>
      </c>
      <c r="AH788" t="s">
        <v>408</v>
      </c>
      <c r="AI788" t="s">
        <v>408</v>
      </c>
      <c r="AJ788" t="s">
        <v>408</v>
      </c>
      <c r="AK788" t="s">
        <v>408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s="58">
        <f t="shared" si="12"/>
        <v>1</v>
      </c>
      <c r="AU788" t="s">
        <v>1484</v>
      </c>
      <c r="AV788" t="s">
        <v>410</v>
      </c>
      <c r="AW788" t="s">
        <v>152</v>
      </c>
      <c r="AX788">
        <v>3</v>
      </c>
      <c r="AY788" t="s">
        <v>17</v>
      </c>
      <c r="AZ788">
        <v>20</v>
      </c>
    </row>
    <row r="789" spans="1:52" x14ac:dyDescent="0.3">
      <c r="A789">
        <v>778</v>
      </c>
      <c r="B789" t="s">
        <v>801</v>
      </c>
      <c r="C789" t="s">
        <v>152</v>
      </c>
      <c r="D789" t="s">
        <v>802</v>
      </c>
      <c r="E789" t="s">
        <v>460</v>
      </c>
      <c r="F789" t="s">
        <v>155</v>
      </c>
      <c r="G789">
        <v>4400</v>
      </c>
      <c r="H789">
        <v>4401</v>
      </c>
      <c r="I789" t="s">
        <v>685</v>
      </c>
      <c r="J789">
        <v>4500</v>
      </c>
      <c r="K789">
        <v>4501</v>
      </c>
      <c r="L789" t="s">
        <v>686</v>
      </c>
      <c r="M789">
        <v>0</v>
      </c>
      <c r="N789" t="s">
        <v>167</v>
      </c>
      <c r="O789" t="s">
        <v>167</v>
      </c>
      <c r="P789" t="s">
        <v>420</v>
      </c>
      <c r="Q789" t="s">
        <v>408</v>
      </c>
      <c r="R789" t="s">
        <v>1790</v>
      </c>
      <c r="S789">
        <v>2020</v>
      </c>
      <c r="T789">
        <v>10</v>
      </c>
      <c r="U789" t="s">
        <v>1794</v>
      </c>
      <c r="V789" t="s">
        <v>408</v>
      </c>
      <c r="W789">
        <v>0</v>
      </c>
      <c r="X789">
        <v>0</v>
      </c>
      <c r="Y789" t="s">
        <v>408</v>
      </c>
      <c r="Z789">
        <v>2020</v>
      </c>
      <c r="AA789">
        <v>0</v>
      </c>
      <c r="AB789">
        <v>0.24437421340500001</v>
      </c>
      <c r="AC789">
        <v>0.24437421340500001</v>
      </c>
      <c r="AD789" t="s">
        <v>408</v>
      </c>
      <c r="AE789" t="s">
        <v>411</v>
      </c>
      <c r="AF789" t="s">
        <v>155</v>
      </c>
      <c r="AG789" t="s">
        <v>152</v>
      </c>
      <c r="AH789" t="s">
        <v>408</v>
      </c>
      <c r="AI789" t="s">
        <v>408</v>
      </c>
      <c r="AJ789" t="s">
        <v>408</v>
      </c>
      <c r="AK789" t="s">
        <v>408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s="58">
        <f t="shared" si="12"/>
        <v>1</v>
      </c>
      <c r="AU789" t="s">
        <v>1484</v>
      </c>
      <c r="AV789" t="s">
        <v>410</v>
      </c>
      <c r="AW789" t="s">
        <v>152</v>
      </c>
      <c r="AX789">
        <v>3</v>
      </c>
      <c r="AY789" t="s">
        <v>17</v>
      </c>
      <c r="AZ789">
        <v>20</v>
      </c>
    </row>
    <row r="790" spans="1:52" x14ac:dyDescent="0.3">
      <c r="A790">
        <v>779</v>
      </c>
      <c r="B790" t="s">
        <v>801</v>
      </c>
      <c r="C790" t="s">
        <v>152</v>
      </c>
      <c r="D790" t="s">
        <v>802</v>
      </c>
      <c r="E790" t="s">
        <v>460</v>
      </c>
      <c r="F790" t="s">
        <v>408</v>
      </c>
      <c r="G790">
        <v>4500</v>
      </c>
      <c r="H790">
        <v>4501</v>
      </c>
      <c r="I790" t="s">
        <v>686</v>
      </c>
      <c r="J790">
        <v>4700</v>
      </c>
      <c r="K790">
        <v>4701</v>
      </c>
      <c r="L790" t="s">
        <v>1513</v>
      </c>
      <c r="M790">
        <v>0</v>
      </c>
      <c r="N790" t="s">
        <v>170</v>
      </c>
      <c r="O790" t="s">
        <v>170</v>
      </c>
      <c r="P790" t="s">
        <v>420</v>
      </c>
      <c r="Q790" t="s">
        <v>408</v>
      </c>
      <c r="R790" t="s">
        <v>1790</v>
      </c>
      <c r="S790">
        <v>2020</v>
      </c>
      <c r="T790">
        <v>10</v>
      </c>
      <c r="U790" t="s">
        <v>408</v>
      </c>
      <c r="V790" t="s">
        <v>408</v>
      </c>
      <c r="W790">
        <v>0</v>
      </c>
      <c r="X790">
        <v>0</v>
      </c>
      <c r="Y790" t="s">
        <v>408</v>
      </c>
      <c r="Z790">
        <v>2020</v>
      </c>
      <c r="AA790">
        <v>0</v>
      </c>
      <c r="AB790">
        <v>0.133094417938</v>
      </c>
      <c r="AC790">
        <v>0.26618883587600001</v>
      </c>
      <c r="AD790" t="s">
        <v>408</v>
      </c>
      <c r="AE790" t="s">
        <v>408</v>
      </c>
      <c r="AF790" t="s">
        <v>408</v>
      </c>
      <c r="AG790" t="s">
        <v>408</v>
      </c>
      <c r="AH790" t="s">
        <v>408</v>
      </c>
      <c r="AI790" t="s">
        <v>408</v>
      </c>
      <c r="AJ790" t="s">
        <v>408</v>
      </c>
      <c r="AK790" t="s">
        <v>408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s="58">
        <f t="shared" si="12"/>
        <v>1</v>
      </c>
      <c r="AU790" t="s">
        <v>1484</v>
      </c>
      <c r="AV790" t="s">
        <v>410</v>
      </c>
      <c r="AW790" t="s">
        <v>408</v>
      </c>
      <c r="AX790">
        <v>3</v>
      </c>
      <c r="AY790" t="s">
        <v>17</v>
      </c>
      <c r="AZ790">
        <v>20</v>
      </c>
    </row>
    <row r="791" spans="1:52" x14ac:dyDescent="0.3">
      <c r="A791">
        <v>780</v>
      </c>
      <c r="B791" t="s">
        <v>715</v>
      </c>
      <c r="C791" t="s">
        <v>152</v>
      </c>
      <c r="D791" t="s">
        <v>716</v>
      </c>
      <c r="E791" t="s">
        <v>460</v>
      </c>
      <c r="F791" t="s">
        <v>408</v>
      </c>
      <c r="G791">
        <v>3200</v>
      </c>
      <c r="H791">
        <v>3201</v>
      </c>
      <c r="I791" t="s">
        <v>803</v>
      </c>
      <c r="J791">
        <v>3000</v>
      </c>
      <c r="K791">
        <v>3001</v>
      </c>
      <c r="L791" t="s">
        <v>484</v>
      </c>
      <c r="M791">
        <v>3</v>
      </c>
      <c r="N791" t="s">
        <v>167</v>
      </c>
      <c r="O791" t="s">
        <v>167</v>
      </c>
      <c r="P791" t="s">
        <v>414</v>
      </c>
      <c r="Q791" t="s">
        <v>408</v>
      </c>
      <c r="R791" t="s">
        <v>510</v>
      </c>
      <c r="S791">
        <v>2002</v>
      </c>
      <c r="T791">
        <v>8</v>
      </c>
      <c r="U791" t="s">
        <v>408</v>
      </c>
      <c r="V791" t="s">
        <v>1353</v>
      </c>
      <c r="W791">
        <v>2020</v>
      </c>
      <c r="X791">
        <v>9</v>
      </c>
      <c r="Y791" t="s">
        <v>408</v>
      </c>
      <c r="Z791">
        <v>2020</v>
      </c>
      <c r="AA791">
        <v>2020</v>
      </c>
      <c r="AB791">
        <v>0.25211903991399998</v>
      </c>
      <c r="AC791">
        <v>0.50423807982799995</v>
      </c>
      <c r="AD791" t="s">
        <v>408</v>
      </c>
      <c r="AE791" t="s">
        <v>152</v>
      </c>
      <c r="AF791" t="s">
        <v>408</v>
      </c>
      <c r="AG791" t="s">
        <v>408</v>
      </c>
      <c r="AH791" t="s">
        <v>408</v>
      </c>
      <c r="AI791" t="s">
        <v>408</v>
      </c>
      <c r="AJ791" t="s">
        <v>408</v>
      </c>
      <c r="AK791" t="s">
        <v>408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s="58">
        <f t="shared" si="12"/>
        <v>1</v>
      </c>
      <c r="AU791" t="s">
        <v>1484</v>
      </c>
      <c r="AV791" t="s">
        <v>410</v>
      </c>
      <c r="AW791" t="s">
        <v>408</v>
      </c>
      <c r="AX791">
        <v>2</v>
      </c>
      <c r="AY791" t="s">
        <v>412</v>
      </c>
      <c r="AZ791" t="s">
        <v>408</v>
      </c>
    </row>
    <row r="792" spans="1:52" x14ac:dyDescent="0.3">
      <c r="A792">
        <v>781</v>
      </c>
      <c r="B792" t="s">
        <v>1795</v>
      </c>
      <c r="C792" t="s">
        <v>154</v>
      </c>
      <c r="D792" t="s">
        <v>1796</v>
      </c>
      <c r="E792" t="s">
        <v>417</v>
      </c>
      <c r="F792" t="s">
        <v>154</v>
      </c>
      <c r="G792">
        <v>1200</v>
      </c>
      <c r="H792">
        <v>1201</v>
      </c>
      <c r="I792" t="s">
        <v>983</v>
      </c>
      <c r="J792">
        <v>800</v>
      </c>
      <c r="K792">
        <v>801</v>
      </c>
      <c r="L792" t="s">
        <v>814</v>
      </c>
      <c r="M792">
        <v>0</v>
      </c>
      <c r="N792" t="s">
        <v>167</v>
      </c>
      <c r="O792" t="s">
        <v>167</v>
      </c>
      <c r="P792" t="s">
        <v>420</v>
      </c>
      <c r="Q792" t="s">
        <v>408</v>
      </c>
      <c r="R792" t="s">
        <v>1719</v>
      </c>
      <c r="S792">
        <v>2020</v>
      </c>
      <c r="T792">
        <v>9</v>
      </c>
      <c r="U792" t="s">
        <v>408</v>
      </c>
      <c r="V792" t="s">
        <v>408</v>
      </c>
      <c r="W792">
        <v>0</v>
      </c>
      <c r="X792">
        <v>0</v>
      </c>
      <c r="Y792" t="s">
        <v>408</v>
      </c>
      <c r="Z792">
        <v>2020</v>
      </c>
      <c r="AA792">
        <v>0</v>
      </c>
      <c r="AB792">
        <v>0.50174653200800001</v>
      </c>
      <c r="AC792">
        <v>0.50174653200800001</v>
      </c>
      <c r="AD792" t="s">
        <v>408</v>
      </c>
      <c r="AE792" t="s">
        <v>411</v>
      </c>
      <c r="AF792" t="s">
        <v>154</v>
      </c>
      <c r="AG792" t="s">
        <v>152</v>
      </c>
      <c r="AH792" t="s">
        <v>408</v>
      </c>
      <c r="AI792" t="s">
        <v>408</v>
      </c>
      <c r="AJ792" t="s">
        <v>408</v>
      </c>
      <c r="AK792" t="s">
        <v>408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 s="58">
        <f t="shared" si="12"/>
        <v>1</v>
      </c>
      <c r="AU792" t="s">
        <v>431</v>
      </c>
      <c r="AV792" t="s">
        <v>410</v>
      </c>
      <c r="AW792" t="s">
        <v>408</v>
      </c>
      <c r="AX792">
        <v>3</v>
      </c>
      <c r="AY792" t="s">
        <v>17</v>
      </c>
      <c r="AZ792" t="s">
        <v>400</v>
      </c>
    </row>
    <row r="793" spans="1:52" x14ac:dyDescent="0.3">
      <c r="A793">
        <v>782</v>
      </c>
      <c r="B793" t="s">
        <v>1797</v>
      </c>
      <c r="C793" t="s">
        <v>154</v>
      </c>
      <c r="D793" t="s">
        <v>1798</v>
      </c>
      <c r="E793" t="s">
        <v>417</v>
      </c>
      <c r="F793" t="s">
        <v>447</v>
      </c>
      <c r="G793">
        <v>2000</v>
      </c>
      <c r="H793">
        <v>2001</v>
      </c>
      <c r="I793" t="s">
        <v>418</v>
      </c>
      <c r="J793">
        <v>1600</v>
      </c>
      <c r="K793">
        <v>1601</v>
      </c>
      <c r="L793" t="s">
        <v>813</v>
      </c>
      <c r="M793">
        <v>0</v>
      </c>
      <c r="N793" t="s">
        <v>167</v>
      </c>
      <c r="O793" t="s">
        <v>167</v>
      </c>
      <c r="P793" t="s">
        <v>420</v>
      </c>
      <c r="Q793" t="s">
        <v>408</v>
      </c>
      <c r="R793" t="s">
        <v>408</v>
      </c>
      <c r="S793">
        <v>2020</v>
      </c>
      <c r="T793">
        <v>9</v>
      </c>
      <c r="U793" t="s">
        <v>408</v>
      </c>
      <c r="V793" t="s">
        <v>408</v>
      </c>
      <c r="W793">
        <v>0</v>
      </c>
      <c r="X793">
        <v>0</v>
      </c>
      <c r="Y793" t="s">
        <v>408</v>
      </c>
      <c r="Z793">
        <v>2020</v>
      </c>
      <c r="AA793">
        <v>0</v>
      </c>
      <c r="AB793">
        <v>0.50148584846599997</v>
      </c>
      <c r="AC793">
        <v>0.50148584846599997</v>
      </c>
      <c r="AD793" t="s">
        <v>408</v>
      </c>
      <c r="AE793" t="s">
        <v>411</v>
      </c>
      <c r="AF793" t="s">
        <v>447</v>
      </c>
      <c r="AG793" t="s">
        <v>152</v>
      </c>
      <c r="AH793" t="s">
        <v>408</v>
      </c>
      <c r="AI793" t="s">
        <v>408</v>
      </c>
      <c r="AJ793" t="s">
        <v>408</v>
      </c>
      <c r="AK793" t="s">
        <v>408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 s="58">
        <f t="shared" si="12"/>
        <v>1</v>
      </c>
      <c r="AU793" t="s">
        <v>431</v>
      </c>
      <c r="AV793" t="s">
        <v>410</v>
      </c>
      <c r="AW793" t="s">
        <v>408</v>
      </c>
      <c r="AX793">
        <v>3</v>
      </c>
      <c r="AY793" t="s">
        <v>17</v>
      </c>
      <c r="AZ793" t="s">
        <v>400</v>
      </c>
    </row>
    <row r="794" spans="1:52" x14ac:dyDescent="0.3">
      <c r="A794">
        <v>783</v>
      </c>
      <c r="B794" t="s">
        <v>1797</v>
      </c>
      <c r="C794" t="s">
        <v>154</v>
      </c>
      <c r="D794" t="s">
        <v>1798</v>
      </c>
      <c r="E794" t="s">
        <v>417</v>
      </c>
      <c r="F794" t="s">
        <v>447</v>
      </c>
      <c r="G794">
        <v>1400</v>
      </c>
      <c r="H794">
        <v>1401</v>
      </c>
      <c r="I794" t="s">
        <v>1735</v>
      </c>
      <c r="J794">
        <v>800</v>
      </c>
      <c r="K794">
        <v>801</v>
      </c>
      <c r="L794" t="s">
        <v>814</v>
      </c>
      <c r="M794">
        <v>0</v>
      </c>
      <c r="N794" t="s">
        <v>167</v>
      </c>
      <c r="O794" t="s">
        <v>167</v>
      </c>
      <c r="P794" t="s">
        <v>420</v>
      </c>
      <c r="Q794" t="s">
        <v>408</v>
      </c>
      <c r="R794" t="s">
        <v>1719</v>
      </c>
      <c r="S794">
        <v>2020</v>
      </c>
      <c r="T794">
        <v>9</v>
      </c>
      <c r="U794" t="s">
        <v>408</v>
      </c>
      <c r="V794" t="s">
        <v>408</v>
      </c>
      <c r="W794">
        <v>0</v>
      </c>
      <c r="X794">
        <v>0</v>
      </c>
      <c r="Y794" t="s">
        <v>408</v>
      </c>
      <c r="Z794">
        <v>2020</v>
      </c>
      <c r="AA794">
        <v>0</v>
      </c>
      <c r="AB794">
        <v>0.68998037653900002</v>
      </c>
      <c r="AC794">
        <v>0.68998037653900002</v>
      </c>
      <c r="AD794" t="s">
        <v>408</v>
      </c>
      <c r="AE794" t="s">
        <v>411</v>
      </c>
      <c r="AF794" t="s">
        <v>447</v>
      </c>
      <c r="AG794" t="s">
        <v>152</v>
      </c>
      <c r="AH794" t="s">
        <v>408</v>
      </c>
      <c r="AI794" t="s">
        <v>408</v>
      </c>
      <c r="AJ794" t="s">
        <v>408</v>
      </c>
      <c r="AK794" t="s">
        <v>408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 s="58">
        <f t="shared" si="12"/>
        <v>1</v>
      </c>
      <c r="AU794" t="s">
        <v>431</v>
      </c>
      <c r="AV794" t="s">
        <v>410</v>
      </c>
      <c r="AW794" t="s">
        <v>408</v>
      </c>
      <c r="AX794">
        <v>3</v>
      </c>
      <c r="AY794" t="s">
        <v>17</v>
      </c>
      <c r="AZ794" t="s">
        <v>400</v>
      </c>
    </row>
    <row r="795" spans="1:52" x14ac:dyDescent="0.3">
      <c r="A795">
        <v>784</v>
      </c>
      <c r="B795" t="s">
        <v>1799</v>
      </c>
      <c r="C795" t="s">
        <v>155</v>
      </c>
      <c r="D795" t="s">
        <v>1800</v>
      </c>
      <c r="E795" t="s">
        <v>417</v>
      </c>
      <c r="F795" t="s">
        <v>152</v>
      </c>
      <c r="G795">
        <v>8200</v>
      </c>
      <c r="H795">
        <v>8201</v>
      </c>
      <c r="I795" t="s">
        <v>1495</v>
      </c>
      <c r="J795">
        <v>8100</v>
      </c>
      <c r="K795">
        <v>8101</v>
      </c>
      <c r="L795" t="s">
        <v>1801</v>
      </c>
      <c r="M795">
        <v>0</v>
      </c>
      <c r="N795" t="s">
        <v>167</v>
      </c>
      <c r="O795" t="s">
        <v>167</v>
      </c>
      <c r="P795" t="s">
        <v>420</v>
      </c>
      <c r="Q795" t="s">
        <v>408</v>
      </c>
      <c r="R795" t="s">
        <v>1719</v>
      </c>
      <c r="S795">
        <v>2020</v>
      </c>
      <c r="T795">
        <v>9</v>
      </c>
      <c r="U795" t="s">
        <v>376</v>
      </c>
      <c r="V795" t="s">
        <v>408</v>
      </c>
      <c r="W795">
        <v>0</v>
      </c>
      <c r="X795">
        <v>0</v>
      </c>
      <c r="Y795" t="s">
        <v>408</v>
      </c>
      <c r="Z795">
        <v>2020</v>
      </c>
      <c r="AA795">
        <v>0</v>
      </c>
      <c r="AB795">
        <v>0.12568437743399999</v>
      </c>
      <c r="AC795">
        <v>0.25136875486799998</v>
      </c>
      <c r="AD795" t="s">
        <v>408</v>
      </c>
      <c r="AE795" t="s">
        <v>152</v>
      </c>
      <c r="AF795" t="s">
        <v>408</v>
      </c>
      <c r="AG795" t="s">
        <v>411</v>
      </c>
      <c r="AH795" t="s">
        <v>408</v>
      </c>
      <c r="AI795" t="s">
        <v>408</v>
      </c>
      <c r="AJ795" t="s">
        <v>408</v>
      </c>
      <c r="AK795" t="s">
        <v>408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 s="58">
        <f t="shared" si="12"/>
        <v>1</v>
      </c>
      <c r="AU795" t="s">
        <v>431</v>
      </c>
      <c r="AV795" t="s">
        <v>410</v>
      </c>
      <c r="AW795" t="s">
        <v>408</v>
      </c>
      <c r="AX795">
        <v>3</v>
      </c>
      <c r="AY795" t="s">
        <v>17</v>
      </c>
      <c r="AZ795" t="s">
        <v>400</v>
      </c>
    </row>
    <row r="796" spans="1:52" x14ac:dyDescent="0.3">
      <c r="A796">
        <v>785</v>
      </c>
      <c r="B796" t="s">
        <v>811</v>
      </c>
      <c r="C796" t="s">
        <v>154</v>
      </c>
      <c r="D796" t="s">
        <v>812</v>
      </c>
      <c r="E796" t="s">
        <v>399</v>
      </c>
      <c r="F796" t="s">
        <v>408</v>
      </c>
      <c r="G796">
        <v>2400</v>
      </c>
      <c r="H796">
        <v>2401</v>
      </c>
      <c r="I796" t="s">
        <v>576</v>
      </c>
      <c r="J796">
        <v>2000</v>
      </c>
      <c r="K796">
        <v>2001</v>
      </c>
      <c r="L796" t="s">
        <v>418</v>
      </c>
      <c r="M796">
        <v>2</v>
      </c>
      <c r="N796" t="s">
        <v>167</v>
      </c>
      <c r="O796" t="s">
        <v>167</v>
      </c>
      <c r="P796" t="s">
        <v>420</v>
      </c>
      <c r="Q796" t="s">
        <v>408</v>
      </c>
      <c r="R796" t="s">
        <v>697</v>
      </c>
      <c r="S796">
        <v>1996</v>
      </c>
      <c r="T796">
        <v>8</v>
      </c>
      <c r="U796" t="s">
        <v>408</v>
      </c>
      <c r="V796" t="s">
        <v>749</v>
      </c>
      <c r="W796">
        <v>2021</v>
      </c>
      <c r="X796">
        <v>0</v>
      </c>
      <c r="Y796" t="s">
        <v>408</v>
      </c>
      <c r="Z796">
        <v>2021</v>
      </c>
      <c r="AA796">
        <v>2012</v>
      </c>
      <c r="AB796">
        <v>0.50508584029900006</v>
      </c>
      <c r="AC796">
        <v>1.0101716806000001</v>
      </c>
      <c r="AD796" t="s">
        <v>400</v>
      </c>
      <c r="AE796" t="s">
        <v>152</v>
      </c>
      <c r="AF796" t="s">
        <v>400</v>
      </c>
      <c r="AG796" t="s">
        <v>400</v>
      </c>
      <c r="AH796" t="s">
        <v>400</v>
      </c>
      <c r="AI796" t="s">
        <v>400</v>
      </c>
      <c r="AJ796" t="s">
        <v>400</v>
      </c>
      <c r="AK796" t="s">
        <v>400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 s="58">
        <f t="shared" si="12"/>
        <v>1</v>
      </c>
      <c r="AU796" t="s">
        <v>768</v>
      </c>
      <c r="AV796" t="s">
        <v>410</v>
      </c>
      <c r="AW796" t="s">
        <v>408</v>
      </c>
      <c r="AX796">
        <v>2</v>
      </c>
      <c r="AY796" t="s">
        <v>412</v>
      </c>
      <c r="AZ796" t="s">
        <v>408</v>
      </c>
    </row>
    <row r="797" spans="1:52" x14ac:dyDescent="0.3">
      <c r="A797">
        <v>786</v>
      </c>
      <c r="B797" t="s">
        <v>684</v>
      </c>
      <c r="C797" t="s">
        <v>152</v>
      </c>
      <c r="D797" t="s">
        <v>684</v>
      </c>
      <c r="E797" t="s">
        <v>408</v>
      </c>
      <c r="F797" t="s">
        <v>408</v>
      </c>
      <c r="G797">
        <v>4600</v>
      </c>
      <c r="H797">
        <v>4601</v>
      </c>
      <c r="I797" t="s">
        <v>686</v>
      </c>
      <c r="J797">
        <v>4700</v>
      </c>
      <c r="K797">
        <v>4701</v>
      </c>
      <c r="L797" t="s">
        <v>1513</v>
      </c>
      <c r="M797">
        <v>3</v>
      </c>
      <c r="N797" t="s">
        <v>165</v>
      </c>
      <c r="O797" t="s">
        <v>165</v>
      </c>
      <c r="P797" t="s">
        <v>420</v>
      </c>
      <c r="Q797" t="s">
        <v>687</v>
      </c>
      <c r="R797" t="s">
        <v>526</v>
      </c>
      <c r="S797">
        <v>2014</v>
      </c>
      <c r="T797">
        <v>6</v>
      </c>
      <c r="U797" t="s">
        <v>1108</v>
      </c>
      <c r="V797" t="s">
        <v>407</v>
      </c>
      <c r="W797">
        <v>2020</v>
      </c>
      <c r="X797">
        <v>0</v>
      </c>
      <c r="Y797" t="s">
        <v>408</v>
      </c>
      <c r="Z797">
        <v>2020</v>
      </c>
      <c r="AA797">
        <v>0</v>
      </c>
      <c r="AB797">
        <v>0.138587956446</v>
      </c>
      <c r="AC797">
        <v>0.277175912892</v>
      </c>
      <c r="AD797" t="s">
        <v>408</v>
      </c>
      <c r="AE797" t="s">
        <v>152</v>
      </c>
      <c r="AF797" t="s">
        <v>408</v>
      </c>
      <c r="AG797" t="s">
        <v>408</v>
      </c>
      <c r="AH797" t="s">
        <v>408</v>
      </c>
      <c r="AI797" t="s">
        <v>408</v>
      </c>
      <c r="AJ797" t="s">
        <v>408</v>
      </c>
      <c r="AK797" t="s">
        <v>408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s="58">
        <f t="shared" si="12"/>
        <v>1</v>
      </c>
      <c r="AU797" t="s">
        <v>431</v>
      </c>
      <c r="AV797" t="s">
        <v>410</v>
      </c>
      <c r="AW797" t="s">
        <v>152</v>
      </c>
      <c r="AX797">
        <v>2</v>
      </c>
      <c r="AY797" t="s">
        <v>412</v>
      </c>
      <c r="AZ797" t="s">
        <v>408</v>
      </c>
    </row>
    <row r="798" spans="1:52" x14ac:dyDescent="0.3">
      <c r="A798">
        <v>787</v>
      </c>
      <c r="B798" t="s">
        <v>1183</v>
      </c>
      <c r="C798" t="s">
        <v>154</v>
      </c>
      <c r="D798" t="s">
        <v>1184</v>
      </c>
      <c r="E798" t="s">
        <v>417</v>
      </c>
      <c r="F798" t="s">
        <v>408</v>
      </c>
      <c r="G798">
        <v>300</v>
      </c>
      <c r="H798">
        <v>301</v>
      </c>
      <c r="I798" t="s">
        <v>1802</v>
      </c>
      <c r="J798">
        <v>176</v>
      </c>
      <c r="K798">
        <v>175</v>
      </c>
      <c r="L798" t="s">
        <v>1263</v>
      </c>
      <c r="M798">
        <v>3</v>
      </c>
      <c r="N798" t="s">
        <v>163</v>
      </c>
      <c r="O798" t="s">
        <v>163</v>
      </c>
      <c r="P798" t="s">
        <v>403</v>
      </c>
      <c r="Q798" t="s">
        <v>408</v>
      </c>
      <c r="R798" t="s">
        <v>648</v>
      </c>
      <c r="S798">
        <v>2019</v>
      </c>
      <c r="T798">
        <v>6</v>
      </c>
      <c r="U798" t="s">
        <v>1163</v>
      </c>
      <c r="V798" t="s">
        <v>407</v>
      </c>
      <c r="W798">
        <v>2020</v>
      </c>
      <c r="X798">
        <v>0</v>
      </c>
      <c r="Y798" t="s">
        <v>408</v>
      </c>
      <c r="Z798">
        <v>2020</v>
      </c>
      <c r="AA798">
        <v>0</v>
      </c>
      <c r="AB798">
        <v>0.104728170141</v>
      </c>
      <c r="AC798">
        <v>0.209456340282</v>
      </c>
      <c r="AD798" t="s">
        <v>408</v>
      </c>
      <c r="AE798" t="s">
        <v>152</v>
      </c>
      <c r="AF798" t="s">
        <v>408</v>
      </c>
      <c r="AG798" t="s">
        <v>408</v>
      </c>
      <c r="AH798" t="s">
        <v>408</v>
      </c>
      <c r="AI798" t="s">
        <v>438</v>
      </c>
      <c r="AJ798" t="s">
        <v>400</v>
      </c>
      <c r="AK798" t="s">
        <v>408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 s="58">
        <f t="shared" si="12"/>
        <v>1</v>
      </c>
      <c r="AU798" t="s">
        <v>471</v>
      </c>
      <c r="AV798" t="s">
        <v>410</v>
      </c>
      <c r="AW798" t="s">
        <v>411</v>
      </c>
      <c r="AX798">
        <v>1</v>
      </c>
      <c r="AY798" t="s">
        <v>412</v>
      </c>
      <c r="AZ798" t="s">
        <v>408</v>
      </c>
    </row>
    <row r="799" spans="1:52" x14ac:dyDescent="0.3">
      <c r="A799">
        <v>788</v>
      </c>
      <c r="B799" t="s">
        <v>684</v>
      </c>
      <c r="C799" t="s">
        <v>152</v>
      </c>
      <c r="D799" t="s">
        <v>684</v>
      </c>
      <c r="E799" t="s">
        <v>408</v>
      </c>
      <c r="F799" t="s">
        <v>408</v>
      </c>
      <c r="G799">
        <v>4700</v>
      </c>
      <c r="H799">
        <v>4701</v>
      </c>
      <c r="I799" t="s">
        <v>1513</v>
      </c>
      <c r="J799">
        <v>4850</v>
      </c>
      <c r="K799">
        <v>4851</v>
      </c>
      <c r="L799" t="s">
        <v>1107</v>
      </c>
      <c r="M799">
        <v>3</v>
      </c>
      <c r="N799" t="s">
        <v>165</v>
      </c>
      <c r="O799" t="s">
        <v>165</v>
      </c>
      <c r="P799" t="s">
        <v>420</v>
      </c>
      <c r="Q799" t="s">
        <v>687</v>
      </c>
      <c r="R799" t="s">
        <v>526</v>
      </c>
      <c r="S799">
        <v>2014</v>
      </c>
      <c r="T799">
        <v>6</v>
      </c>
      <c r="U799" t="s">
        <v>1108</v>
      </c>
      <c r="V799" t="s">
        <v>408</v>
      </c>
      <c r="W799">
        <v>0</v>
      </c>
      <c r="X799">
        <v>0</v>
      </c>
      <c r="Y799" t="s">
        <v>408</v>
      </c>
      <c r="Z799">
        <v>2014</v>
      </c>
      <c r="AA799">
        <v>0</v>
      </c>
      <c r="AB799">
        <v>0.220807124962</v>
      </c>
      <c r="AC799">
        <v>0.441614249924</v>
      </c>
      <c r="AD799" t="s">
        <v>408</v>
      </c>
      <c r="AE799" t="s">
        <v>152</v>
      </c>
      <c r="AF799" t="s">
        <v>408</v>
      </c>
      <c r="AG799" t="s">
        <v>408</v>
      </c>
      <c r="AH799" t="s">
        <v>408</v>
      </c>
      <c r="AI799" t="s">
        <v>408</v>
      </c>
      <c r="AJ799" t="s">
        <v>408</v>
      </c>
      <c r="AK799" t="s">
        <v>408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s="58">
        <f t="shared" si="12"/>
        <v>1</v>
      </c>
      <c r="AU799" t="s">
        <v>431</v>
      </c>
      <c r="AV799" t="s">
        <v>410</v>
      </c>
      <c r="AW799" t="s">
        <v>152</v>
      </c>
      <c r="AX799">
        <v>2</v>
      </c>
      <c r="AY799" t="s">
        <v>412</v>
      </c>
      <c r="AZ799" t="s">
        <v>408</v>
      </c>
    </row>
    <row r="800" spans="1:52" x14ac:dyDescent="0.3">
      <c r="A800">
        <v>789</v>
      </c>
      <c r="B800" t="s">
        <v>693</v>
      </c>
      <c r="C800" t="s">
        <v>152</v>
      </c>
      <c r="D800" t="s">
        <v>694</v>
      </c>
      <c r="E800" t="s">
        <v>460</v>
      </c>
      <c r="F800" t="s">
        <v>408</v>
      </c>
      <c r="G800">
        <v>2400</v>
      </c>
      <c r="H800">
        <v>2401</v>
      </c>
      <c r="I800" t="s">
        <v>890</v>
      </c>
      <c r="J800">
        <v>2326</v>
      </c>
      <c r="K800">
        <v>2325</v>
      </c>
      <c r="L800" t="s">
        <v>1803</v>
      </c>
      <c r="M800">
        <v>3</v>
      </c>
      <c r="N800" t="s">
        <v>170</v>
      </c>
      <c r="O800" t="s">
        <v>170</v>
      </c>
      <c r="P800" t="s">
        <v>420</v>
      </c>
      <c r="Q800" t="s">
        <v>952</v>
      </c>
      <c r="R800" t="s">
        <v>493</v>
      </c>
      <c r="S800">
        <v>2007</v>
      </c>
      <c r="T800">
        <v>6</v>
      </c>
      <c r="U800" t="s">
        <v>408</v>
      </c>
      <c r="V800" t="s">
        <v>408</v>
      </c>
      <c r="W800">
        <v>0</v>
      </c>
      <c r="X800">
        <v>0</v>
      </c>
      <c r="Y800" t="s">
        <v>408</v>
      </c>
      <c r="Z800">
        <v>2007</v>
      </c>
      <c r="AA800">
        <v>0</v>
      </c>
      <c r="AB800">
        <v>7.8308804297999995E-2</v>
      </c>
      <c r="AC800">
        <v>0.15661760859599999</v>
      </c>
      <c r="AD800" t="s">
        <v>408</v>
      </c>
      <c r="AE800" t="s">
        <v>152</v>
      </c>
      <c r="AF800" t="s">
        <v>408</v>
      </c>
      <c r="AG800" t="s">
        <v>408</v>
      </c>
      <c r="AH800" t="s">
        <v>408</v>
      </c>
      <c r="AI800" t="s">
        <v>408</v>
      </c>
      <c r="AJ800" t="s">
        <v>408</v>
      </c>
      <c r="AK800" t="s">
        <v>408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s="58">
        <f t="shared" si="12"/>
        <v>1</v>
      </c>
      <c r="AU800" t="s">
        <v>431</v>
      </c>
      <c r="AV800" t="s">
        <v>410</v>
      </c>
      <c r="AW800" t="s">
        <v>408</v>
      </c>
      <c r="AX800">
        <v>2</v>
      </c>
      <c r="AY800" t="s">
        <v>412</v>
      </c>
      <c r="AZ800" t="s">
        <v>408</v>
      </c>
    </row>
    <row r="801" spans="1:52" x14ac:dyDescent="0.3">
      <c r="A801">
        <v>790</v>
      </c>
      <c r="B801" t="s">
        <v>693</v>
      </c>
      <c r="C801" t="s">
        <v>152</v>
      </c>
      <c r="D801" t="s">
        <v>694</v>
      </c>
      <c r="E801" t="s">
        <v>460</v>
      </c>
      <c r="F801" t="s">
        <v>408</v>
      </c>
      <c r="G801">
        <v>1300</v>
      </c>
      <c r="H801">
        <v>1301</v>
      </c>
      <c r="I801" t="s">
        <v>1597</v>
      </c>
      <c r="J801">
        <v>1200</v>
      </c>
      <c r="K801">
        <v>1201</v>
      </c>
      <c r="L801" t="s">
        <v>699</v>
      </c>
      <c r="M801">
        <v>3</v>
      </c>
      <c r="N801" t="s">
        <v>167</v>
      </c>
      <c r="O801" t="s">
        <v>167</v>
      </c>
      <c r="P801" t="s">
        <v>420</v>
      </c>
      <c r="Q801" t="s">
        <v>408</v>
      </c>
      <c r="R801" t="s">
        <v>510</v>
      </c>
      <c r="S801">
        <v>2002</v>
      </c>
      <c r="T801">
        <v>8</v>
      </c>
      <c r="U801" t="s">
        <v>408</v>
      </c>
      <c r="V801" t="s">
        <v>695</v>
      </c>
      <c r="W801">
        <v>2020</v>
      </c>
      <c r="X801">
        <v>0</v>
      </c>
      <c r="Y801" t="s">
        <v>370</v>
      </c>
      <c r="Z801">
        <v>2020</v>
      </c>
      <c r="AA801">
        <v>2020</v>
      </c>
      <c r="AB801">
        <v>0.12512401578499999</v>
      </c>
      <c r="AC801">
        <v>0.25024803156999997</v>
      </c>
      <c r="AD801" t="s">
        <v>408</v>
      </c>
      <c r="AE801" t="s">
        <v>152</v>
      </c>
      <c r="AF801" t="s">
        <v>408</v>
      </c>
      <c r="AG801" t="s">
        <v>408</v>
      </c>
      <c r="AH801" t="s">
        <v>408</v>
      </c>
      <c r="AI801" t="s">
        <v>408</v>
      </c>
      <c r="AJ801" t="s">
        <v>408</v>
      </c>
      <c r="AK801" t="s">
        <v>408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 s="58">
        <f t="shared" si="12"/>
        <v>1</v>
      </c>
      <c r="AU801" t="s">
        <v>431</v>
      </c>
      <c r="AV801" t="s">
        <v>410</v>
      </c>
      <c r="AW801" t="s">
        <v>408</v>
      </c>
      <c r="AX801">
        <v>2</v>
      </c>
      <c r="AY801" t="s">
        <v>412</v>
      </c>
      <c r="AZ801" t="s">
        <v>408</v>
      </c>
    </row>
    <row r="802" spans="1:52" x14ac:dyDescent="0.3">
      <c r="A802">
        <v>791</v>
      </c>
      <c r="B802" t="s">
        <v>477</v>
      </c>
      <c r="C802" t="s">
        <v>155</v>
      </c>
      <c r="D802" t="s">
        <v>478</v>
      </c>
      <c r="E802" t="s">
        <v>417</v>
      </c>
      <c r="F802" t="s">
        <v>408</v>
      </c>
      <c r="G802">
        <v>1400</v>
      </c>
      <c r="H802">
        <v>1401</v>
      </c>
      <c r="I802" t="s">
        <v>1278</v>
      </c>
      <c r="J802">
        <v>1600</v>
      </c>
      <c r="K802">
        <v>1601</v>
      </c>
      <c r="L802" t="s">
        <v>1611</v>
      </c>
      <c r="M802">
        <v>2</v>
      </c>
      <c r="N802" t="s">
        <v>167</v>
      </c>
      <c r="O802" t="s">
        <v>167</v>
      </c>
      <c r="P802" t="s">
        <v>403</v>
      </c>
      <c r="Q802" t="s">
        <v>1470</v>
      </c>
      <c r="R802" t="s">
        <v>885</v>
      </c>
      <c r="S802">
        <v>2013</v>
      </c>
      <c r="T802">
        <v>10</v>
      </c>
      <c r="U802" t="s">
        <v>1471</v>
      </c>
      <c r="V802" t="s">
        <v>511</v>
      </c>
      <c r="W802">
        <v>2018</v>
      </c>
      <c r="X802">
        <v>8</v>
      </c>
      <c r="Y802" t="s">
        <v>408</v>
      </c>
      <c r="Z802">
        <v>2018</v>
      </c>
      <c r="AA802">
        <v>2002</v>
      </c>
      <c r="AB802">
        <v>0.16812770494500001</v>
      </c>
      <c r="AC802">
        <v>0.33625540989000002</v>
      </c>
      <c r="AD802" t="s">
        <v>408</v>
      </c>
      <c r="AE802" t="s">
        <v>152</v>
      </c>
      <c r="AF802" t="s">
        <v>408</v>
      </c>
      <c r="AG802" t="s">
        <v>408</v>
      </c>
      <c r="AH802" t="s">
        <v>408</v>
      </c>
      <c r="AI802" t="s">
        <v>408</v>
      </c>
      <c r="AJ802" t="s">
        <v>408</v>
      </c>
      <c r="AK802" t="s">
        <v>411</v>
      </c>
      <c r="AL802">
        <v>2013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 s="58">
        <f t="shared" si="12"/>
        <v>1</v>
      </c>
      <c r="AU802" t="s">
        <v>431</v>
      </c>
      <c r="AV802" t="s">
        <v>410</v>
      </c>
      <c r="AW802" t="s">
        <v>408</v>
      </c>
      <c r="AX802">
        <v>2</v>
      </c>
      <c r="AY802" t="s">
        <v>412</v>
      </c>
      <c r="AZ802" t="s">
        <v>408</v>
      </c>
    </row>
    <row r="803" spans="1:52" x14ac:dyDescent="0.3">
      <c r="A803">
        <v>792</v>
      </c>
      <c r="B803" t="s">
        <v>709</v>
      </c>
      <c r="C803" t="s">
        <v>154</v>
      </c>
      <c r="D803" t="s">
        <v>710</v>
      </c>
      <c r="E803" t="s">
        <v>460</v>
      </c>
      <c r="F803" t="s">
        <v>408</v>
      </c>
      <c r="G803">
        <v>4800</v>
      </c>
      <c r="H803">
        <v>4801</v>
      </c>
      <c r="I803" t="s">
        <v>1068</v>
      </c>
      <c r="J803">
        <v>4450</v>
      </c>
      <c r="K803">
        <v>4451</v>
      </c>
      <c r="L803" t="s">
        <v>1478</v>
      </c>
      <c r="M803">
        <v>2</v>
      </c>
      <c r="N803" t="s">
        <v>165</v>
      </c>
      <c r="O803" t="s">
        <v>165</v>
      </c>
      <c r="P803" t="s">
        <v>403</v>
      </c>
      <c r="Q803" t="s">
        <v>1479</v>
      </c>
      <c r="R803" t="s">
        <v>942</v>
      </c>
      <c r="S803">
        <v>2015</v>
      </c>
      <c r="T803">
        <v>7</v>
      </c>
      <c r="U803" t="s">
        <v>1480</v>
      </c>
      <c r="V803" t="s">
        <v>695</v>
      </c>
      <c r="W803">
        <v>2020</v>
      </c>
      <c r="X803">
        <v>0</v>
      </c>
      <c r="Y803" t="s">
        <v>370</v>
      </c>
      <c r="Z803">
        <v>2020</v>
      </c>
      <c r="AA803">
        <v>2020</v>
      </c>
      <c r="AB803">
        <v>0.39555291679799998</v>
      </c>
      <c r="AC803">
        <v>0.79110583359599995</v>
      </c>
      <c r="AD803" t="s">
        <v>408</v>
      </c>
      <c r="AE803" t="s">
        <v>152</v>
      </c>
      <c r="AF803" t="s">
        <v>408</v>
      </c>
      <c r="AG803" t="s">
        <v>408</v>
      </c>
      <c r="AH803" t="s">
        <v>408</v>
      </c>
      <c r="AI803" t="s">
        <v>408</v>
      </c>
      <c r="AJ803" t="s">
        <v>408</v>
      </c>
      <c r="AK803" t="s">
        <v>411</v>
      </c>
      <c r="AL803">
        <v>2015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 s="58">
        <f t="shared" si="12"/>
        <v>1</v>
      </c>
      <c r="AU803" t="s">
        <v>431</v>
      </c>
      <c r="AV803" t="s">
        <v>410</v>
      </c>
      <c r="AW803" t="s">
        <v>152</v>
      </c>
      <c r="AX803">
        <v>2</v>
      </c>
      <c r="AY803" t="s">
        <v>412</v>
      </c>
      <c r="AZ803" t="s">
        <v>408</v>
      </c>
    </row>
    <row r="804" spans="1:52" x14ac:dyDescent="0.3">
      <c r="A804">
        <v>793</v>
      </c>
      <c r="B804" t="s">
        <v>424</v>
      </c>
      <c r="C804" t="s">
        <v>155</v>
      </c>
      <c r="D804" t="s">
        <v>425</v>
      </c>
      <c r="E804" t="s">
        <v>426</v>
      </c>
      <c r="F804" t="s">
        <v>408</v>
      </c>
      <c r="G804">
        <v>7900</v>
      </c>
      <c r="H804">
        <v>7901</v>
      </c>
      <c r="I804" t="s">
        <v>551</v>
      </c>
      <c r="J804">
        <v>8100</v>
      </c>
      <c r="K804">
        <v>8100</v>
      </c>
      <c r="L804" t="s">
        <v>427</v>
      </c>
      <c r="M804">
        <v>2</v>
      </c>
      <c r="N804" t="s">
        <v>165</v>
      </c>
      <c r="O804" t="s">
        <v>165</v>
      </c>
      <c r="P804" t="s">
        <v>420</v>
      </c>
      <c r="Q804" t="s">
        <v>429</v>
      </c>
      <c r="R804" t="s">
        <v>430</v>
      </c>
      <c r="S804">
        <v>2013</v>
      </c>
      <c r="T804">
        <v>10</v>
      </c>
      <c r="U804" t="s">
        <v>370</v>
      </c>
      <c r="V804" t="s">
        <v>695</v>
      </c>
      <c r="W804">
        <v>2020</v>
      </c>
      <c r="X804">
        <v>2020</v>
      </c>
      <c r="Y804" t="s">
        <v>370</v>
      </c>
      <c r="Z804">
        <v>2020</v>
      </c>
      <c r="AA804">
        <v>2020</v>
      </c>
      <c r="AB804">
        <v>0.48991807184699998</v>
      </c>
      <c r="AC804">
        <v>0.97983614369399996</v>
      </c>
      <c r="AD804" t="s">
        <v>408</v>
      </c>
      <c r="AE804" t="s">
        <v>152</v>
      </c>
      <c r="AF804" t="s">
        <v>408</v>
      </c>
      <c r="AG804" t="s">
        <v>408</v>
      </c>
      <c r="AH804" t="s">
        <v>408</v>
      </c>
      <c r="AI804" t="s">
        <v>408</v>
      </c>
      <c r="AJ804" t="s">
        <v>408</v>
      </c>
      <c r="AK804" t="s">
        <v>408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 s="58">
        <f t="shared" si="12"/>
        <v>1</v>
      </c>
      <c r="AU804" t="s">
        <v>431</v>
      </c>
      <c r="AV804" t="s">
        <v>410</v>
      </c>
      <c r="AW804" t="s">
        <v>152</v>
      </c>
      <c r="AX804">
        <v>2</v>
      </c>
      <c r="AY804" t="s">
        <v>412</v>
      </c>
      <c r="AZ804" t="s">
        <v>408</v>
      </c>
    </row>
    <row r="805" spans="1:52" x14ac:dyDescent="0.3">
      <c r="A805">
        <v>794</v>
      </c>
      <c r="B805" t="s">
        <v>472</v>
      </c>
      <c r="C805" t="s">
        <v>152</v>
      </c>
      <c r="D805" t="s">
        <v>473</v>
      </c>
      <c r="E805" t="s">
        <v>460</v>
      </c>
      <c r="F805" t="s">
        <v>408</v>
      </c>
      <c r="G805">
        <v>3600</v>
      </c>
      <c r="H805">
        <v>3601</v>
      </c>
      <c r="I805" t="s">
        <v>1052</v>
      </c>
      <c r="J805">
        <v>3840</v>
      </c>
      <c r="K805">
        <v>3840</v>
      </c>
      <c r="L805" t="s">
        <v>1804</v>
      </c>
      <c r="M805">
        <v>3</v>
      </c>
      <c r="N805" t="s">
        <v>165</v>
      </c>
      <c r="O805" t="s">
        <v>165</v>
      </c>
      <c r="P805" t="s">
        <v>403</v>
      </c>
      <c r="Q805" t="s">
        <v>771</v>
      </c>
      <c r="R805" t="s">
        <v>1176</v>
      </c>
      <c r="S805">
        <v>2014</v>
      </c>
      <c r="T805">
        <v>12</v>
      </c>
      <c r="U805" t="s">
        <v>1201</v>
      </c>
      <c r="V805" t="s">
        <v>408</v>
      </c>
      <c r="W805">
        <v>0</v>
      </c>
      <c r="X805">
        <v>0</v>
      </c>
      <c r="Y805" t="s">
        <v>408</v>
      </c>
      <c r="Z805">
        <v>2014</v>
      </c>
      <c r="AA805">
        <v>2007</v>
      </c>
      <c r="AB805">
        <v>0.17485375094799999</v>
      </c>
      <c r="AC805">
        <v>0.34970750189599997</v>
      </c>
      <c r="AD805" t="s">
        <v>408</v>
      </c>
      <c r="AE805" t="s">
        <v>152</v>
      </c>
      <c r="AF805" t="s">
        <v>408</v>
      </c>
      <c r="AG805" t="s">
        <v>408</v>
      </c>
      <c r="AH805" t="s">
        <v>408</v>
      </c>
      <c r="AI805" t="s">
        <v>408</v>
      </c>
      <c r="AJ805" t="s">
        <v>408</v>
      </c>
      <c r="AK805" t="s">
        <v>411</v>
      </c>
      <c r="AL805">
        <v>2015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 s="58">
        <f t="shared" si="12"/>
        <v>1</v>
      </c>
      <c r="AU805" t="s">
        <v>431</v>
      </c>
      <c r="AV805" t="s">
        <v>410</v>
      </c>
      <c r="AW805" t="s">
        <v>152</v>
      </c>
      <c r="AX805">
        <v>2</v>
      </c>
      <c r="AY805" t="s">
        <v>412</v>
      </c>
      <c r="AZ805" t="s">
        <v>408</v>
      </c>
    </row>
    <row r="806" spans="1:52" x14ac:dyDescent="0.3">
      <c r="A806">
        <v>795</v>
      </c>
      <c r="B806" t="s">
        <v>557</v>
      </c>
      <c r="C806" t="s">
        <v>152</v>
      </c>
      <c r="D806" t="s">
        <v>558</v>
      </c>
      <c r="E806" t="s">
        <v>460</v>
      </c>
      <c r="F806" t="s">
        <v>408</v>
      </c>
      <c r="G806">
        <v>3300</v>
      </c>
      <c r="H806">
        <v>3301</v>
      </c>
      <c r="I806" t="s">
        <v>669</v>
      </c>
      <c r="J806">
        <v>3200</v>
      </c>
      <c r="K806">
        <v>3201</v>
      </c>
      <c r="L806" t="s">
        <v>803</v>
      </c>
      <c r="M806">
        <v>0</v>
      </c>
      <c r="N806" t="s">
        <v>167</v>
      </c>
      <c r="O806" t="s">
        <v>569</v>
      </c>
      <c r="P806" t="s">
        <v>420</v>
      </c>
      <c r="Q806">
        <v>0</v>
      </c>
      <c r="R806" t="s">
        <v>1687</v>
      </c>
      <c r="S806">
        <v>2019</v>
      </c>
      <c r="T806">
        <v>9</v>
      </c>
      <c r="U806" t="s">
        <v>408</v>
      </c>
      <c r="V806" t="s">
        <v>407</v>
      </c>
      <c r="W806">
        <v>2020</v>
      </c>
      <c r="X806">
        <v>0</v>
      </c>
      <c r="Y806" t="s">
        <v>408</v>
      </c>
      <c r="Z806">
        <v>2020</v>
      </c>
      <c r="AA806">
        <v>0</v>
      </c>
      <c r="AB806">
        <v>0.221635405939</v>
      </c>
      <c r="AC806">
        <v>0.44327081187799999</v>
      </c>
      <c r="AD806" t="s">
        <v>408</v>
      </c>
      <c r="AE806" t="s">
        <v>408</v>
      </c>
      <c r="AF806" t="s">
        <v>408</v>
      </c>
      <c r="AG806" t="s">
        <v>408</v>
      </c>
      <c r="AH806" t="s">
        <v>408</v>
      </c>
      <c r="AI806" t="s">
        <v>408</v>
      </c>
      <c r="AJ806" t="s">
        <v>408</v>
      </c>
      <c r="AK806" t="s">
        <v>408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s="58">
        <f t="shared" si="12"/>
        <v>1</v>
      </c>
      <c r="AU806" t="s">
        <v>431</v>
      </c>
      <c r="AV806" t="s">
        <v>410</v>
      </c>
      <c r="AW806" t="s">
        <v>408</v>
      </c>
      <c r="AX806">
        <v>2</v>
      </c>
      <c r="AY806" t="s">
        <v>412</v>
      </c>
      <c r="AZ806" t="s">
        <v>408</v>
      </c>
    </row>
    <row r="807" spans="1:52" x14ac:dyDescent="0.3">
      <c r="A807">
        <v>796</v>
      </c>
      <c r="B807" t="s">
        <v>557</v>
      </c>
      <c r="C807" t="s">
        <v>152</v>
      </c>
      <c r="D807" t="s">
        <v>558</v>
      </c>
      <c r="E807" t="s">
        <v>460</v>
      </c>
      <c r="F807" t="s">
        <v>408</v>
      </c>
      <c r="G807">
        <v>1700</v>
      </c>
      <c r="H807">
        <v>1701</v>
      </c>
      <c r="I807" t="s">
        <v>728</v>
      </c>
      <c r="J807">
        <v>1600</v>
      </c>
      <c r="K807">
        <v>1601</v>
      </c>
      <c r="L807" t="s">
        <v>435</v>
      </c>
      <c r="M807">
        <v>3</v>
      </c>
      <c r="N807" t="s">
        <v>167</v>
      </c>
      <c r="O807" t="s">
        <v>569</v>
      </c>
      <c r="P807" t="s">
        <v>403</v>
      </c>
      <c r="Q807" t="s">
        <v>700</v>
      </c>
      <c r="R807" t="s">
        <v>571</v>
      </c>
      <c r="S807">
        <v>2017</v>
      </c>
      <c r="T807">
        <v>9</v>
      </c>
      <c r="U807" t="s">
        <v>729</v>
      </c>
      <c r="V807" t="s">
        <v>408</v>
      </c>
      <c r="W807">
        <v>0</v>
      </c>
      <c r="X807">
        <v>0</v>
      </c>
      <c r="Y807" t="s">
        <v>408</v>
      </c>
      <c r="Z807">
        <v>2017</v>
      </c>
      <c r="AA807">
        <v>2011</v>
      </c>
      <c r="AB807">
        <v>0.16836319307600001</v>
      </c>
      <c r="AC807">
        <v>0.33672638615200001</v>
      </c>
      <c r="AD807" t="s">
        <v>408</v>
      </c>
      <c r="AE807" t="s">
        <v>152</v>
      </c>
      <c r="AF807" t="s">
        <v>408</v>
      </c>
      <c r="AG807" t="s">
        <v>408</v>
      </c>
      <c r="AH807" t="s">
        <v>408</v>
      </c>
      <c r="AI807" t="s">
        <v>408</v>
      </c>
      <c r="AJ807" t="s">
        <v>408</v>
      </c>
      <c r="AK807" t="s">
        <v>408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 s="58">
        <f t="shared" si="12"/>
        <v>1</v>
      </c>
      <c r="AU807" t="s">
        <v>488</v>
      </c>
      <c r="AV807" t="s">
        <v>410</v>
      </c>
      <c r="AW807" t="s">
        <v>408</v>
      </c>
      <c r="AX807">
        <v>2</v>
      </c>
      <c r="AY807" t="s">
        <v>412</v>
      </c>
      <c r="AZ807">
        <v>20</v>
      </c>
    </row>
    <row r="808" spans="1:52" x14ac:dyDescent="0.3">
      <c r="A808">
        <v>797</v>
      </c>
      <c r="B808" t="s">
        <v>1805</v>
      </c>
      <c r="C808" t="s">
        <v>154</v>
      </c>
      <c r="D808" t="s">
        <v>1806</v>
      </c>
      <c r="E808" t="s">
        <v>417</v>
      </c>
      <c r="F808" t="s">
        <v>408</v>
      </c>
      <c r="G808">
        <v>1100</v>
      </c>
      <c r="H808">
        <v>1101</v>
      </c>
      <c r="I808" t="s">
        <v>1062</v>
      </c>
      <c r="J808">
        <v>800</v>
      </c>
      <c r="K808">
        <v>801</v>
      </c>
      <c r="L808" t="s">
        <v>814</v>
      </c>
      <c r="M808">
        <v>0</v>
      </c>
      <c r="N808" t="s">
        <v>170</v>
      </c>
      <c r="O808" t="s">
        <v>170</v>
      </c>
      <c r="P808" t="s">
        <v>420</v>
      </c>
      <c r="Q808" t="s">
        <v>408</v>
      </c>
      <c r="R808" t="s">
        <v>1719</v>
      </c>
      <c r="S808">
        <v>2020</v>
      </c>
      <c r="T808">
        <v>0</v>
      </c>
      <c r="U808" t="s">
        <v>408</v>
      </c>
      <c r="V808" t="s">
        <v>408</v>
      </c>
      <c r="W808">
        <v>0</v>
      </c>
      <c r="X808">
        <v>0</v>
      </c>
      <c r="Y808" t="s">
        <v>408</v>
      </c>
      <c r="Z808">
        <v>2020</v>
      </c>
      <c r="AA808">
        <v>0</v>
      </c>
      <c r="AB808">
        <v>0.377580117296</v>
      </c>
      <c r="AC808">
        <v>0.75516023459199999</v>
      </c>
      <c r="AD808" t="s">
        <v>408</v>
      </c>
      <c r="AE808" t="s">
        <v>152</v>
      </c>
      <c r="AF808" t="s">
        <v>408</v>
      </c>
      <c r="AG808" t="s">
        <v>408</v>
      </c>
      <c r="AH808" t="s">
        <v>408</v>
      </c>
      <c r="AI808" t="s">
        <v>408</v>
      </c>
      <c r="AJ808" t="s">
        <v>408</v>
      </c>
      <c r="AK808" t="s">
        <v>408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 s="58">
        <f t="shared" si="12"/>
        <v>1</v>
      </c>
      <c r="AU808" t="s">
        <v>1050</v>
      </c>
      <c r="AV808" t="s">
        <v>410</v>
      </c>
      <c r="AW808" t="s">
        <v>408</v>
      </c>
      <c r="AX808">
        <v>2</v>
      </c>
      <c r="AY808" t="s">
        <v>412</v>
      </c>
      <c r="AZ808" t="s">
        <v>408</v>
      </c>
    </row>
    <row r="809" spans="1:52" x14ac:dyDescent="0.3">
      <c r="A809">
        <v>798</v>
      </c>
      <c r="B809" t="s">
        <v>1805</v>
      </c>
      <c r="C809" t="s">
        <v>154</v>
      </c>
      <c r="D809" t="s">
        <v>1806</v>
      </c>
      <c r="E809" t="s">
        <v>417</v>
      </c>
      <c r="F809" t="s">
        <v>408</v>
      </c>
      <c r="G809">
        <v>800</v>
      </c>
      <c r="H809">
        <v>801</v>
      </c>
      <c r="I809" t="s">
        <v>814</v>
      </c>
      <c r="J809">
        <v>400</v>
      </c>
      <c r="K809">
        <v>401</v>
      </c>
      <c r="L809" t="s">
        <v>1500</v>
      </c>
      <c r="M809">
        <v>0</v>
      </c>
      <c r="N809" t="s">
        <v>167</v>
      </c>
      <c r="O809" t="s">
        <v>569</v>
      </c>
      <c r="P809" t="s">
        <v>420</v>
      </c>
      <c r="Q809" t="s">
        <v>408</v>
      </c>
      <c r="R809" t="s">
        <v>1719</v>
      </c>
      <c r="S809">
        <v>2020</v>
      </c>
      <c r="T809">
        <v>0</v>
      </c>
      <c r="U809" t="s">
        <v>1786</v>
      </c>
      <c r="V809" t="s">
        <v>408</v>
      </c>
      <c r="W809">
        <v>0</v>
      </c>
      <c r="X809">
        <v>0</v>
      </c>
      <c r="Y809" t="s">
        <v>408</v>
      </c>
      <c r="Z809">
        <v>2020</v>
      </c>
      <c r="AA809">
        <v>0</v>
      </c>
      <c r="AB809">
        <v>0.48774928263700001</v>
      </c>
      <c r="AC809">
        <v>0.97549856527400003</v>
      </c>
      <c r="AD809" t="s">
        <v>408</v>
      </c>
      <c r="AE809" t="s">
        <v>152</v>
      </c>
      <c r="AF809" t="s">
        <v>408</v>
      </c>
      <c r="AG809" t="s">
        <v>408</v>
      </c>
      <c r="AH809" t="s">
        <v>408</v>
      </c>
      <c r="AI809" t="s">
        <v>408</v>
      </c>
      <c r="AJ809" t="s">
        <v>408</v>
      </c>
      <c r="AK809" t="s">
        <v>408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 s="58">
        <f t="shared" si="12"/>
        <v>1</v>
      </c>
      <c r="AU809" t="s">
        <v>1050</v>
      </c>
      <c r="AV809" t="s">
        <v>410</v>
      </c>
      <c r="AW809" t="s">
        <v>408</v>
      </c>
      <c r="AX809">
        <v>2</v>
      </c>
      <c r="AY809" t="s">
        <v>412</v>
      </c>
      <c r="AZ809" t="s">
        <v>408</v>
      </c>
    </row>
    <row r="810" spans="1:52" x14ac:dyDescent="0.3">
      <c r="A810">
        <v>799</v>
      </c>
      <c r="B810" t="s">
        <v>1805</v>
      </c>
      <c r="C810" t="s">
        <v>154</v>
      </c>
      <c r="D810" t="s">
        <v>1806</v>
      </c>
      <c r="E810" t="s">
        <v>417</v>
      </c>
      <c r="F810" t="s">
        <v>408</v>
      </c>
      <c r="G810">
        <v>400</v>
      </c>
      <c r="H810">
        <v>401</v>
      </c>
      <c r="I810" t="s">
        <v>1500</v>
      </c>
      <c r="J810">
        <v>2</v>
      </c>
      <c r="K810">
        <v>1</v>
      </c>
      <c r="L810" t="s">
        <v>877</v>
      </c>
      <c r="M810">
        <v>0</v>
      </c>
      <c r="N810" t="s">
        <v>170</v>
      </c>
      <c r="O810" t="s">
        <v>170</v>
      </c>
      <c r="P810" t="s">
        <v>420</v>
      </c>
      <c r="Q810" t="s">
        <v>408</v>
      </c>
      <c r="R810" t="s">
        <v>1719</v>
      </c>
      <c r="S810">
        <v>2020</v>
      </c>
      <c r="T810">
        <v>0</v>
      </c>
      <c r="U810" t="s">
        <v>408</v>
      </c>
      <c r="V810" t="s">
        <v>408</v>
      </c>
      <c r="W810">
        <v>0</v>
      </c>
      <c r="X810">
        <v>0</v>
      </c>
      <c r="Y810" t="s">
        <v>408</v>
      </c>
      <c r="Z810">
        <v>2020</v>
      </c>
      <c r="AA810">
        <v>0</v>
      </c>
      <c r="AB810">
        <v>0.50939557832299998</v>
      </c>
      <c r="AC810">
        <v>1.0187911566500001</v>
      </c>
      <c r="AD810" t="s">
        <v>408</v>
      </c>
      <c r="AE810" t="s">
        <v>152</v>
      </c>
      <c r="AF810" t="s">
        <v>408</v>
      </c>
      <c r="AG810" t="s">
        <v>408</v>
      </c>
      <c r="AH810" t="s">
        <v>408</v>
      </c>
      <c r="AI810" t="s">
        <v>408</v>
      </c>
      <c r="AJ810" t="s">
        <v>408</v>
      </c>
      <c r="AK810" t="s">
        <v>408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 s="58">
        <f t="shared" si="12"/>
        <v>1</v>
      </c>
      <c r="AU810" t="s">
        <v>1050</v>
      </c>
      <c r="AV810" t="s">
        <v>410</v>
      </c>
      <c r="AW810" t="s">
        <v>408</v>
      </c>
      <c r="AX810">
        <v>2</v>
      </c>
      <c r="AY810" t="s">
        <v>412</v>
      </c>
      <c r="AZ810" t="s">
        <v>408</v>
      </c>
    </row>
    <row r="811" spans="1:52" x14ac:dyDescent="0.3">
      <c r="A811">
        <v>800</v>
      </c>
      <c r="B811" t="s">
        <v>1805</v>
      </c>
      <c r="C811" t="s">
        <v>447</v>
      </c>
      <c r="D811" t="s">
        <v>1806</v>
      </c>
      <c r="E811" t="s">
        <v>417</v>
      </c>
      <c r="F811" t="s">
        <v>408</v>
      </c>
      <c r="G811">
        <v>2</v>
      </c>
      <c r="H811">
        <v>1</v>
      </c>
      <c r="I811" t="s">
        <v>877</v>
      </c>
      <c r="J811">
        <v>200</v>
      </c>
      <c r="K811">
        <v>201</v>
      </c>
      <c r="L811" t="s">
        <v>1317</v>
      </c>
      <c r="M811">
        <v>0</v>
      </c>
      <c r="N811" t="s">
        <v>167</v>
      </c>
      <c r="O811" t="s">
        <v>569</v>
      </c>
      <c r="P811" t="s">
        <v>420</v>
      </c>
      <c r="Q811" t="s">
        <v>408</v>
      </c>
      <c r="R811" t="s">
        <v>1719</v>
      </c>
      <c r="S811">
        <v>2020</v>
      </c>
      <c r="T811">
        <v>0</v>
      </c>
      <c r="U811" t="s">
        <v>1786</v>
      </c>
      <c r="V811" t="s">
        <v>408</v>
      </c>
      <c r="W811">
        <v>0</v>
      </c>
      <c r="X811">
        <v>0</v>
      </c>
      <c r="Y811" t="s">
        <v>408</v>
      </c>
      <c r="Z811">
        <v>2020</v>
      </c>
      <c r="AA811">
        <v>0</v>
      </c>
      <c r="AB811">
        <v>0.25053683385600001</v>
      </c>
      <c r="AC811">
        <v>0.50107366771200001</v>
      </c>
      <c r="AD811" t="s">
        <v>408</v>
      </c>
      <c r="AE811" t="s">
        <v>152</v>
      </c>
      <c r="AF811" t="s">
        <v>408</v>
      </c>
      <c r="AG811" t="s">
        <v>408</v>
      </c>
      <c r="AH811" t="s">
        <v>408</v>
      </c>
      <c r="AI811" t="s">
        <v>408</v>
      </c>
      <c r="AJ811" t="s">
        <v>408</v>
      </c>
      <c r="AK811" t="s">
        <v>408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 s="58">
        <f t="shared" si="12"/>
        <v>1</v>
      </c>
      <c r="AU811" t="s">
        <v>1050</v>
      </c>
      <c r="AV811" t="s">
        <v>410</v>
      </c>
      <c r="AW811" t="s">
        <v>408</v>
      </c>
      <c r="AX811">
        <v>2</v>
      </c>
      <c r="AY811" t="s">
        <v>412</v>
      </c>
      <c r="AZ811" t="s">
        <v>400</v>
      </c>
    </row>
    <row r="812" spans="1:52" x14ac:dyDescent="0.3">
      <c r="A812">
        <v>801</v>
      </c>
      <c r="B812" t="s">
        <v>1805</v>
      </c>
      <c r="C812" t="s">
        <v>447</v>
      </c>
      <c r="D812" t="s">
        <v>1806</v>
      </c>
      <c r="E812" t="s">
        <v>417</v>
      </c>
      <c r="F812" t="s">
        <v>408</v>
      </c>
      <c r="G812">
        <v>200</v>
      </c>
      <c r="H812">
        <v>201</v>
      </c>
      <c r="I812" t="s">
        <v>1317</v>
      </c>
      <c r="J812">
        <v>400</v>
      </c>
      <c r="K812">
        <v>401</v>
      </c>
      <c r="L812" t="s">
        <v>1715</v>
      </c>
      <c r="M812">
        <v>0</v>
      </c>
      <c r="N812" t="s">
        <v>165</v>
      </c>
      <c r="O812" t="s">
        <v>165</v>
      </c>
      <c r="P812" t="s">
        <v>420</v>
      </c>
      <c r="Q812" t="s">
        <v>408</v>
      </c>
      <c r="R812" t="s">
        <v>1719</v>
      </c>
      <c r="S812">
        <v>2020</v>
      </c>
      <c r="T812">
        <v>0</v>
      </c>
      <c r="U812" t="s">
        <v>1807</v>
      </c>
      <c r="V812" t="s">
        <v>408</v>
      </c>
      <c r="W812">
        <v>0</v>
      </c>
      <c r="X812">
        <v>0</v>
      </c>
      <c r="Y812" t="s">
        <v>408</v>
      </c>
      <c r="Z812">
        <v>2020</v>
      </c>
      <c r="AA812">
        <v>0</v>
      </c>
      <c r="AB812">
        <v>0.25278420675500002</v>
      </c>
      <c r="AC812">
        <v>0.50556841351000004</v>
      </c>
      <c r="AD812" t="s">
        <v>408</v>
      </c>
      <c r="AE812" t="s">
        <v>408</v>
      </c>
      <c r="AF812" t="s">
        <v>408</v>
      </c>
      <c r="AG812" t="s">
        <v>408</v>
      </c>
      <c r="AH812" t="s">
        <v>408</v>
      </c>
      <c r="AI812" t="s">
        <v>408</v>
      </c>
      <c r="AJ812" t="s">
        <v>408</v>
      </c>
      <c r="AK812" t="s">
        <v>408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 s="58">
        <f t="shared" si="12"/>
        <v>1</v>
      </c>
      <c r="AU812" t="s">
        <v>1050</v>
      </c>
      <c r="AV812" t="s">
        <v>410</v>
      </c>
      <c r="AW812" t="s">
        <v>408</v>
      </c>
      <c r="AX812">
        <v>2</v>
      </c>
      <c r="AY812" t="s">
        <v>412</v>
      </c>
      <c r="AZ812" t="s">
        <v>400</v>
      </c>
    </row>
    <row r="813" spans="1:52" x14ac:dyDescent="0.3">
      <c r="A813">
        <v>802</v>
      </c>
      <c r="B813" t="s">
        <v>693</v>
      </c>
      <c r="C813" t="s">
        <v>152</v>
      </c>
      <c r="D813" t="s">
        <v>694</v>
      </c>
      <c r="E813" t="s">
        <v>460</v>
      </c>
      <c r="F813" t="s">
        <v>408</v>
      </c>
      <c r="G813">
        <v>2400</v>
      </c>
      <c r="H813">
        <v>2401</v>
      </c>
      <c r="I813" t="s">
        <v>890</v>
      </c>
      <c r="J813">
        <v>2550</v>
      </c>
      <c r="K813">
        <v>2551</v>
      </c>
      <c r="L813" t="s">
        <v>970</v>
      </c>
      <c r="M813">
        <v>3</v>
      </c>
      <c r="N813" t="s">
        <v>167</v>
      </c>
      <c r="O813" t="s">
        <v>167</v>
      </c>
      <c r="P813" t="s">
        <v>414</v>
      </c>
      <c r="Q813" t="s">
        <v>408</v>
      </c>
      <c r="R813" t="s">
        <v>971</v>
      </c>
      <c r="S813">
        <v>2021</v>
      </c>
      <c r="T813">
        <v>5</v>
      </c>
      <c r="U813" t="s">
        <v>1140</v>
      </c>
      <c r="V813" t="s">
        <v>408</v>
      </c>
      <c r="W813">
        <v>0</v>
      </c>
      <c r="X813">
        <v>0</v>
      </c>
      <c r="Y813" t="s">
        <v>408</v>
      </c>
      <c r="Z813">
        <v>2021</v>
      </c>
      <c r="AA813">
        <v>0</v>
      </c>
      <c r="AB813">
        <v>5.2703448724700001E-2</v>
      </c>
      <c r="AC813">
        <v>0.105406897449</v>
      </c>
      <c r="AD813" t="s">
        <v>408</v>
      </c>
      <c r="AE813" t="s">
        <v>152</v>
      </c>
      <c r="AF813" t="s">
        <v>408</v>
      </c>
      <c r="AG813" t="s">
        <v>152</v>
      </c>
      <c r="AH813" t="s">
        <v>408</v>
      </c>
      <c r="AI813" t="s">
        <v>408</v>
      </c>
      <c r="AJ813" t="s">
        <v>408</v>
      </c>
      <c r="AK813" t="s">
        <v>408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s="58">
        <f t="shared" si="12"/>
        <v>1</v>
      </c>
      <c r="AU813" t="s">
        <v>1808</v>
      </c>
      <c r="AV813" t="s">
        <v>410</v>
      </c>
      <c r="AW813" t="s">
        <v>411</v>
      </c>
      <c r="AX813">
        <v>2</v>
      </c>
      <c r="AY813" t="s">
        <v>412</v>
      </c>
      <c r="AZ813" t="s">
        <v>408</v>
      </c>
    </row>
    <row r="814" spans="1:52" x14ac:dyDescent="0.3">
      <c r="A814">
        <v>803</v>
      </c>
      <c r="B814" t="s">
        <v>1609</v>
      </c>
      <c r="C814" t="s">
        <v>155</v>
      </c>
      <c r="D814" t="s">
        <v>1610</v>
      </c>
      <c r="E814" t="s">
        <v>460</v>
      </c>
      <c r="F814" t="s">
        <v>408</v>
      </c>
      <c r="G814">
        <v>2200</v>
      </c>
      <c r="H814">
        <v>2201</v>
      </c>
      <c r="I814" t="s">
        <v>492</v>
      </c>
      <c r="J814">
        <v>1900</v>
      </c>
      <c r="K814">
        <v>1901</v>
      </c>
      <c r="L814" t="s">
        <v>651</v>
      </c>
      <c r="M814">
        <v>0</v>
      </c>
      <c r="N814" t="s">
        <v>165</v>
      </c>
      <c r="O814" t="s">
        <v>165</v>
      </c>
      <c r="P814" t="s">
        <v>420</v>
      </c>
      <c r="Q814" t="s">
        <v>408</v>
      </c>
      <c r="R814" t="s">
        <v>1612</v>
      </c>
      <c r="S814">
        <v>2021</v>
      </c>
      <c r="T814">
        <v>5</v>
      </c>
      <c r="U814" t="s">
        <v>408</v>
      </c>
      <c r="V814" t="s">
        <v>408</v>
      </c>
      <c r="W814">
        <v>0</v>
      </c>
      <c r="X814">
        <v>0</v>
      </c>
      <c r="Y814" t="s">
        <v>408</v>
      </c>
      <c r="Z814">
        <v>2021</v>
      </c>
      <c r="AA814">
        <v>2021</v>
      </c>
      <c r="AB814">
        <v>0.26055758525599998</v>
      </c>
      <c r="AC814">
        <v>0.52111517051199996</v>
      </c>
      <c r="AD814" t="s">
        <v>408</v>
      </c>
      <c r="AE814" t="s">
        <v>400</v>
      </c>
      <c r="AF814" t="s">
        <v>400</v>
      </c>
      <c r="AG814" t="s">
        <v>400</v>
      </c>
      <c r="AH814" t="s">
        <v>408</v>
      </c>
      <c r="AI814" t="s">
        <v>408</v>
      </c>
      <c r="AJ814" t="s">
        <v>408</v>
      </c>
      <c r="AK814" t="s">
        <v>408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 s="58">
        <f t="shared" si="12"/>
        <v>1</v>
      </c>
      <c r="AU814" t="s">
        <v>439</v>
      </c>
      <c r="AV814" t="s">
        <v>410</v>
      </c>
      <c r="AW814" t="s">
        <v>152</v>
      </c>
      <c r="AX814">
        <v>2</v>
      </c>
      <c r="AY814" t="s">
        <v>412</v>
      </c>
      <c r="AZ814" t="s">
        <v>408</v>
      </c>
    </row>
    <row r="815" spans="1:52" x14ac:dyDescent="0.3">
      <c r="A815">
        <v>804</v>
      </c>
      <c r="B815" t="s">
        <v>1070</v>
      </c>
      <c r="C815" t="s">
        <v>155</v>
      </c>
      <c r="D815" t="s">
        <v>1071</v>
      </c>
      <c r="E815" t="s">
        <v>460</v>
      </c>
      <c r="F815" t="s">
        <v>408</v>
      </c>
      <c r="G815">
        <v>5500</v>
      </c>
      <c r="H815">
        <v>5501</v>
      </c>
      <c r="I815" t="s">
        <v>1036</v>
      </c>
      <c r="J815">
        <v>5200</v>
      </c>
      <c r="K815">
        <v>5201</v>
      </c>
      <c r="L815" t="s">
        <v>1658</v>
      </c>
      <c r="M815">
        <v>0</v>
      </c>
      <c r="N815" t="s">
        <v>167</v>
      </c>
      <c r="O815" t="s">
        <v>167</v>
      </c>
      <c r="P815" t="s">
        <v>420</v>
      </c>
      <c r="Q815" t="s">
        <v>408</v>
      </c>
      <c r="R815" t="s">
        <v>1809</v>
      </c>
      <c r="S815">
        <v>2021</v>
      </c>
      <c r="T815">
        <v>6</v>
      </c>
      <c r="U815" t="s">
        <v>408</v>
      </c>
      <c r="V815" t="s">
        <v>408</v>
      </c>
      <c r="W815">
        <v>0</v>
      </c>
      <c r="X815">
        <v>0</v>
      </c>
      <c r="Y815" t="s">
        <v>408</v>
      </c>
      <c r="Z815">
        <v>2021</v>
      </c>
      <c r="AA815">
        <v>0</v>
      </c>
      <c r="AB815">
        <v>0.39788936619999998</v>
      </c>
      <c r="AC815">
        <v>0.79577873239999997</v>
      </c>
      <c r="AD815" t="s">
        <v>408</v>
      </c>
      <c r="AE815" t="s">
        <v>152</v>
      </c>
      <c r="AF815" t="s">
        <v>408</v>
      </c>
      <c r="AG815" t="s">
        <v>152</v>
      </c>
      <c r="AH815" t="s">
        <v>408</v>
      </c>
      <c r="AI815" t="s">
        <v>408</v>
      </c>
      <c r="AJ815" t="s">
        <v>408</v>
      </c>
      <c r="AK815" t="s">
        <v>408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 s="58">
        <f t="shared" si="12"/>
        <v>1</v>
      </c>
      <c r="AU815" t="s">
        <v>714</v>
      </c>
      <c r="AV815" t="s">
        <v>410</v>
      </c>
      <c r="AW815" t="s">
        <v>152</v>
      </c>
      <c r="AX815">
        <v>0</v>
      </c>
      <c r="AY815" t="s">
        <v>412</v>
      </c>
      <c r="AZ815" t="s">
        <v>408</v>
      </c>
    </row>
    <row r="816" spans="1:52" x14ac:dyDescent="0.3">
      <c r="A816">
        <v>805</v>
      </c>
      <c r="B816" t="s">
        <v>527</v>
      </c>
      <c r="C816" t="s">
        <v>154</v>
      </c>
      <c r="D816" t="s">
        <v>528</v>
      </c>
      <c r="E816" t="s">
        <v>417</v>
      </c>
      <c r="F816" t="s">
        <v>408</v>
      </c>
      <c r="G816">
        <v>4800</v>
      </c>
      <c r="H816">
        <v>4801</v>
      </c>
      <c r="I816" t="s">
        <v>1810</v>
      </c>
      <c r="J816">
        <v>4000</v>
      </c>
      <c r="K816">
        <v>4001</v>
      </c>
      <c r="L816" t="s">
        <v>1236</v>
      </c>
      <c r="M816">
        <v>0</v>
      </c>
      <c r="N816" t="s">
        <v>170</v>
      </c>
      <c r="O816" t="s">
        <v>170</v>
      </c>
      <c r="P816" t="s">
        <v>420</v>
      </c>
      <c r="Q816" t="s">
        <v>408</v>
      </c>
      <c r="R816" t="s">
        <v>782</v>
      </c>
      <c r="S816">
        <v>2021</v>
      </c>
      <c r="T816">
        <v>6</v>
      </c>
      <c r="U816" t="s">
        <v>408</v>
      </c>
      <c r="V816" t="s">
        <v>408</v>
      </c>
      <c r="W816">
        <v>0</v>
      </c>
      <c r="X816">
        <v>0</v>
      </c>
      <c r="Y816" t="s">
        <v>408</v>
      </c>
      <c r="Z816">
        <v>2021</v>
      </c>
      <c r="AA816">
        <v>0</v>
      </c>
      <c r="AB816">
        <v>1.0053283605400001</v>
      </c>
      <c r="AC816">
        <v>2.0106567210800002</v>
      </c>
      <c r="AD816" t="s">
        <v>408</v>
      </c>
      <c r="AE816" t="s">
        <v>152</v>
      </c>
      <c r="AF816" t="s">
        <v>408</v>
      </c>
      <c r="AG816" t="s">
        <v>152</v>
      </c>
      <c r="AH816" t="s">
        <v>408</v>
      </c>
      <c r="AI816" t="s">
        <v>408</v>
      </c>
      <c r="AJ816" t="s">
        <v>408</v>
      </c>
      <c r="AK816" t="s">
        <v>408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 s="58">
        <f t="shared" si="12"/>
        <v>1</v>
      </c>
      <c r="AU816" t="s">
        <v>714</v>
      </c>
      <c r="AV816" t="s">
        <v>410</v>
      </c>
      <c r="AW816" t="s">
        <v>152</v>
      </c>
      <c r="AX816">
        <v>0</v>
      </c>
      <c r="AY816" t="s">
        <v>412</v>
      </c>
      <c r="AZ816" t="s">
        <v>408</v>
      </c>
    </row>
    <row r="817" spans="1:52" x14ac:dyDescent="0.3">
      <c r="A817">
        <v>806</v>
      </c>
      <c r="B817" t="s">
        <v>527</v>
      </c>
      <c r="C817" t="s">
        <v>154</v>
      </c>
      <c r="D817" t="s">
        <v>528</v>
      </c>
      <c r="E817" t="s">
        <v>417</v>
      </c>
      <c r="F817" t="s">
        <v>408</v>
      </c>
      <c r="G817">
        <v>4000</v>
      </c>
      <c r="H817">
        <v>4001</v>
      </c>
      <c r="I817" t="s">
        <v>1236</v>
      </c>
      <c r="J817">
        <v>3624</v>
      </c>
      <c r="K817">
        <v>3625</v>
      </c>
      <c r="L817" t="s">
        <v>1811</v>
      </c>
      <c r="M817">
        <v>0</v>
      </c>
      <c r="N817" t="s">
        <v>167</v>
      </c>
      <c r="O817" t="s">
        <v>167</v>
      </c>
      <c r="P817" t="s">
        <v>420</v>
      </c>
      <c r="Q817" t="s">
        <v>408</v>
      </c>
      <c r="R817" t="s">
        <v>782</v>
      </c>
      <c r="S817">
        <v>2021</v>
      </c>
      <c r="T817">
        <v>6</v>
      </c>
      <c r="U817" t="s">
        <v>408</v>
      </c>
      <c r="V817" t="s">
        <v>408</v>
      </c>
      <c r="W817">
        <v>0</v>
      </c>
      <c r="X817">
        <v>0</v>
      </c>
      <c r="Y817" t="s">
        <v>408</v>
      </c>
      <c r="Z817">
        <v>2021</v>
      </c>
      <c r="AA817">
        <v>0</v>
      </c>
      <c r="AB817">
        <v>0.45244872409499998</v>
      </c>
      <c r="AC817">
        <v>0.90489744818999995</v>
      </c>
      <c r="AD817" t="s">
        <v>408</v>
      </c>
      <c r="AE817" t="s">
        <v>152</v>
      </c>
      <c r="AF817" t="s">
        <v>408</v>
      </c>
      <c r="AG817" t="s">
        <v>152</v>
      </c>
      <c r="AH817" t="s">
        <v>408</v>
      </c>
      <c r="AI817" t="s">
        <v>408</v>
      </c>
      <c r="AJ817" t="s">
        <v>408</v>
      </c>
      <c r="AK817" t="s">
        <v>408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 s="58">
        <f t="shared" si="12"/>
        <v>1</v>
      </c>
      <c r="AU817" t="s">
        <v>714</v>
      </c>
      <c r="AV817" t="s">
        <v>410</v>
      </c>
      <c r="AW817" t="s">
        <v>152</v>
      </c>
      <c r="AX817">
        <v>0</v>
      </c>
      <c r="AY817" t="s">
        <v>412</v>
      </c>
      <c r="AZ817" t="s">
        <v>408</v>
      </c>
    </row>
    <row r="818" spans="1:52" x14ac:dyDescent="0.3">
      <c r="A818">
        <v>807</v>
      </c>
      <c r="B818" t="s">
        <v>1812</v>
      </c>
      <c r="C818" t="s">
        <v>155</v>
      </c>
      <c r="D818" t="s">
        <v>1813</v>
      </c>
      <c r="E818" t="s">
        <v>460</v>
      </c>
      <c r="F818" t="s">
        <v>408</v>
      </c>
      <c r="G818">
        <v>11900</v>
      </c>
      <c r="H818">
        <v>11901</v>
      </c>
      <c r="I818" t="s">
        <v>1705</v>
      </c>
      <c r="J818">
        <v>9500</v>
      </c>
      <c r="K818">
        <v>9501</v>
      </c>
      <c r="L818" t="s">
        <v>1814</v>
      </c>
      <c r="M818">
        <v>0</v>
      </c>
      <c r="N818" t="s">
        <v>170</v>
      </c>
      <c r="O818" t="s">
        <v>170</v>
      </c>
      <c r="P818" t="s">
        <v>420</v>
      </c>
      <c r="Q818" t="s">
        <v>408</v>
      </c>
      <c r="R818" t="s">
        <v>805</v>
      </c>
      <c r="S818">
        <v>2021</v>
      </c>
      <c r="T818">
        <v>5</v>
      </c>
      <c r="U818" t="s">
        <v>408</v>
      </c>
      <c r="V818" t="s">
        <v>408</v>
      </c>
      <c r="W818">
        <v>0</v>
      </c>
      <c r="X818">
        <v>0</v>
      </c>
      <c r="Y818" t="s">
        <v>408</v>
      </c>
      <c r="Z818">
        <v>2021</v>
      </c>
      <c r="AA818">
        <v>2021</v>
      </c>
      <c r="AB818">
        <v>3.0687896164300001</v>
      </c>
      <c r="AC818">
        <v>6.1375792328600003</v>
      </c>
      <c r="AD818" t="s">
        <v>408</v>
      </c>
      <c r="AE818" t="s">
        <v>152</v>
      </c>
      <c r="AF818" t="s">
        <v>408</v>
      </c>
      <c r="AG818" t="s">
        <v>152</v>
      </c>
      <c r="AH818" t="s">
        <v>408</v>
      </c>
      <c r="AI818" t="s">
        <v>408</v>
      </c>
      <c r="AJ818" t="s">
        <v>408</v>
      </c>
      <c r="AK818" t="s">
        <v>408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 s="58">
        <f t="shared" si="12"/>
        <v>1</v>
      </c>
      <c r="AU818" t="s">
        <v>714</v>
      </c>
      <c r="AV818" t="s">
        <v>410</v>
      </c>
      <c r="AW818" t="s">
        <v>152</v>
      </c>
      <c r="AX818">
        <v>0</v>
      </c>
      <c r="AY818" t="s">
        <v>412</v>
      </c>
      <c r="AZ818" t="s">
        <v>408</v>
      </c>
    </row>
    <row r="819" spans="1:52" x14ac:dyDescent="0.3">
      <c r="A819">
        <v>808</v>
      </c>
      <c r="B819" t="s">
        <v>1592</v>
      </c>
      <c r="C819" t="s">
        <v>154</v>
      </c>
      <c r="D819" t="s">
        <v>1593</v>
      </c>
      <c r="E819" t="s">
        <v>417</v>
      </c>
      <c r="F819" t="s">
        <v>408</v>
      </c>
      <c r="G819">
        <v>1950</v>
      </c>
      <c r="H819">
        <v>1951</v>
      </c>
      <c r="I819" t="s">
        <v>1815</v>
      </c>
      <c r="J819">
        <v>1800</v>
      </c>
      <c r="K819">
        <v>1801</v>
      </c>
      <c r="L819" t="s">
        <v>1684</v>
      </c>
      <c r="M819">
        <v>0</v>
      </c>
      <c r="N819" t="s">
        <v>167</v>
      </c>
      <c r="O819" t="s">
        <v>569</v>
      </c>
      <c r="P819" t="s">
        <v>420</v>
      </c>
      <c r="Q819" t="s">
        <v>408</v>
      </c>
      <c r="R819" t="s">
        <v>782</v>
      </c>
      <c r="S819">
        <v>2021</v>
      </c>
      <c r="T819">
        <v>6</v>
      </c>
      <c r="U819" t="s">
        <v>408</v>
      </c>
      <c r="V819" t="s">
        <v>408</v>
      </c>
      <c r="W819">
        <v>0</v>
      </c>
      <c r="X819">
        <v>0</v>
      </c>
      <c r="Y819" t="s">
        <v>408</v>
      </c>
      <c r="Z819">
        <v>2021</v>
      </c>
      <c r="AA819">
        <v>0</v>
      </c>
      <c r="AB819">
        <v>0.18581369012900001</v>
      </c>
      <c r="AC819">
        <v>0.37162738025800002</v>
      </c>
      <c r="AD819" t="s">
        <v>408</v>
      </c>
      <c r="AE819" t="s">
        <v>152</v>
      </c>
      <c r="AF819" t="s">
        <v>408</v>
      </c>
      <c r="AG819" t="s">
        <v>152</v>
      </c>
      <c r="AH819" t="s">
        <v>408</v>
      </c>
      <c r="AI819" t="s">
        <v>408</v>
      </c>
      <c r="AJ819" t="s">
        <v>408</v>
      </c>
      <c r="AK819" t="s">
        <v>408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 s="58">
        <f t="shared" si="12"/>
        <v>1</v>
      </c>
      <c r="AU819" t="s">
        <v>1808</v>
      </c>
      <c r="AV819" t="s">
        <v>410</v>
      </c>
      <c r="AW819" t="s">
        <v>152</v>
      </c>
      <c r="AX819">
        <v>0</v>
      </c>
      <c r="AY819" t="s">
        <v>412</v>
      </c>
      <c r="AZ819" t="s">
        <v>408</v>
      </c>
    </row>
    <row r="820" spans="1:52" x14ac:dyDescent="0.3">
      <c r="A820">
        <v>809</v>
      </c>
      <c r="B820" t="s">
        <v>1592</v>
      </c>
      <c r="C820" t="s">
        <v>154</v>
      </c>
      <c r="D820" t="s">
        <v>1593</v>
      </c>
      <c r="E820" t="s">
        <v>417</v>
      </c>
      <c r="F820" t="s">
        <v>408</v>
      </c>
      <c r="G820">
        <v>1800</v>
      </c>
      <c r="H820">
        <v>1801</v>
      </c>
      <c r="I820" t="s">
        <v>1684</v>
      </c>
      <c r="J820">
        <v>1600</v>
      </c>
      <c r="K820">
        <v>1601</v>
      </c>
      <c r="L820" t="s">
        <v>1816</v>
      </c>
      <c r="M820">
        <v>0</v>
      </c>
      <c r="N820" t="s">
        <v>170</v>
      </c>
      <c r="O820" t="s">
        <v>170</v>
      </c>
      <c r="P820" t="s">
        <v>420</v>
      </c>
      <c r="Q820" t="s">
        <v>408</v>
      </c>
      <c r="R820" t="s">
        <v>782</v>
      </c>
      <c r="S820">
        <v>2021</v>
      </c>
      <c r="T820">
        <v>6</v>
      </c>
      <c r="U820" t="s">
        <v>408</v>
      </c>
      <c r="V820" t="s">
        <v>408</v>
      </c>
      <c r="W820">
        <v>0</v>
      </c>
      <c r="X820">
        <v>0</v>
      </c>
      <c r="Y820" t="s">
        <v>408</v>
      </c>
      <c r="Z820">
        <v>2021</v>
      </c>
      <c r="AA820">
        <v>0</v>
      </c>
      <c r="AB820">
        <v>0.259747520013</v>
      </c>
      <c r="AC820">
        <v>0.519495040026</v>
      </c>
      <c r="AD820" t="s">
        <v>408</v>
      </c>
      <c r="AE820" t="s">
        <v>152</v>
      </c>
      <c r="AF820" t="s">
        <v>408</v>
      </c>
      <c r="AG820" t="s">
        <v>152</v>
      </c>
      <c r="AH820" t="s">
        <v>408</v>
      </c>
      <c r="AI820" t="s">
        <v>408</v>
      </c>
      <c r="AJ820" t="s">
        <v>408</v>
      </c>
      <c r="AK820" t="s">
        <v>408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 s="58">
        <f t="shared" si="12"/>
        <v>1</v>
      </c>
      <c r="AU820" t="s">
        <v>1808</v>
      </c>
      <c r="AV820" t="s">
        <v>410</v>
      </c>
      <c r="AW820" t="s">
        <v>152</v>
      </c>
      <c r="AX820">
        <v>0</v>
      </c>
      <c r="AY820" t="s">
        <v>412</v>
      </c>
      <c r="AZ820" t="s">
        <v>408</v>
      </c>
    </row>
    <row r="821" spans="1:52" x14ac:dyDescent="0.3">
      <c r="A821">
        <v>810</v>
      </c>
      <c r="B821" t="s">
        <v>1592</v>
      </c>
      <c r="C821" t="s">
        <v>154</v>
      </c>
      <c r="D821" t="s">
        <v>1593</v>
      </c>
      <c r="E821" t="s">
        <v>417</v>
      </c>
      <c r="F821" t="s">
        <v>408</v>
      </c>
      <c r="G821">
        <v>1600</v>
      </c>
      <c r="H821">
        <v>1601</v>
      </c>
      <c r="I821" t="s">
        <v>1816</v>
      </c>
      <c r="J821">
        <v>1300</v>
      </c>
      <c r="K821">
        <v>1301</v>
      </c>
      <c r="L821" t="s">
        <v>509</v>
      </c>
      <c r="M821">
        <v>0</v>
      </c>
      <c r="N821" t="s">
        <v>167</v>
      </c>
      <c r="O821" t="s">
        <v>569</v>
      </c>
      <c r="P821" t="s">
        <v>420</v>
      </c>
      <c r="Q821" t="s">
        <v>408</v>
      </c>
      <c r="R821" t="s">
        <v>782</v>
      </c>
      <c r="S821">
        <v>2021</v>
      </c>
      <c r="T821">
        <v>6</v>
      </c>
      <c r="U821" t="s">
        <v>408</v>
      </c>
      <c r="V821" t="s">
        <v>408</v>
      </c>
      <c r="W821">
        <v>0</v>
      </c>
      <c r="X821">
        <v>0</v>
      </c>
      <c r="Y821" t="s">
        <v>408</v>
      </c>
      <c r="Z821">
        <v>2021</v>
      </c>
      <c r="AA821">
        <v>0</v>
      </c>
      <c r="AB821">
        <v>0.313684280521</v>
      </c>
      <c r="AC821">
        <v>0.62736856104200001</v>
      </c>
      <c r="AD821" t="s">
        <v>408</v>
      </c>
      <c r="AE821" t="s">
        <v>152</v>
      </c>
      <c r="AF821" t="s">
        <v>408</v>
      </c>
      <c r="AG821" t="s">
        <v>152</v>
      </c>
      <c r="AH821" t="s">
        <v>408</v>
      </c>
      <c r="AI821" t="s">
        <v>408</v>
      </c>
      <c r="AJ821" t="s">
        <v>408</v>
      </c>
      <c r="AK821" t="s">
        <v>408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 s="58">
        <f t="shared" si="12"/>
        <v>1</v>
      </c>
      <c r="AU821" t="s">
        <v>1808</v>
      </c>
      <c r="AV821" t="s">
        <v>410</v>
      </c>
      <c r="AW821" t="s">
        <v>152</v>
      </c>
      <c r="AX821">
        <v>0</v>
      </c>
      <c r="AY821" t="s">
        <v>412</v>
      </c>
      <c r="AZ821" t="s">
        <v>408</v>
      </c>
    </row>
    <row r="822" spans="1:52" x14ac:dyDescent="0.3">
      <c r="A822">
        <v>811</v>
      </c>
      <c r="B822" t="s">
        <v>1817</v>
      </c>
      <c r="C822" t="s">
        <v>154</v>
      </c>
      <c r="D822" t="s">
        <v>1818</v>
      </c>
      <c r="E822" t="s">
        <v>417</v>
      </c>
      <c r="F822" t="s">
        <v>408</v>
      </c>
      <c r="G822">
        <v>1600</v>
      </c>
      <c r="H822">
        <v>1601</v>
      </c>
      <c r="I822" t="s">
        <v>813</v>
      </c>
      <c r="J822">
        <v>800</v>
      </c>
      <c r="K822">
        <v>801</v>
      </c>
      <c r="L822" t="s">
        <v>814</v>
      </c>
      <c r="M822">
        <v>0</v>
      </c>
      <c r="N822" t="s">
        <v>163</v>
      </c>
      <c r="O822" t="s">
        <v>163</v>
      </c>
      <c r="P822" t="s">
        <v>420</v>
      </c>
      <c r="Q822" t="s">
        <v>408</v>
      </c>
      <c r="R822" t="s">
        <v>782</v>
      </c>
      <c r="S822">
        <v>2021</v>
      </c>
      <c r="T822">
        <v>7</v>
      </c>
      <c r="U822" t="s">
        <v>408</v>
      </c>
      <c r="V822" t="s">
        <v>408</v>
      </c>
      <c r="W822">
        <v>0</v>
      </c>
      <c r="X822">
        <v>0</v>
      </c>
      <c r="Y822" t="s">
        <v>408</v>
      </c>
      <c r="Z822">
        <v>2021</v>
      </c>
      <c r="AA822">
        <v>0</v>
      </c>
      <c r="AB822">
        <v>1.0051717552799999</v>
      </c>
      <c r="AC822">
        <v>2.0103435105599998</v>
      </c>
      <c r="AD822" t="s">
        <v>408</v>
      </c>
      <c r="AE822" t="s">
        <v>152</v>
      </c>
      <c r="AF822" t="s">
        <v>408</v>
      </c>
      <c r="AG822" t="s">
        <v>152</v>
      </c>
      <c r="AH822" t="s">
        <v>408</v>
      </c>
      <c r="AI822" t="s">
        <v>470</v>
      </c>
      <c r="AJ822" t="s">
        <v>400</v>
      </c>
      <c r="AK822" t="s">
        <v>408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 s="58">
        <f t="shared" si="12"/>
        <v>1</v>
      </c>
      <c r="AU822" t="s">
        <v>784</v>
      </c>
      <c r="AV822" t="s">
        <v>410</v>
      </c>
      <c r="AW822" t="s">
        <v>411</v>
      </c>
      <c r="AX822">
        <v>0</v>
      </c>
      <c r="AY822" t="s">
        <v>412</v>
      </c>
      <c r="AZ822" t="s">
        <v>408</v>
      </c>
    </row>
    <row r="823" spans="1:52" x14ac:dyDescent="0.3">
      <c r="A823">
        <v>812</v>
      </c>
      <c r="B823" t="s">
        <v>1817</v>
      </c>
      <c r="C823" t="s">
        <v>154</v>
      </c>
      <c r="D823" t="s">
        <v>1818</v>
      </c>
      <c r="E823" t="s">
        <v>417</v>
      </c>
      <c r="F823" t="s">
        <v>408</v>
      </c>
      <c r="G823">
        <v>800</v>
      </c>
      <c r="H823">
        <v>801</v>
      </c>
      <c r="I823" t="s">
        <v>814</v>
      </c>
      <c r="J823">
        <v>2</v>
      </c>
      <c r="K823">
        <v>1</v>
      </c>
      <c r="L823" t="s">
        <v>877</v>
      </c>
      <c r="M823">
        <v>0</v>
      </c>
      <c r="N823" t="s">
        <v>167</v>
      </c>
      <c r="O823" t="s">
        <v>569</v>
      </c>
      <c r="P823" t="s">
        <v>420</v>
      </c>
      <c r="Q823" t="s">
        <v>408</v>
      </c>
      <c r="R823" t="s">
        <v>782</v>
      </c>
      <c r="S823">
        <v>2021</v>
      </c>
      <c r="T823">
        <v>7</v>
      </c>
      <c r="U823" t="s">
        <v>783</v>
      </c>
      <c r="V823" t="s">
        <v>408</v>
      </c>
      <c r="W823">
        <v>0</v>
      </c>
      <c r="X823">
        <v>0</v>
      </c>
      <c r="Y823" t="s">
        <v>408</v>
      </c>
      <c r="Z823">
        <v>2021</v>
      </c>
      <c r="AA823">
        <v>0</v>
      </c>
      <c r="AB823">
        <v>0.99670272362500001</v>
      </c>
      <c r="AC823">
        <v>1.99340544725</v>
      </c>
      <c r="AD823" t="s">
        <v>408</v>
      </c>
      <c r="AE823" t="s">
        <v>152</v>
      </c>
      <c r="AF823" t="s">
        <v>408</v>
      </c>
      <c r="AG823" t="s">
        <v>152</v>
      </c>
      <c r="AH823" t="s">
        <v>408</v>
      </c>
      <c r="AI823" t="s">
        <v>408</v>
      </c>
      <c r="AJ823" t="s">
        <v>408</v>
      </c>
      <c r="AK823" t="s">
        <v>408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s="58">
        <f t="shared" si="12"/>
        <v>1</v>
      </c>
      <c r="AU823" t="s">
        <v>714</v>
      </c>
      <c r="AV823" t="s">
        <v>410</v>
      </c>
      <c r="AW823" t="s">
        <v>152</v>
      </c>
      <c r="AX823">
        <v>0</v>
      </c>
      <c r="AY823" t="s">
        <v>412</v>
      </c>
      <c r="AZ823" t="s">
        <v>408</v>
      </c>
    </row>
    <row r="824" spans="1:52" x14ac:dyDescent="0.3">
      <c r="A824">
        <v>813</v>
      </c>
      <c r="B824" t="s">
        <v>1208</v>
      </c>
      <c r="C824" t="s">
        <v>155</v>
      </c>
      <c r="D824" t="s">
        <v>325</v>
      </c>
      <c r="E824" t="s">
        <v>460</v>
      </c>
      <c r="F824" t="s">
        <v>408</v>
      </c>
      <c r="G824">
        <v>10300</v>
      </c>
      <c r="H824">
        <v>10301</v>
      </c>
      <c r="I824" t="s">
        <v>1210</v>
      </c>
      <c r="J824">
        <v>10000</v>
      </c>
      <c r="K824">
        <v>10001</v>
      </c>
      <c r="L824" t="s">
        <v>1819</v>
      </c>
      <c r="M824">
        <v>0</v>
      </c>
      <c r="N824" t="s">
        <v>163</v>
      </c>
      <c r="O824" t="s">
        <v>163</v>
      </c>
      <c r="P824" t="s">
        <v>420</v>
      </c>
      <c r="Q824" t="s">
        <v>408</v>
      </c>
      <c r="R824" t="s">
        <v>782</v>
      </c>
      <c r="S824">
        <v>2021</v>
      </c>
      <c r="T824">
        <v>8</v>
      </c>
      <c r="U824" t="s">
        <v>408</v>
      </c>
      <c r="V824" t="s">
        <v>408</v>
      </c>
      <c r="W824">
        <v>0</v>
      </c>
      <c r="X824">
        <v>0</v>
      </c>
      <c r="Y824" t="s">
        <v>408</v>
      </c>
      <c r="Z824">
        <v>2021</v>
      </c>
      <c r="AA824">
        <v>0</v>
      </c>
      <c r="AB824">
        <v>0.29768509098599999</v>
      </c>
      <c r="AC824">
        <v>0.59537018197199998</v>
      </c>
      <c r="AD824" t="s">
        <v>408</v>
      </c>
      <c r="AE824" t="s">
        <v>400</v>
      </c>
      <c r="AF824" t="s">
        <v>400</v>
      </c>
      <c r="AG824" t="s">
        <v>400</v>
      </c>
      <c r="AH824" t="s">
        <v>400</v>
      </c>
      <c r="AI824" t="s">
        <v>470</v>
      </c>
      <c r="AJ824" t="s">
        <v>400</v>
      </c>
      <c r="AK824" t="s">
        <v>408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 s="58">
        <f t="shared" si="12"/>
        <v>1</v>
      </c>
      <c r="AU824" t="s">
        <v>714</v>
      </c>
      <c r="AV824" t="s">
        <v>410</v>
      </c>
      <c r="AW824" t="s">
        <v>411</v>
      </c>
      <c r="AX824">
        <v>0</v>
      </c>
      <c r="AY824" t="s">
        <v>412</v>
      </c>
      <c r="AZ824" t="s">
        <v>408</v>
      </c>
    </row>
    <row r="825" spans="1:52" x14ac:dyDescent="0.3">
      <c r="A825">
        <v>814</v>
      </c>
      <c r="B825" t="s">
        <v>720</v>
      </c>
      <c r="C825" t="s">
        <v>152</v>
      </c>
      <c r="D825" t="s">
        <v>721</v>
      </c>
      <c r="E825" t="s">
        <v>460</v>
      </c>
      <c r="F825" t="s">
        <v>408</v>
      </c>
      <c r="G825">
        <v>1050</v>
      </c>
      <c r="H825">
        <v>1051</v>
      </c>
      <c r="I825" t="s">
        <v>1820</v>
      </c>
      <c r="J825">
        <v>1600</v>
      </c>
      <c r="K825">
        <v>1601</v>
      </c>
      <c r="L825" t="s">
        <v>541</v>
      </c>
      <c r="M825">
        <v>0</v>
      </c>
      <c r="N825" t="s">
        <v>167</v>
      </c>
      <c r="O825" t="s">
        <v>167</v>
      </c>
      <c r="P825" t="s">
        <v>420</v>
      </c>
      <c r="Q825" t="s">
        <v>408</v>
      </c>
      <c r="R825" t="s">
        <v>713</v>
      </c>
      <c r="S825">
        <v>2021</v>
      </c>
      <c r="T825">
        <v>6</v>
      </c>
      <c r="U825" t="s">
        <v>783</v>
      </c>
      <c r="V825" t="s">
        <v>408</v>
      </c>
      <c r="W825">
        <v>0</v>
      </c>
      <c r="X825">
        <v>0</v>
      </c>
      <c r="Y825" t="s">
        <v>408</v>
      </c>
      <c r="Z825">
        <v>2021</v>
      </c>
      <c r="AA825">
        <v>2021</v>
      </c>
      <c r="AB825">
        <v>0.68859716980300001</v>
      </c>
      <c r="AC825">
        <v>1.3771943396099999</v>
      </c>
      <c r="AD825" t="s">
        <v>408</v>
      </c>
      <c r="AE825" t="s">
        <v>152</v>
      </c>
      <c r="AF825" t="s">
        <v>408</v>
      </c>
      <c r="AG825" t="s">
        <v>152</v>
      </c>
      <c r="AH825" t="s">
        <v>408</v>
      </c>
      <c r="AI825" t="s">
        <v>408</v>
      </c>
      <c r="AJ825" t="s">
        <v>408</v>
      </c>
      <c r="AK825" t="s">
        <v>408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s="58">
        <f t="shared" si="12"/>
        <v>1</v>
      </c>
      <c r="AU825" t="s">
        <v>714</v>
      </c>
      <c r="AV825" t="s">
        <v>410</v>
      </c>
      <c r="AW825" t="s">
        <v>152</v>
      </c>
      <c r="AX825">
        <v>0</v>
      </c>
      <c r="AY825" t="s">
        <v>412</v>
      </c>
      <c r="AZ825" t="s">
        <v>408</v>
      </c>
    </row>
    <row r="826" spans="1:52" x14ac:dyDescent="0.3">
      <c r="A826">
        <v>815</v>
      </c>
      <c r="B826" t="s">
        <v>684</v>
      </c>
      <c r="C826" t="s">
        <v>152</v>
      </c>
      <c r="D826" t="s">
        <v>684</v>
      </c>
      <c r="E826" t="s">
        <v>408</v>
      </c>
      <c r="F826" t="s">
        <v>408</v>
      </c>
      <c r="G826">
        <v>4000</v>
      </c>
      <c r="H826">
        <v>4001</v>
      </c>
      <c r="I826" t="s">
        <v>717</v>
      </c>
      <c r="J826">
        <v>4400</v>
      </c>
      <c r="K826">
        <v>4401</v>
      </c>
      <c r="L826" t="s">
        <v>685</v>
      </c>
      <c r="M826">
        <v>0</v>
      </c>
      <c r="N826" t="s">
        <v>170</v>
      </c>
      <c r="O826" t="s">
        <v>170</v>
      </c>
      <c r="P826" t="s">
        <v>420</v>
      </c>
      <c r="Q826" t="s">
        <v>408</v>
      </c>
      <c r="R826" t="s">
        <v>713</v>
      </c>
      <c r="S826">
        <v>2021</v>
      </c>
      <c r="T826">
        <v>6</v>
      </c>
      <c r="U826" t="s">
        <v>1821</v>
      </c>
      <c r="V826" t="s">
        <v>408</v>
      </c>
      <c r="W826">
        <v>0</v>
      </c>
      <c r="X826">
        <v>0</v>
      </c>
      <c r="Y826" t="s">
        <v>408</v>
      </c>
      <c r="Z826">
        <v>2021</v>
      </c>
      <c r="AA826">
        <v>2021</v>
      </c>
      <c r="AB826">
        <v>0.55139519636199996</v>
      </c>
      <c r="AC826">
        <v>1.10279039272</v>
      </c>
      <c r="AD826" t="s">
        <v>408</v>
      </c>
      <c r="AE826" t="s">
        <v>152</v>
      </c>
      <c r="AF826" t="s">
        <v>408</v>
      </c>
      <c r="AG826" t="s">
        <v>152</v>
      </c>
      <c r="AH826" t="s">
        <v>408</v>
      </c>
      <c r="AI826" t="s">
        <v>408</v>
      </c>
      <c r="AJ826" t="s">
        <v>408</v>
      </c>
      <c r="AK826" t="s">
        <v>408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s="58">
        <f t="shared" si="12"/>
        <v>1</v>
      </c>
      <c r="AU826" t="s">
        <v>714</v>
      </c>
      <c r="AV826" t="s">
        <v>410</v>
      </c>
      <c r="AW826" t="s">
        <v>152</v>
      </c>
      <c r="AX826">
        <v>0</v>
      </c>
      <c r="AY826" t="s">
        <v>412</v>
      </c>
      <c r="AZ826" t="s">
        <v>400</v>
      </c>
    </row>
    <row r="827" spans="1:52" x14ac:dyDescent="0.3">
      <c r="A827">
        <v>816</v>
      </c>
      <c r="B827" t="s">
        <v>1822</v>
      </c>
      <c r="C827" t="s">
        <v>447</v>
      </c>
      <c r="D827" t="s">
        <v>1823</v>
      </c>
      <c r="E827" t="s">
        <v>417</v>
      </c>
      <c r="F827" t="s">
        <v>408</v>
      </c>
      <c r="G827">
        <v>3424</v>
      </c>
      <c r="H827">
        <v>3425</v>
      </c>
      <c r="I827" t="s">
        <v>530</v>
      </c>
      <c r="J827">
        <v>4058</v>
      </c>
      <c r="K827">
        <v>4059</v>
      </c>
      <c r="L827" t="s">
        <v>1824</v>
      </c>
      <c r="M827">
        <v>0</v>
      </c>
      <c r="N827" t="s">
        <v>165</v>
      </c>
      <c r="O827" t="s">
        <v>165</v>
      </c>
      <c r="P827" t="s">
        <v>420</v>
      </c>
      <c r="Q827" t="s">
        <v>408</v>
      </c>
      <c r="R827" t="s">
        <v>805</v>
      </c>
      <c r="S827">
        <v>2021</v>
      </c>
      <c r="T827">
        <v>11</v>
      </c>
      <c r="U827" t="s">
        <v>452</v>
      </c>
      <c r="V827" t="s">
        <v>408</v>
      </c>
      <c r="W827">
        <v>0</v>
      </c>
      <c r="X827">
        <v>0</v>
      </c>
      <c r="Y827" t="s">
        <v>408</v>
      </c>
      <c r="Z827">
        <v>2021</v>
      </c>
      <c r="AA827">
        <v>2021</v>
      </c>
      <c r="AB827">
        <v>0.86169817030499996</v>
      </c>
      <c r="AC827">
        <v>1.7233963406099999</v>
      </c>
      <c r="AD827" t="s">
        <v>408</v>
      </c>
      <c r="AE827" t="s">
        <v>152</v>
      </c>
      <c r="AF827" t="s">
        <v>408</v>
      </c>
      <c r="AG827" t="s">
        <v>152</v>
      </c>
      <c r="AH827" t="s">
        <v>408</v>
      </c>
      <c r="AI827" t="s">
        <v>408</v>
      </c>
      <c r="AJ827" t="s">
        <v>408</v>
      </c>
      <c r="AK827" t="s">
        <v>408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 s="58">
        <f t="shared" si="12"/>
        <v>1</v>
      </c>
      <c r="AU827" t="s">
        <v>784</v>
      </c>
      <c r="AV827" t="s">
        <v>410</v>
      </c>
      <c r="AW827" t="s">
        <v>152</v>
      </c>
      <c r="AX827">
        <v>0</v>
      </c>
      <c r="AY827" t="s">
        <v>412</v>
      </c>
      <c r="AZ827" t="s">
        <v>408</v>
      </c>
    </row>
    <row r="828" spans="1:52" x14ac:dyDescent="0.3">
      <c r="A828">
        <v>817</v>
      </c>
      <c r="B828" t="s">
        <v>527</v>
      </c>
      <c r="C828" t="s">
        <v>447</v>
      </c>
      <c r="D828" t="s">
        <v>528</v>
      </c>
      <c r="E828" t="s">
        <v>417</v>
      </c>
      <c r="F828" t="s">
        <v>408</v>
      </c>
      <c r="G828">
        <v>24</v>
      </c>
      <c r="H828">
        <v>25</v>
      </c>
      <c r="I828" t="s">
        <v>1514</v>
      </c>
      <c r="J828">
        <v>50</v>
      </c>
      <c r="K828">
        <v>51</v>
      </c>
      <c r="L828" t="s">
        <v>878</v>
      </c>
      <c r="M828">
        <v>0</v>
      </c>
      <c r="N828" t="s">
        <v>165</v>
      </c>
      <c r="O828" t="s">
        <v>165</v>
      </c>
      <c r="P828" t="s">
        <v>420</v>
      </c>
      <c r="Q828" t="s">
        <v>408</v>
      </c>
      <c r="R828" t="s">
        <v>1809</v>
      </c>
      <c r="S828">
        <v>2021</v>
      </c>
      <c r="T828">
        <v>8</v>
      </c>
      <c r="U828" t="s">
        <v>408</v>
      </c>
      <c r="V828" t="s">
        <v>408</v>
      </c>
      <c r="W828">
        <v>0</v>
      </c>
      <c r="X828">
        <v>0</v>
      </c>
      <c r="Y828" t="s">
        <v>408</v>
      </c>
      <c r="Z828">
        <v>2021</v>
      </c>
      <c r="AA828">
        <v>0</v>
      </c>
      <c r="AB828">
        <v>0.146314345102</v>
      </c>
      <c r="AC828">
        <v>0.29262869020400001</v>
      </c>
      <c r="AD828" t="s">
        <v>408</v>
      </c>
      <c r="AE828" t="s">
        <v>152</v>
      </c>
      <c r="AF828" t="s">
        <v>408</v>
      </c>
      <c r="AG828" t="s">
        <v>152</v>
      </c>
      <c r="AH828" t="s">
        <v>408</v>
      </c>
      <c r="AI828" t="s">
        <v>408</v>
      </c>
      <c r="AJ828" t="s">
        <v>408</v>
      </c>
      <c r="AK828" t="s">
        <v>408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 s="58">
        <f t="shared" si="12"/>
        <v>1</v>
      </c>
      <c r="AU828" t="s">
        <v>714</v>
      </c>
      <c r="AV828" t="s">
        <v>410</v>
      </c>
      <c r="AW828" t="s">
        <v>411</v>
      </c>
      <c r="AX828">
        <v>0</v>
      </c>
      <c r="AY828" t="s">
        <v>412</v>
      </c>
      <c r="AZ828" t="s">
        <v>408</v>
      </c>
    </row>
    <row r="829" spans="1:52" x14ac:dyDescent="0.3">
      <c r="A829">
        <v>818</v>
      </c>
      <c r="B829" t="s">
        <v>1446</v>
      </c>
      <c r="C829" t="s">
        <v>154</v>
      </c>
      <c r="D829" t="s">
        <v>1447</v>
      </c>
      <c r="E829" t="s">
        <v>417</v>
      </c>
      <c r="F829" t="s">
        <v>408</v>
      </c>
      <c r="G829">
        <v>50</v>
      </c>
      <c r="H829">
        <v>51</v>
      </c>
      <c r="I829" t="s">
        <v>509</v>
      </c>
      <c r="J829">
        <v>1</v>
      </c>
      <c r="K829">
        <v>2</v>
      </c>
      <c r="L829" t="s">
        <v>877</v>
      </c>
      <c r="M829">
        <v>0</v>
      </c>
      <c r="N829" t="s">
        <v>167</v>
      </c>
      <c r="O829" t="s">
        <v>167</v>
      </c>
      <c r="P829" t="s">
        <v>420</v>
      </c>
      <c r="Q829" t="s">
        <v>408</v>
      </c>
      <c r="R829" t="s">
        <v>1809</v>
      </c>
      <c r="S829">
        <v>2021</v>
      </c>
      <c r="T829">
        <v>8</v>
      </c>
      <c r="U829" t="s">
        <v>408</v>
      </c>
      <c r="V829" t="s">
        <v>408</v>
      </c>
      <c r="W829">
        <v>0</v>
      </c>
      <c r="X829">
        <v>0</v>
      </c>
      <c r="Y829" t="s">
        <v>408</v>
      </c>
      <c r="Z829">
        <v>2021</v>
      </c>
      <c r="AA829">
        <v>0</v>
      </c>
      <c r="AB829">
        <v>0.155885929107</v>
      </c>
      <c r="AC829">
        <v>0.311771858214</v>
      </c>
      <c r="AD829" t="s">
        <v>408</v>
      </c>
      <c r="AE829" t="s">
        <v>152</v>
      </c>
      <c r="AF829" t="s">
        <v>408</v>
      </c>
      <c r="AG829" t="s">
        <v>152</v>
      </c>
      <c r="AH829" t="s">
        <v>408</v>
      </c>
      <c r="AI829" t="s">
        <v>408</v>
      </c>
      <c r="AJ829" t="s">
        <v>408</v>
      </c>
      <c r="AK829" t="s">
        <v>408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 s="58">
        <f t="shared" si="12"/>
        <v>1</v>
      </c>
      <c r="AU829" t="s">
        <v>714</v>
      </c>
      <c r="AV829" t="s">
        <v>410</v>
      </c>
      <c r="AW829" t="s">
        <v>411</v>
      </c>
      <c r="AX829">
        <v>0</v>
      </c>
      <c r="AY829" t="s">
        <v>412</v>
      </c>
      <c r="AZ829" t="s">
        <v>408</v>
      </c>
    </row>
    <row r="830" spans="1:52" x14ac:dyDescent="0.3">
      <c r="A830">
        <v>819</v>
      </c>
      <c r="B830" t="s">
        <v>1110</v>
      </c>
      <c r="C830" t="s">
        <v>155</v>
      </c>
      <c r="D830" t="s">
        <v>1111</v>
      </c>
      <c r="E830" t="s">
        <v>460</v>
      </c>
      <c r="F830" t="s">
        <v>155</v>
      </c>
      <c r="G830">
        <v>11800</v>
      </c>
      <c r="H830">
        <v>11801</v>
      </c>
      <c r="I830" t="s">
        <v>1825</v>
      </c>
      <c r="J830">
        <v>11400</v>
      </c>
      <c r="K830">
        <v>11401</v>
      </c>
      <c r="L830" t="s">
        <v>1826</v>
      </c>
      <c r="M830">
        <v>0</v>
      </c>
      <c r="N830" t="s">
        <v>168</v>
      </c>
      <c r="O830" t="s">
        <v>168</v>
      </c>
      <c r="P830" t="s">
        <v>420</v>
      </c>
      <c r="Q830" t="s">
        <v>408</v>
      </c>
      <c r="R830" t="s">
        <v>782</v>
      </c>
      <c r="S830">
        <v>2021</v>
      </c>
      <c r="T830">
        <v>7</v>
      </c>
      <c r="U830" t="s">
        <v>408</v>
      </c>
      <c r="V830" t="s">
        <v>408</v>
      </c>
      <c r="W830">
        <v>0</v>
      </c>
      <c r="X830">
        <v>0</v>
      </c>
      <c r="Y830" t="s">
        <v>408</v>
      </c>
      <c r="Z830">
        <v>2021</v>
      </c>
      <c r="AA830">
        <v>0</v>
      </c>
      <c r="AB830">
        <v>0.50227445123400005</v>
      </c>
      <c r="AC830">
        <v>1.0045489024700001</v>
      </c>
      <c r="AD830" t="s">
        <v>408</v>
      </c>
      <c r="AE830" t="s">
        <v>152</v>
      </c>
      <c r="AF830" t="s">
        <v>408</v>
      </c>
      <c r="AG830" t="s">
        <v>411</v>
      </c>
      <c r="AH830" t="s">
        <v>408</v>
      </c>
      <c r="AI830" t="s">
        <v>408</v>
      </c>
      <c r="AJ830" t="s">
        <v>408</v>
      </c>
      <c r="AK830" t="s">
        <v>408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 s="58">
        <f t="shared" si="12"/>
        <v>1</v>
      </c>
      <c r="AU830" t="s">
        <v>714</v>
      </c>
      <c r="AV830" t="s">
        <v>410</v>
      </c>
      <c r="AW830" t="s">
        <v>152</v>
      </c>
      <c r="AX830">
        <v>0</v>
      </c>
      <c r="AY830" t="s">
        <v>17</v>
      </c>
      <c r="AZ830" t="s">
        <v>408</v>
      </c>
    </row>
    <row r="831" spans="1:52" x14ac:dyDescent="0.3">
      <c r="A831">
        <v>820</v>
      </c>
      <c r="B831" t="s">
        <v>1110</v>
      </c>
      <c r="C831" t="s">
        <v>155</v>
      </c>
      <c r="D831" t="s">
        <v>1111</v>
      </c>
      <c r="E831" t="s">
        <v>460</v>
      </c>
      <c r="F831" t="s">
        <v>408</v>
      </c>
      <c r="G831">
        <v>11400</v>
      </c>
      <c r="H831">
        <v>11401</v>
      </c>
      <c r="I831" t="s">
        <v>1826</v>
      </c>
      <c r="J831">
        <v>10600</v>
      </c>
      <c r="K831">
        <v>10601</v>
      </c>
      <c r="L831" t="s">
        <v>1776</v>
      </c>
      <c r="M831">
        <v>0</v>
      </c>
      <c r="N831" t="s">
        <v>165</v>
      </c>
      <c r="O831" t="s">
        <v>165</v>
      </c>
      <c r="P831" t="s">
        <v>420</v>
      </c>
      <c r="Q831" t="s">
        <v>408</v>
      </c>
      <c r="R831" t="s">
        <v>782</v>
      </c>
      <c r="S831">
        <v>2021</v>
      </c>
      <c r="T831">
        <v>7</v>
      </c>
      <c r="U831" t="s">
        <v>1827</v>
      </c>
      <c r="V831" t="s">
        <v>408</v>
      </c>
      <c r="W831">
        <v>0</v>
      </c>
      <c r="X831">
        <v>0</v>
      </c>
      <c r="Y831" t="s">
        <v>408</v>
      </c>
      <c r="Z831">
        <v>2021</v>
      </c>
      <c r="AA831">
        <v>0</v>
      </c>
      <c r="AB831">
        <v>1.0011573300200001</v>
      </c>
      <c r="AC831">
        <v>2.0023146600400001</v>
      </c>
      <c r="AD831" t="s">
        <v>408</v>
      </c>
      <c r="AE831" t="s">
        <v>152</v>
      </c>
      <c r="AF831" t="s">
        <v>408</v>
      </c>
      <c r="AG831" t="s">
        <v>152</v>
      </c>
      <c r="AH831" t="s">
        <v>408</v>
      </c>
      <c r="AI831" t="s">
        <v>408</v>
      </c>
      <c r="AJ831" t="s">
        <v>408</v>
      </c>
      <c r="AK831" t="s">
        <v>408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 s="58">
        <f t="shared" si="12"/>
        <v>1</v>
      </c>
      <c r="AU831" t="s">
        <v>714</v>
      </c>
      <c r="AV831" t="s">
        <v>410</v>
      </c>
      <c r="AW831" t="s">
        <v>152</v>
      </c>
      <c r="AX831">
        <v>0</v>
      </c>
      <c r="AY831" t="s">
        <v>412</v>
      </c>
      <c r="AZ831" t="s">
        <v>408</v>
      </c>
    </row>
    <row r="832" spans="1:52" x14ac:dyDescent="0.3">
      <c r="A832">
        <v>821</v>
      </c>
      <c r="B832" t="s">
        <v>1043</v>
      </c>
      <c r="C832" t="s">
        <v>154</v>
      </c>
      <c r="D832" t="s">
        <v>1044</v>
      </c>
      <c r="E832" t="s">
        <v>460</v>
      </c>
      <c r="F832" t="s">
        <v>447</v>
      </c>
      <c r="G832">
        <v>6400</v>
      </c>
      <c r="H832">
        <v>6401</v>
      </c>
      <c r="I832" t="s">
        <v>780</v>
      </c>
      <c r="J832">
        <v>6000</v>
      </c>
      <c r="K832">
        <v>6001</v>
      </c>
      <c r="L832" t="s">
        <v>1081</v>
      </c>
      <c r="M832">
        <v>0</v>
      </c>
      <c r="N832" t="s">
        <v>168</v>
      </c>
      <c r="O832" t="s">
        <v>168</v>
      </c>
      <c r="P832" t="s">
        <v>420</v>
      </c>
      <c r="Q832" t="s">
        <v>408</v>
      </c>
      <c r="R832" t="s">
        <v>782</v>
      </c>
      <c r="S832">
        <v>2021</v>
      </c>
      <c r="T832">
        <v>8</v>
      </c>
      <c r="U832" t="s">
        <v>408</v>
      </c>
      <c r="V832" t="s">
        <v>408</v>
      </c>
      <c r="W832">
        <v>0</v>
      </c>
      <c r="X832">
        <v>0</v>
      </c>
      <c r="Y832" t="s">
        <v>408</v>
      </c>
      <c r="Z832">
        <v>2021</v>
      </c>
      <c r="AA832">
        <v>0</v>
      </c>
      <c r="AB832">
        <v>0.50225319187200002</v>
      </c>
      <c r="AC832">
        <v>1.0045063837399999</v>
      </c>
      <c r="AD832" t="s">
        <v>408</v>
      </c>
      <c r="AE832" t="s">
        <v>152</v>
      </c>
      <c r="AF832" t="s">
        <v>408</v>
      </c>
      <c r="AG832" t="s">
        <v>411</v>
      </c>
      <c r="AH832" t="s">
        <v>408</v>
      </c>
      <c r="AI832" t="s">
        <v>408</v>
      </c>
      <c r="AJ832" t="s">
        <v>408</v>
      </c>
      <c r="AK832" t="s">
        <v>408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 s="58">
        <f t="shared" si="12"/>
        <v>1</v>
      </c>
      <c r="AU832" t="s">
        <v>714</v>
      </c>
      <c r="AV832" t="s">
        <v>410</v>
      </c>
      <c r="AW832" t="s">
        <v>152</v>
      </c>
      <c r="AX832">
        <v>0</v>
      </c>
      <c r="AY832" t="s">
        <v>17</v>
      </c>
      <c r="AZ832" t="s">
        <v>400</v>
      </c>
    </row>
    <row r="833" spans="1:52" x14ac:dyDescent="0.3">
      <c r="A833">
        <v>822</v>
      </c>
      <c r="B833" t="s">
        <v>1043</v>
      </c>
      <c r="C833" t="s">
        <v>154</v>
      </c>
      <c r="D833" t="s">
        <v>1044</v>
      </c>
      <c r="E833" t="s">
        <v>460</v>
      </c>
      <c r="F833" t="s">
        <v>408</v>
      </c>
      <c r="G833">
        <v>6000</v>
      </c>
      <c r="H833">
        <v>6001</v>
      </c>
      <c r="I833" t="s">
        <v>1081</v>
      </c>
      <c r="J833">
        <v>5600</v>
      </c>
      <c r="K833">
        <v>5601</v>
      </c>
      <c r="L833" t="s">
        <v>1136</v>
      </c>
      <c r="M833">
        <v>0</v>
      </c>
      <c r="N833" t="s">
        <v>168</v>
      </c>
      <c r="O833" t="s">
        <v>170</v>
      </c>
      <c r="P833" t="s">
        <v>420</v>
      </c>
      <c r="Q833" t="s">
        <v>408</v>
      </c>
      <c r="R833" t="s">
        <v>782</v>
      </c>
      <c r="S833">
        <v>2021</v>
      </c>
      <c r="T833">
        <v>8</v>
      </c>
      <c r="U833" t="s">
        <v>408</v>
      </c>
      <c r="V833" t="s">
        <v>408</v>
      </c>
      <c r="W833">
        <v>0</v>
      </c>
      <c r="X833">
        <v>0</v>
      </c>
      <c r="Y833" t="s">
        <v>408</v>
      </c>
      <c r="Z833">
        <v>2021</v>
      </c>
      <c r="AA833">
        <v>0</v>
      </c>
      <c r="AB833">
        <v>0.50107789134799996</v>
      </c>
      <c r="AC833">
        <v>1.0021557827000001</v>
      </c>
      <c r="AD833" t="s">
        <v>408</v>
      </c>
      <c r="AE833" t="s">
        <v>152</v>
      </c>
      <c r="AF833" t="s">
        <v>408</v>
      </c>
      <c r="AG833" t="s">
        <v>152</v>
      </c>
      <c r="AH833" t="s">
        <v>408</v>
      </c>
      <c r="AI833" t="s">
        <v>408</v>
      </c>
      <c r="AJ833" t="s">
        <v>408</v>
      </c>
      <c r="AK833" t="s">
        <v>408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 s="58">
        <f t="shared" si="12"/>
        <v>1</v>
      </c>
      <c r="AU833" t="s">
        <v>714</v>
      </c>
      <c r="AV833" t="s">
        <v>410</v>
      </c>
      <c r="AW833" t="s">
        <v>152</v>
      </c>
      <c r="AX833">
        <v>0</v>
      </c>
      <c r="AY833" t="s">
        <v>17</v>
      </c>
      <c r="AZ833" t="s">
        <v>400</v>
      </c>
    </row>
    <row r="834" spans="1:52" x14ac:dyDescent="0.3">
      <c r="A834">
        <v>823</v>
      </c>
      <c r="B834" t="s">
        <v>1043</v>
      </c>
      <c r="C834" t="s">
        <v>154</v>
      </c>
      <c r="D834" t="s">
        <v>1044</v>
      </c>
      <c r="E834" t="s">
        <v>460</v>
      </c>
      <c r="F834" t="s">
        <v>447</v>
      </c>
      <c r="G834">
        <v>5600</v>
      </c>
      <c r="H834">
        <v>5601</v>
      </c>
      <c r="I834" t="s">
        <v>1136</v>
      </c>
      <c r="J834">
        <v>4800</v>
      </c>
      <c r="K834">
        <v>4801</v>
      </c>
      <c r="L834" t="s">
        <v>1068</v>
      </c>
      <c r="M834">
        <v>0</v>
      </c>
      <c r="N834" t="s">
        <v>168</v>
      </c>
      <c r="O834" t="s">
        <v>168</v>
      </c>
      <c r="P834" t="s">
        <v>420</v>
      </c>
      <c r="Q834" t="s">
        <v>408</v>
      </c>
      <c r="R834" t="s">
        <v>782</v>
      </c>
      <c r="S834">
        <v>2021</v>
      </c>
      <c r="T834">
        <v>8</v>
      </c>
      <c r="U834" t="s">
        <v>408</v>
      </c>
      <c r="V834" t="s">
        <v>408</v>
      </c>
      <c r="W834">
        <v>0</v>
      </c>
      <c r="X834">
        <v>0</v>
      </c>
      <c r="Y834" t="s">
        <v>408</v>
      </c>
      <c r="Z834">
        <v>2021</v>
      </c>
      <c r="AA834">
        <v>0</v>
      </c>
      <c r="AB834">
        <v>1.0140914275299999</v>
      </c>
      <c r="AC834">
        <v>2.0281828550599998</v>
      </c>
      <c r="AD834" t="s">
        <v>408</v>
      </c>
      <c r="AE834" t="s">
        <v>152</v>
      </c>
      <c r="AF834" t="s">
        <v>408</v>
      </c>
      <c r="AG834" t="s">
        <v>411</v>
      </c>
      <c r="AH834" t="s">
        <v>408</v>
      </c>
      <c r="AI834" t="s">
        <v>408</v>
      </c>
      <c r="AJ834" t="s">
        <v>408</v>
      </c>
      <c r="AK834" t="s">
        <v>408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 s="58">
        <f t="shared" si="12"/>
        <v>1</v>
      </c>
      <c r="AU834" t="s">
        <v>714</v>
      </c>
      <c r="AV834" t="s">
        <v>410</v>
      </c>
      <c r="AW834" t="s">
        <v>152</v>
      </c>
      <c r="AX834">
        <v>0</v>
      </c>
      <c r="AY834" t="s">
        <v>17</v>
      </c>
      <c r="AZ834" t="s">
        <v>400</v>
      </c>
    </row>
    <row r="835" spans="1:52" x14ac:dyDescent="0.3">
      <c r="A835">
        <v>824</v>
      </c>
      <c r="B835" t="s">
        <v>1828</v>
      </c>
      <c r="C835" t="s">
        <v>152</v>
      </c>
      <c r="D835" t="s">
        <v>1829</v>
      </c>
      <c r="E835" t="s">
        <v>460</v>
      </c>
      <c r="F835" t="s">
        <v>408</v>
      </c>
      <c r="G835" t="s">
        <v>408</v>
      </c>
      <c r="H835">
        <v>0</v>
      </c>
      <c r="I835" t="s">
        <v>1168</v>
      </c>
      <c r="J835">
        <v>0</v>
      </c>
      <c r="K835">
        <v>0</v>
      </c>
      <c r="L835" t="s">
        <v>1168</v>
      </c>
      <c r="M835">
        <v>0</v>
      </c>
      <c r="N835" t="s">
        <v>168</v>
      </c>
      <c r="O835" t="s">
        <v>168</v>
      </c>
      <c r="P835" t="s">
        <v>420</v>
      </c>
      <c r="Q835" t="s">
        <v>408</v>
      </c>
      <c r="R835" t="s">
        <v>782</v>
      </c>
      <c r="S835">
        <v>2021</v>
      </c>
      <c r="T835">
        <v>8</v>
      </c>
      <c r="U835" t="s">
        <v>408</v>
      </c>
      <c r="V835" t="s">
        <v>408</v>
      </c>
      <c r="W835">
        <v>0</v>
      </c>
      <c r="X835">
        <v>0</v>
      </c>
      <c r="Y835" t="s">
        <v>408</v>
      </c>
      <c r="Z835">
        <v>2021</v>
      </c>
      <c r="AA835">
        <v>0</v>
      </c>
      <c r="AB835">
        <v>4.31656428748E-2</v>
      </c>
      <c r="AC835">
        <v>8.6331285749600001E-2</v>
      </c>
      <c r="AD835" t="s">
        <v>408</v>
      </c>
      <c r="AE835" t="s">
        <v>152</v>
      </c>
      <c r="AF835" t="s">
        <v>408</v>
      </c>
      <c r="AG835" t="s">
        <v>152</v>
      </c>
      <c r="AH835" t="s">
        <v>408</v>
      </c>
      <c r="AI835" t="s">
        <v>408</v>
      </c>
      <c r="AJ835" t="s">
        <v>408</v>
      </c>
      <c r="AK835" t="s">
        <v>408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 s="58">
        <f t="shared" si="12"/>
        <v>1</v>
      </c>
      <c r="AU835" t="s">
        <v>714</v>
      </c>
      <c r="AV835" t="s">
        <v>410</v>
      </c>
      <c r="AW835" t="s">
        <v>411</v>
      </c>
      <c r="AX835">
        <v>0</v>
      </c>
      <c r="AY835" t="s">
        <v>17</v>
      </c>
      <c r="AZ835" t="s">
        <v>408</v>
      </c>
    </row>
    <row r="836" spans="1:52" x14ac:dyDescent="0.3">
      <c r="A836">
        <v>825</v>
      </c>
      <c r="B836" t="s">
        <v>1043</v>
      </c>
      <c r="C836" t="s">
        <v>154</v>
      </c>
      <c r="D836" t="s">
        <v>1044</v>
      </c>
      <c r="E836" t="s">
        <v>460</v>
      </c>
      <c r="F836" t="s">
        <v>408</v>
      </c>
      <c r="G836" t="s">
        <v>408</v>
      </c>
      <c r="H836">
        <v>0</v>
      </c>
      <c r="I836" t="s">
        <v>1830</v>
      </c>
      <c r="J836">
        <v>0</v>
      </c>
      <c r="K836">
        <v>0</v>
      </c>
      <c r="L836" t="s">
        <v>1830</v>
      </c>
      <c r="M836">
        <v>0</v>
      </c>
      <c r="N836" t="s">
        <v>168</v>
      </c>
      <c r="O836" t="s">
        <v>165</v>
      </c>
      <c r="P836" t="s">
        <v>420</v>
      </c>
      <c r="Q836" t="s">
        <v>408</v>
      </c>
      <c r="R836" t="s">
        <v>782</v>
      </c>
      <c r="S836">
        <v>2021</v>
      </c>
      <c r="T836">
        <v>8</v>
      </c>
      <c r="U836" t="s">
        <v>408</v>
      </c>
      <c r="V836" t="s">
        <v>408</v>
      </c>
      <c r="W836">
        <v>0</v>
      </c>
      <c r="X836">
        <v>0</v>
      </c>
      <c r="Y836" t="s">
        <v>408</v>
      </c>
      <c r="Z836">
        <v>2021</v>
      </c>
      <c r="AA836">
        <v>0</v>
      </c>
      <c r="AB836">
        <v>2.33506429208E-2</v>
      </c>
      <c r="AC836">
        <v>4.67012858416E-2</v>
      </c>
      <c r="AD836" t="s">
        <v>408</v>
      </c>
      <c r="AE836" t="s">
        <v>152</v>
      </c>
      <c r="AF836" t="s">
        <v>408</v>
      </c>
      <c r="AG836" t="s">
        <v>152</v>
      </c>
      <c r="AH836" t="s">
        <v>408</v>
      </c>
      <c r="AI836" t="s">
        <v>408</v>
      </c>
      <c r="AJ836" t="s">
        <v>408</v>
      </c>
      <c r="AK836" t="s">
        <v>408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 s="58">
        <f t="shared" si="12"/>
        <v>1</v>
      </c>
      <c r="AU836" t="s">
        <v>714</v>
      </c>
      <c r="AV836" t="s">
        <v>410</v>
      </c>
      <c r="AW836" t="s">
        <v>411</v>
      </c>
      <c r="AX836">
        <v>0</v>
      </c>
      <c r="AY836" t="s">
        <v>17</v>
      </c>
      <c r="AZ836" t="s">
        <v>408</v>
      </c>
    </row>
    <row r="837" spans="1:52" x14ac:dyDescent="0.3">
      <c r="A837">
        <v>826</v>
      </c>
      <c r="B837" t="s">
        <v>1043</v>
      </c>
      <c r="C837" t="s">
        <v>154</v>
      </c>
      <c r="D837" t="s">
        <v>1044</v>
      </c>
      <c r="E837" t="s">
        <v>460</v>
      </c>
      <c r="F837" t="s">
        <v>408</v>
      </c>
      <c r="G837" t="s">
        <v>408</v>
      </c>
      <c r="H837">
        <v>0</v>
      </c>
      <c r="I837" t="s">
        <v>1830</v>
      </c>
      <c r="J837">
        <v>0</v>
      </c>
      <c r="K837">
        <v>0</v>
      </c>
      <c r="L837" t="s">
        <v>670</v>
      </c>
      <c r="M837">
        <v>0</v>
      </c>
      <c r="N837" t="s">
        <v>168</v>
      </c>
      <c r="O837" t="s">
        <v>168</v>
      </c>
      <c r="P837" t="s">
        <v>420</v>
      </c>
      <c r="Q837" t="s">
        <v>408</v>
      </c>
      <c r="R837" t="s">
        <v>782</v>
      </c>
      <c r="S837">
        <v>2021</v>
      </c>
      <c r="T837">
        <v>8</v>
      </c>
      <c r="U837" t="s">
        <v>408</v>
      </c>
      <c r="V837" t="s">
        <v>408</v>
      </c>
      <c r="W837">
        <v>0</v>
      </c>
      <c r="X837">
        <v>0</v>
      </c>
      <c r="Y837" t="s">
        <v>408</v>
      </c>
      <c r="Z837">
        <v>2021</v>
      </c>
      <c r="AA837">
        <v>0</v>
      </c>
      <c r="AB837">
        <v>0.248136547974</v>
      </c>
      <c r="AC837">
        <v>0.49627309594800001</v>
      </c>
      <c r="AD837" t="s">
        <v>408</v>
      </c>
      <c r="AE837" t="s">
        <v>152</v>
      </c>
      <c r="AF837" t="s">
        <v>408</v>
      </c>
      <c r="AG837" t="s">
        <v>408</v>
      </c>
      <c r="AH837" t="s">
        <v>408</v>
      </c>
      <c r="AI837" t="s">
        <v>408</v>
      </c>
      <c r="AJ837" t="s">
        <v>408</v>
      </c>
      <c r="AK837" t="s">
        <v>408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 s="58">
        <f t="shared" si="12"/>
        <v>1</v>
      </c>
      <c r="AU837" t="s">
        <v>1831</v>
      </c>
      <c r="AV837" t="s">
        <v>410</v>
      </c>
      <c r="AW837" t="s">
        <v>152</v>
      </c>
      <c r="AX837">
        <v>0</v>
      </c>
      <c r="AY837" t="s">
        <v>17</v>
      </c>
      <c r="AZ837" t="s">
        <v>400</v>
      </c>
    </row>
    <row r="838" spans="1:52" x14ac:dyDescent="0.3">
      <c r="A838">
        <v>827</v>
      </c>
      <c r="B838" t="s">
        <v>1043</v>
      </c>
      <c r="C838" t="s">
        <v>154</v>
      </c>
      <c r="D838" t="s">
        <v>1044</v>
      </c>
      <c r="E838" t="s">
        <v>460</v>
      </c>
      <c r="F838" t="s">
        <v>408</v>
      </c>
      <c r="G838" t="s">
        <v>408</v>
      </c>
      <c r="H838">
        <v>0</v>
      </c>
      <c r="I838" t="s">
        <v>1068</v>
      </c>
      <c r="J838">
        <v>0</v>
      </c>
      <c r="K838">
        <v>0</v>
      </c>
      <c r="L838" t="s">
        <v>1830</v>
      </c>
      <c r="M838">
        <v>0</v>
      </c>
      <c r="N838" t="s">
        <v>168</v>
      </c>
      <c r="O838" t="s">
        <v>168</v>
      </c>
      <c r="P838" t="s">
        <v>420</v>
      </c>
      <c r="Q838" t="s">
        <v>408</v>
      </c>
      <c r="R838" t="s">
        <v>782</v>
      </c>
      <c r="S838">
        <v>2021</v>
      </c>
      <c r="T838">
        <v>8</v>
      </c>
      <c r="U838" t="s">
        <v>408</v>
      </c>
      <c r="V838" t="s">
        <v>408</v>
      </c>
      <c r="W838">
        <v>0</v>
      </c>
      <c r="X838">
        <v>0</v>
      </c>
      <c r="Y838" t="s">
        <v>408</v>
      </c>
      <c r="Z838">
        <v>2021</v>
      </c>
      <c r="AA838">
        <v>0</v>
      </c>
      <c r="AB838">
        <v>0.23044966369</v>
      </c>
      <c r="AC838">
        <v>0.46089932738</v>
      </c>
      <c r="AD838" t="s">
        <v>408</v>
      </c>
      <c r="AE838" t="s">
        <v>152</v>
      </c>
      <c r="AF838" t="s">
        <v>408</v>
      </c>
      <c r="AG838" t="s">
        <v>408</v>
      </c>
      <c r="AH838" t="s">
        <v>408</v>
      </c>
      <c r="AI838" t="s">
        <v>408</v>
      </c>
      <c r="AJ838" t="s">
        <v>408</v>
      </c>
      <c r="AK838" t="s">
        <v>408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 s="58">
        <f t="shared" si="12"/>
        <v>1</v>
      </c>
      <c r="AU838" t="s">
        <v>1831</v>
      </c>
      <c r="AV838" t="s">
        <v>410</v>
      </c>
      <c r="AW838" t="s">
        <v>152</v>
      </c>
      <c r="AX838">
        <v>0</v>
      </c>
      <c r="AY838" t="s">
        <v>17</v>
      </c>
      <c r="AZ838" t="s">
        <v>400</v>
      </c>
    </row>
    <row r="839" spans="1:52" x14ac:dyDescent="0.3">
      <c r="A839">
        <v>828</v>
      </c>
      <c r="B839" t="s">
        <v>1832</v>
      </c>
      <c r="C839" t="s">
        <v>152</v>
      </c>
      <c r="D839" t="s">
        <v>1833</v>
      </c>
      <c r="E839" t="s">
        <v>460</v>
      </c>
      <c r="F839" t="s">
        <v>408</v>
      </c>
      <c r="G839" t="s">
        <v>408</v>
      </c>
      <c r="H839">
        <v>0</v>
      </c>
      <c r="I839" t="s">
        <v>1168</v>
      </c>
      <c r="J839">
        <v>0</v>
      </c>
      <c r="K839">
        <v>0</v>
      </c>
      <c r="L839" t="s">
        <v>1168</v>
      </c>
      <c r="M839">
        <v>0</v>
      </c>
      <c r="N839" t="s">
        <v>168</v>
      </c>
      <c r="O839" t="s">
        <v>170</v>
      </c>
      <c r="P839" t="s">
        <v>420</v>
      </c>
      <c r="Q839" t="s">
        <v>408</v>
      </c>
      <c r="R839" t="s">
        <v>782</v>
      </c>
      <c r="S839">
        <v>2021</v>
      </c>
      <c r="T839">
        <v>8</v>
      </c>
      <c r="U839" t="s">
        <v>408</v>
      </c>
      <c r="V839" t="s">
        <v>408</v>
      </c>
      <c r="W839">
        <v>0</v>
      </c>
      <c r="X839">
        <v>0</v>
      </c>
      <c r="Y839" t="s">
        <v>408</v>
      </c>
      <c r="Z839">
        <v>2021</v>
      </c>
      <c r="AA839">
        <v>0</v>
      </c>
      <c r="AB839">
        <v>4.6240581416099998E-2</v>
      </c>
      <c r="AC839">
        <v>9.2481162832199995E-2</v>
      </c>
      <c r="AD839" t="s">
        <v>408</v>
      </c>
      <c r="AE839" t="s">
        <v>152</v>
      </c>
      <c r="AF839" t="s">
        <v>408</v>
      </c>
      <c r="AG839" t="s">
        <v>152</v>
      </c>
      <c r="AH839" t="s">
        <v>408</v>
      </c>
      <c r="AI839" t="s">
        <v>408</v>
      </c>
      <c r="AJ839" t="s">
        <v>408</v>
      </c>
      <c r="AK839" t="s">
        <v>408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 s="58">
        <f t="shared" si="12"/>
        <v>1</v>
      </c>
      <c r="AU839" t="s">
        <v>714</v>
      </c>
      <c r="AV839" t="s">
        <v>410</v>
      </c>
      <c r="AW839" t="s">
        <v>152</v>
      </c>
      <c r="AX839">
        <v>0</v>
      </c>
      <c r="AY839" t="s">
        <v>17</v>
      </c>
      <c r="AZ839" t="s">
        <v>408</v>
      </c>
    </row>
    <row r="840" spans="1:52" x14ac:dyDescent="0.3">
      <c r="A840">
        <v>829</v>
      </c>
      <c r="B840" t="s">
        <v>1043</v>
      </c>
      <c r="C840" t="s">
        <v>154</v>
      </c>
      <c r="D840" t="s">
        <v>1044</v>
      </c>
      <c r="E840" t="s">
        <v>460</v>
      </c>
      <c r="F840" t="s">
        <v>408</v>
      </c>
      <c r="G840" t="s">
        <v>408</v>
      </c>
      <c r="H840">
        <v>0</v>
      </c>
      <c r="I840" t="s">
        <v>670</v>
      </c>
      <c r="J840">
        <v>0</v>
      </c>
      <c r="K840">
        <v>0</v>
      </c>
      <c r="L840" t="s">
        <v>1834</v>
      </c>
      <c r="M840">
        <v>0</v>
      </c>
      <c r="N840" t="s">
        <v>168</v>
      </c>
      <c r="O840" t="s">
        <v>168</v>
      </c>
      <c r="P840" t="s">
        <v>420</v>
      </c>
      <c r="Q840" t="s">
        <v>408</v>
      </c>
      <c r="R840" t="s">
        <v>782</v>
      </c>
      <c r="S840">
        <v>2021</v>
      </c>
      <c r="T840">
        <v>8</v>
      </c>
      <c r="U840" t="s">
        <v>408</v>
      </c>
      <c r="V840" t="s">
        <v>408</v>
      </c>
      <c r="W840">
        <v>0</v>
      </c>
      <c r="X840">
        <v>0</v>
      </c>
      <c r="Y840" t="s">
        <v>408</v>
      </c>
      <c r="Z840">
        <v>2021</v>
      </c>
      <c r="AA840">
        <v>0</v>
      </c>
      <c r="AB840">
        <v>0.25451967881400001</v>
      </c>
      <c r="AC840">
        <v>0.50903935762800001</v>
      </c>
      <c r="AD840" t="s">
        <v>408</v>
      </c>
      <c r="AE840" t="s">
        <v>152</v>
      </c>
      <c r="AF840" t="s">
        <v>408</v>
      </c>
      <c r="AG840" t="s">
        <v>152</v>
      </c>
      <c r="AH840" t="s">
        <v>408</v>
      </c>
      <c r="AI840" t="s">
        <v>408</v>
      </c>
      <c r="AJ840" t="s">
        <v>408</v>
      </c>
      <c r="AK840" t="s">
        <v>408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 s="58">
        <f t="shared" si="12"/>
        <v>1</v>
      </c>
      <c r="AU840" t="s">
        <v>714</v>
      </c>
      <c r="AV840" t="s">
        <v>410</v>
      </c>
      <c r="AW840" t="s">
        <v>152</v>
      </c>
      <c r="AX840">
        <v>0</v>
      </c>
      <c r="AY840" t="s">
        <v>17</v>
      </c>
      <c r="AZ840" t="s">
        <v>400</v>
      </c>
    </row>
    <row r="841" spans="1:52" x14ac:dyDescent="0.3">
      <c r="A841">
        <v>830</v>
      </c>
      <c r="B841" t="s">
        <v>1043</v>
      </c>
      <c r="C841" t="s">
        <v>154</v>
      </c>
      <c r="D841" t="s">
        <v>1044</v>
      </c>
      <c r="E841" t="s">
        <v>460</v>
      </c>
      <c r="F841" t="s">
        <v>408</v>
      </c>
      <c r="G841" t="s">
        <v>408</v>
      </c>
      <c r="H841">
        <v>0</v>
      </c>
      <c r="I841" t="s">
        <v>1834</v>
      </c>
      <c r="J841">
        <v>0</v>
      </c>
      <c r="K841">
        <v>0</v>
      </c>
      <c r="L841" t="s">
        <v>669</v>
      </c>
      <c r="M841">
        <v>0</v>
      </c>
      <c r="N841" t="s">
        <v>163</v>
      </c>
      <c r="O841" t="s">
        <v>163</v>
      </c>
      <c r="P841" t="s">
        <v>420</v>
      </c>
      <c r="Q841" t="s">
        <v>408</v>
      </c>
      <c r="R841" t="s">
        <v>782</v>
      </c>
      <c r="S841">
        <v>2021</v>
      </c>
      <c r="T841">
        <v>8</v>
      </c>
      <c r="U841" t="s">
        <v>408</v>
      </c>
      <c r="V841" t="s">
        <v>408</v>
      </c>
      <c r="W841">
        <v>0</v>
      </c>
      <c r="X841">
        <v>0</v>
      </c>
      <c r="Y841" t="s">
        <v>408</v>
      </c>
      <c r="Z841">
        <v>2021</v>
      </c>
      <c r="AA841">
        <v>0</v>
      </c>
      <c r="AB841">
        <v>0.25258809021</v>
      </c>
      <c r="AC841">
        <v>0.50517618042000001</v>
      </c>
      <c r="AD841" t="s">
        <v>400</v>
      </c>
      <c r="AE841" t="s">
        <v>400</v>
      </c>
      <c r="AF841" t="s">
        <v>400</v>
      </c>
      <c r="AG841" t="s">
        <v>400</v>
      </c>
      <c r="AH841" t="s">
        <v>400</v>
      </c>
      <c r="AI841" t="s">
        <v>470</v>
      </c>
      <c r="AJ841" t="s">
        <v>400</v>
      </c>
      <c r="AK841" t="s">
        <v>408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s="58">
        <f t="shared" si="12"/>
        <v>1</v>
      </c>
      <c r="AU841" t="s">
        <v>602</v>
      </c>
      <c r="AV841" t="s">
        <v>410</v>
      </c>
      <c r="AW841" t="s">
        <v>411</v>
      </c>
      <c r="AX841">
        <v>0</v>
      </c>
      <c r="AY841" t="s">
        <v>412</v>
      </c>
      <c r="AZ841" t="s">
        <v>400</v>
      </c>
    </row>
    <row r="842" spans="1:52" x14ac:dyDescent="0.3">
      <c r="A842">
        <v>831</v>
      </c>
      <c r="B842" t="s">
        <v>1835</v>
      </c>
      <c r="C842" t="s">
        <v>152</v>
      </c>
      <c r="D842" t="s">
        <v>1836</v>
      </c>
      <c r="E842" t="s">
        <v>460</v>
      </c>
      <c r="F842" t="s">
        <v>155</v>
      </c>
      <c r="G842" t="s">
        <v>408</v>
      </c>
      <c r="H842">
        <v>0</v>
      </c>
      <c r="I842" t="s">
        <v>1043</v>
      </c>
      <c r="J842">
        <v>0</v>
      </c>
      <c r="K842">
        <v>0</v>
      </c>
      <c r="L842" t="s">
        <v>803</v>
      </c>
      <c r="M842">
        <v>0</v>
      </c>
      <c r="N842" t="s">
        <v>168</v>
      </c>
      <c r="O842" t="s">
        <v>168</v>
      </c>
      <c r="P842" t="s">
        <v>420</v>
      </c>
      <c r="Q842" t="s">
        <v>408</v>
      </c>
      <c r="R842" t="s">
        <v>782</v>
      </c>
      <c r="S842">
        <v>2021</v>
      </c>
      <c r="T842">
        <v>8</v>
      </c>
      <c r="U842" t="s">
        <v>408</v>
      </c>
      <c r="V842" t="s">
        <v>408</v>
      </c>
      <c r="W842">
        <v>0</v>
      </c>
      <c r="X842">
        <v>0</v>
      </c>
      <c r="Y842" t="s">
        <v>408</v>
      </c>
      <c r="Z842">
        <v>2021</v>
      </c>
      <c r="AA842">
        <v>0</v>
      </c>
      <c r="AB842">
        <v>0.73483145832100005</v>
      </c>
      <c r="AC842">
        <v>1.4696629166399999</v>
      </c>
      <c r="AD842" t="s">
        <v>408</v>
      </c>
      <c r="AE842" t="s">
        <v>152</v>
      </c>
      <c r="AF842" t="s">
        <v>408</v>
      </c>
      <c r="AG842" t="s">
        <v>411</v>
      </c>
      <c r="AH842" t="s">
        <v>408</v>
      </c>
      <c r="AI842" t="s">
        <v>408</v>
      </c>
      <c r="AJ842" t="s">
        <v>408</v>
      </c>
      <c r="AK842" t="s">
        <v>408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 s="58">
        <f t="shared" si="12"/>
        <v>1</v>
      </c>
      <c r="AU842" t="s">
        <v>714</v>
      </c>
      <c r="AV842" t="s">
        <v>410</v>
      </c>
      <c r="AW842" t="s">
        <v>152</v>
      </c>
      <c r="AX842">
        <v>0</v>
      </c>
      <c r="AY842" t="s">
        <v>17</v>
      </c>
      <c r="AZ842" t="s">
        <v>400</v>
      </c>
    </row>
    <row r="843" spans="1:52" x14ac:dyDescent="0.3">
      <c r="A843">
        <v>832</v>
      </c>
      <c r="B843" t="s">
        <v>1837</v>
      </c>
      <c r="C843" t="s">
        <v>152</v>
      </c>
      <c r="D843" t="s">
        <v>275</v>
      </c>
      <c r="E843" t="s">
        <v>460</v>
      </c>
      <c r="F843" t="s">
        <v>408</v>
      </c>
      <c r="G843" t="s">
        <v>408</v>
      </c>
      <c r="H843">
        <v>0</v>
      </c>
      <c r="I843" t="s">
        <v>870</v>
      </c>
      <c r="J843">
        <v>0</v>
      </c>
      <c r="K843">
        <v>0</v>
      </c>
      <c r="L843" t="s">
        <v>891</v>
      </c>
      <c r="M843">
        <v>0</v>
      </c>
      <c r="N843" t="s">
        <v>167</v>
      </c>
      <c r="O843" t="s">
        <v>569</v>
      </c>
      <c r="P843" t="s">
        <v>420</v>
      </c>
      <c r="Q843" t="s">
        <v>408</v>
      </c>
      <c r="R843" t="s">
        <v>782</v>
      </c>
      <c r="S843">
        <v>2021</v>
      </c>
      <c r="T843">
        <v>8</v>
      </c>
      <c r="U843" t="s">
        <v>1838</v>
      </c>
      <c r="V843" t="s">
        <v>408</v>
      </c>
      <c r="W843">
        <v>0</v>
      </c>
      <c r="X843">
        <v>0</v>
      </c>
      <c r="Y843" t="s">
        <v>408</v>
      </c>
      <c r="Z843">
        <v>2021</v>
      </c>
      <c r="AA843">
        <v>0</v>
      </c>
      <c r="AB843">
        <v>0.73044868036999999</v>
      </c>
      <c r="AC843">
        <v>1.46089736074</v>
      </c>
      <c r="AD843" t="s">
        <v>408</v>
      </c>
      <c r="AE843" t="s">
        <v>152</v>
      </c>
      <c r="AF843" t="s">
        <v>408</v>
      </c>
      <c r="AG843" t="s">
        <v>152</v>
      </c>
      <c r="AH843" t="s">
        <v>408</v>
      </c>
      <c r="AI843" t="s">
        <v>408</v>
      </c>
      <c r="AJ843" t="s">
        <v>408</v>
      </c>
      <c r="AK843" t="s">
        <v>408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 s="58">
        <f t="shared" ref="AT843:AT903" si="13">SUM(AM843:AS843)</f>
        <v>1</v>
      </c>
      <c r="AU843" t="s">
        <v>714</v>
      </c>
      <c r="AV843" t="s">
        <v>410</v>
      </c>
      <c r="AW843" t="s">
        <v>152</v>
      </c>
      <c r="AX843">
        <v>0</v>
      </c>
      <c r="AY843" t="s">
        <v>412</v>
      </c>
      <c r="AZ843" t="s">
        <v>408</v>
      </c>
    </row>
    <row r="844" spans="1:52" x14ac:dyDescent="0.3">
      <c r="A844">
        <v>833</v>
      </c>
      <c r="B844" t="s">
        <v>1837</v>
      </c>
      <c r="C844" t="s">
        <v>152</v>
      </c>
      <c r="D844" t="s">
        <v>275</v>
      </c>
      <c r="E844" t="s">
        <v>460</v>
      </c>
      <c r="F844" t="s">
        <v>408</v>
      </c>
      <c r="G844" t="s">
        <v>408</v>
      </c>
      <c r="H844">
        <v>0</v>
      </c>
      <c r="I844" t="s">
        <v>891</v>
      </c>
      <c r="J844">
        <v>0</v>
      </c>
      <c r="K844">
        <v>0</v>
      </c>
      <c r="L844" t="s">
        <v>573</v>
      </c>
      <c r="M844">
        <v>0</v>
      </c>
      <c r="N844" t="s">
        <v>170</v>
      </c>
      <c r="O844" t="s">
        <v>170</v>
      </c>
      <c r="P844" t="s">
        <v>420</v>
      </c>
      <c r="Q844" t="s">
        <v>408</v>
      </c>
      <c r="R844" t="s">
        <v>782</v>
      </c>
      <c r="S844">
        <v>2021</v>
      </c>
      <c r="T844">
        <v>8</v>
      </c>
      <c r="U844" t="s">
        <v>1839</v>
      </c>
      <c r="V844" t="s">
        <v>408</v>
      </c>
      <c r="W844">
        <v>0</v>
      </c>
      <c r="X844">
        <v>0</v>
      </c>
      <c r="Y844" t="s">
        <v>408</v>
      </c>
      <c r="Z844">
        <v>2021</v>
      </c>
      <c r="AA844">
        <v>0</v>
      </c>
      <c r="AB844">
        <v>1.0099788026700001</v>
      </c>
      <c r="AC844">
        <v>2.0199576053400001</v>
      </c>
      <c r="AD844" t="s">
        <v>408</v>
      </c>
      <c r="AE844" t="s">
        <v>152</v>
      </c>
      <c r="AF844" t="s">
        <v>408</v>
      </c>
      <c r="AG844" t="s">
        <v>152</v>
      </c>
      <c r="AH844" t="s">
        <v>408</v>
      </c>
      <c r="AI844" t="s">
        <v>408</v>
      </c>
      <c r="AJ844" t="s">
        <v>408</v>
      </c>
      <c r="AK844" t="s">
        <v>408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 s="58">
        <f t="shared" si="13"/>
        <v>1</v>
      </c>
      <c r="AU844" t="s">
        <v>714</v>
      </c>
      <c r="AV844" t="s">
        <v>410</v>
      </c>
      <c r="AW844" t="s">
        <v>152</v>
      </c>
      <c r="AX844">
        <v>0</v>
      </c>
      <c r="AY844" t="s">
        <v>412</v>
      </c>
      <c r="AZ844" t="s">
        <v>408</v>
      </c>
    </row>
    <row r="845" spans="1:52" x14ac:dyDescent="0.3">
      <c r="A845">
        <v>834</v>
      </c>
      <c r="B845" t="s">
        <v>1614</v>
      </c>
      <c r="C845" t="s">
        <v>152</v>
      </c>
      <c r="D845" t="s">
        <v>335</v>
      </c>
      <c r="E845" t="s">
        <v>460</v>
      </c>
      <c r="F845" t="s">
        <v>408</v>
      </c>
      <c r="G845">
        <v>2400</v>
      </c>
      <c r="H845">
        <v>2401</v>
      </c>
      <c r="I845" t="s">
        <v>890</v>
      </c>
      <c r="J845">
        <v>3600</v>
      </c>
      <c r="K845">
        <v>3601</v>
      </c>
      <c r="L845" t="s">
        <v>573</v>
      </c>
      <c r="M845">
        <v>0</v>
      </c>
      <c r="N845" t="s">
        <v>167</v>
      </c>
      <c r="O845" t="s">
        <v>569</v>
      </c>
      <c r="P845" t="s">
        <v>420</v>
      </c>
      <c r="Q845" t="s">
        <v>408</v>
      </c>
      <c r="R845" t="s">
        <v>782</v>
      </c>
      <c r="S845">
        <v>2021</v>
      </c>
      <c r="T845">
        <v>8</v>
      </c>
      <c r="U845" t="s">
        <v>1838</v>
      </c>
      <c r="V845" t="s">
        <v>408</v>
      </c>
      <c r="W845">
        <v>0</v>
      </c>
      <c r="X845">
        <v>0</v>
      </c>
      <c r="Y845" t="s">
        <v>408</v>
      </c>
      <c r="Z845">
        <v>2021</v>
      </c>
      <c r="AA845">
        <v>0</v>
      </c>
      <c r="AB845">
        <v>1.5117924249600001</v>
      </c>
      <c r="AC845">
        <v>3.0235848499200002</v>
      </c>
      <c r="AD845" t="s">
        <v>408</v>
      </c>
      <c r="AE845" t="s">
        <v>152</v>
      </c>
      <c r="AF845" t="s">
        <v>408</v>
      </c>
      <c r="AG845" t="s">
        <v>152</v>
      </c>
      <c r="AH845" t="s">
        <v>408</v>
      </c>
      <c r="AI845" t="s">
        <v>408</v>
      </c>
      <c r="AJ845" t="s">
        <v>408</v>
      </c>
      <c r="AK845" t="s">
        <v>408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s="58">
        <f t="shared" si="13"/>
        <v>1</v>
      </c>
      <c r="AU845" t="s">
        <v>714</v>
      </c>
      <c r="AV845" t="s">
        <v>410</v>
      </c>
      <c r="AW845" t="s">
        <v>152</v>
      </c>
      <c r="AX845">
        <v>0</v>
      </c>
      <c r="AY845" t="s">
        <v>412</v>
      </c>
      <c r="AZ845" t="s">
        <v>408</v>
      </c>
    </row>
    <row r="846" spans="1:52" x14ac:dyDescent="0.3">
      <c r="A846">
        <v>835</v>
      </c>
      <c r="B846" t="s">
        <v>1840</v>
      </c>
      <c r="C846" t="s">
        <v>154</v>
      </c>
      <c r="D846" t="s">
        <v>1841</v>
      </c>
      <c r="E846" t="s">
        <v>417</v>
      </c>
      <c r="F846" t="s">
        <v>154</v>
      </c>
      <c r="G846" t="s">
        <v>408</v>
      </c>
      <c r="H846">
        <v>0</v>
      </c>
      <c r="I846" t="s">
        <v>1235</v>
      </c>
      <c r="J846">
        <v>0</v>
      </c>
      <c r="K846">
        <v>0</v>
      </c>
      <c r="L846" t="s">
        <v>1842</v>
      </c>
      <c r="M846">
        <v>0</v>
      </c>
      <c r="N846" t="s">
        <v>168</v>
      </c>
      <c r="O846" t="s">
        <v>168</v>
      </c>
      <c r="P846" t="s">
        <v>420</v>
      </c>
      <c r="Q846" t="s">
        <v>408</v>
      </c>
      <c r="R846" t="s">
        <v>782</v>
      </c>
      <c r="S846">
        <v>2021</v>
      </c>
      <c r="T846">
        <v>10</v>
      </c>
      <c r="U846" t="s">
        <v>408</v>
      </c>
      <c r="V846" t="s">
        <v>408</v>
      </c>
      <c r="W846">
        <v>0</v>
      </c>
      <c r="X846">
        <v>0</v>
      </c>
      <c r="Y846" t="s">
        <v>408</v>
      </c>
      <c r="Z846">
        <v>2021</v>
      </c>
      <c r="AA846">
        <v>0</v>
      </c>
      <c r="AB846">
        <v>0.74871887436499995</v>
      </c>
      <c r="AC846">
        <v>1.4974377487299999</v>
      </c>
      <c r="AD846" t="s">
        <v>408</v>
      </c>
      <c r="AE846" t="s">
        <v>152</v>
      </c>
      <c r="AF846" t="s">
        <v>408</v>
      </c>
      <c r="AG846" t="s">
        <v>411</v>
      </c>
      <c r="AH846" t="s">
        <v>408</v>
      </c>
      <c r="AI846" t="s">
        <v>408</v>
      </c>
      <c r="AJ846" t="s">
        <v>408</v>
      </c>
      <c r="AK846" t="s">
        <v>408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 s="58">
        <f t="shared" si="13"/>
        <v>1</v>
      </c>
      <c r="AU846" t="s">
        <v>714</v>
      </c>
      <c r="AV846" t="s">
        <v>410</v>
      </c>
      <c r="AW846" t="s">
        <v>152</v>
      </c>
      <c r="AX846">
        <v>0</v>
      </c>
      <c r="AY846" t="s">
        <v>17</v>
      </c>
      <c r="AZ846" t="s">
        <v>400</v>
      </c>
    </row>
    <row r="847" spans="1:52" x14ac:dyDescent="0.3">
      <c r="A847">
        <v>836</v>
      </c>
      <c r="B847" t="s">
        <v>1843</v>
      </c>
      <c r="C847" t="s">
        <v>154</v>
      </c>
      <c r="D847" t="s">
        <v>1844</v>
      </c>
      <c r="E847" t="s">
        <v>417</v>
      </c>
      <c r="F847" t="s">
        <v>400</v>
      </c>
      <c r="G847" t="s">
        <v>408</v>
      </c>
      <c r="H847">
        <v>0</v>
      </c>
      <c r="I847" t="s">
        <v>1845</v>
      </c>
      <c r="J847">
        <v>0</v>
      </c>
      <c r="K847">
        <v>0</v>
      </c>
      <c r="L847" t="s">
        <v>401</v>
      </c>
      <c r="M847">
        <v>0</v>
      </c>
      <c r="N847" t="s">
        <v>167</v>
      </c>
      <c r="O847" t="s">
        <v>569</v>
      </c>
      <c r="P847" t="s">
        <v>420</v>
      </c>
      <c r="Q847" t="s">
        <v>408</v>
      </c>
      <c r="R847" t="s">
        <v>782</v>
      </c>
      <c r="S847">
        <v>2021</v>
      </c>
      <c r="T847">
        <v>9</v>
      </c>
      <c r="U847" t="s">
        <v>1838</v>
      </c>
      <c r="V847" t="s">
        <v>408</v>
      </c>
      <c r="W847">
        <v>0</v>
      </c>
      <c r="X847">
        <v>0</v>
      </c>
      <c r="Y847" t="s">
        <v>408</v>
      </c>
      <c r="Z847">
        <v>2021</v>
      </c>
      <c r="AA847">
        <v>0</v>
      </c>
      <c r="AB847">
        <v>1.1335726773000001</v>
      </c>
      <c r="AC847">
        <v>2.2671453546000002</v>
      </c>
      <c r="AD847" t="s">
        <v>408</v>
      </c>
      <c r="AE847" t="s">
        <v>152</v>
      </c>
      <c r="AF847" t="s">
        <v>408</v>
      </c>
      <c r="AG847" t="s">
        <v>152</v>
      </c>
      <c r="AH847" t="s">
        <v>408</v>
      </c>
      <c r="AI847" t="s">
        <v>408</v>
      </c>
      <c r="AJ847" t="s">
        <v>408</v>
      </c>
      <c r="AK847" t="s">
        <v>408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s="58">
        <f t="shared" si="13"/>
        <v>1</v>
      </c>
      <c r="AU847" t="s">
        <v>1808</v>
      </c>
      <c r="AV847" t="s">
        <v>410</v>
      </c>
      <c r="AW847" t="s">
        <v>152</v>
      </c>
      <c r="AX847">
        <v>0</v>
      </c>
      <c r="AY847" t="s">
        <v>412</v>
      </c>
      <c r="AZ847" t="s">
        <v>408</v>
      </c>
    </row>
    <row r="848" spans="1:52" x14ac:dyDescent="0.3">
      <c r="A848">
        <v>837</v>
      </c>
      <c r="B848" t="s">
        <v>1843</v>
      </c>
      <c r="C848" t="s">
        <v>154</v>
      </c>
      <c r="D848" t="s">
        <v>1844</v>
      </c>
      <c r="E848" t="s">
        <v>417</v>
      </c>
      <c r="F848" t="s">
        <v>408</v>
      </c>
      <c r="G848" t="s">
        <v>408</v>
      </c>
      <c r="H848">
        <v>0</v>
      </c>
      <c r="I848" t="s">
        <v>1410</v>
      </c>
      <c r="J848">
        <v>0</v>
      </c>
      <c r="K848">
        <v>0</v>
      </c>
      <c r="L848" t="s">
        <v>1846</v>
      </c>
      <c r="M848">
        <v>0</v>
      </c>
      <c r="N848" t="s">
        <v>167</v>
      </c>
      <c r="O848" t="s">
        <v>569</v>
      </c>
      <c r="P848" t="s">
        <v>420</v>
      </c>
      <c r="Q848" t="s">
        <v>408</v>
      </c>
      <c r="R848" t="s">
        <v>782</v>
      </c>
      <c r="S848">
        <v>2021</v>
      </c>
      <c r="T848">
        <v>9</v>
      </c>
      <c r="U848" t="s">
        <v>1838</v>
      </c>
      <c r="V848" t="s">
        <v>408</v>
      </c>
      <c r="W848">
        <v>0</v>
      </c>
      <c r="X848">
        <v>0</v>
      </c>
      <c r="Y848" t="s">
        <v>408</v>
      </c>
      <c r="Z848">
        <v>2021</v>
      </c>
      <c r="AA848">
        <v>0</v>
      </c>
      <c r="AB848">
        <v>0.12594739277</v>
      </c>
      <c r="AC848">
        <v>0.25189478554</v>
      </c>
      <c r="AD848" t="s">
        <v>408</v>
      </c>
      <c r="AE848" t="s">
        <v>152</v>
      </c>
      <c r="AF848" t="s">
        <v>408</v>
      </c>
      <c r="AG848" t="s">
        <v>152</v>
      </c>
      <c r="AH848" t="s">
        <v>408</v>
      </c>
      <c r="AI848" t="s">
        <v>408</v>
      </c>
      <c r="AJ848" t="s">
        <v>408</v>
      </c>
      <c r="AK848" t="s">
        <v>408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 s="58">
        <f t="shared" si="13"/>
        <v>1</v>
      </c>
      <c r="AU848" t="s">
        <v>714</v>
      </c>
      <c r="AV848" t="s">
        <v>410</v>
      </c>
      <c r="AW848" t="s">
        <v>152</v>
      </c>
      <c r="AX848">
        <v>0</v>
      </c>
      <c r="AY848" t="s">
        <v>412</v>
      </c>
      <c r="AZ848" t="s">
        <v>408</v>
      </c>
    </row>
    <row r="849" spans="1:52" x14ac:dyDescent="0.3">
      <c r="A849">
        <v>838</v>
      </c>
      <c r="B849" t="s">
        <v>1843</v>
      </c>
      <c r="C849" t="s">
        <v>154</v>
      </c>
      <c r="D849" t="s">
        <v>1844</v>
      </c>
      <c r="E849" t="s">
        <v>417</v>
      </c>
      <c r="F849" t="s">
        <v>408</v>
      </c>
      <c r="G849" t="s">
        <v>408</v>
      </c>
      <c r="H849">
        <v>0</v>
      </c>
      <c r="I849" t="s">
        <v>1846</v>
      </c>
      <c r="J849">
        <v>0</v>
      </c>
      <c r="K849">
        <v>0</v>
      </c>
      <c r="L849" t="s">
        <v>402</v>
      </c>
      <c r="M849">
        <v>0</v>
      </c>
      <c r="N849" t="s">
        <v>163</v>
      </c>
      <c r="O849" t="s">
        <v>163</v>
      </c>
      <c r="P849" t="s">
        <v>420</v>
      </c>
      <c r="Q849" t="s">
        <v>408</v>
      </c>
      <c r="R849" t="s">
        <v>782</v>
      </c>
      <c r="S849">
        <v>2021</v>
      </c>
      <c r="T849">
        <v>9</v>
      </c>
      <c r="U849" t="s">
        <v>408</v>
      </c>
      <c r="V849" t="s">
        <v>408</v>
      </c>
      <c r="W849">
        <v>0</v>
      </c>
      <c r="X849">
        <v>0</v>
      </c>
      <c r="Y849" t="s">
        <v>408</v>
      </c>
      <c r="Z849">
        <v>2021</v>
      </c>
      <c r="AA849">
        <v>0</v>
      </c>
      <c r="AB849">
        <v>0.125736531835</v>
      </c>
      <c r="AC849">
        <v>0.25147306367</v>
      </c>
      <c r="AD849" t="s">
        <v>408</v>
      </c>
      <c r="AE849" t="s">
        <v>152</v>
      </c>
      <c r="AF849" t="s">
        <v>408</v>
      </c>
      <c r="AG849" t="s">
        <v>152</v>
      </c>
      <c r="AH849" t="s">
        <v>408</v>
      </c>
      <c r="AI849" t="s">
        <v>470</v>
      </c>
      <c r="AJ849" t="s">
        <v>400</v>
      </c>
      <c r="AK849" t="s">
        <v>408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 s="58">
        <f t="shared" si="13"/>
        <v>1</v>
      </c>
      <c r="AU849" t="s">
        <v>714</v>
      </c>
      <c r="AV849" t="s">
        <v>410</v>
      </c>
      <c r="AW849" t="s">
        <v>411</v>
      </c>
      <c r="AX849">
        <v>0</v>
      </c>
      <c r="AY849" t="s">
        <v>412</v>
      </c>
      <c r="AZ849" t="s">
        <v>408</v>
      </c>
    </row>
    <row r="850" spans="1:52" x14ac:dyDescent="0.3">
      <c r="A850">
        <v>839</v>
      </c>
      <c r="B850" t="s">
        <v>1843</v>
      </c>
      <c r="C850" t="s">
        <v>154</v>
      </c>
      <c r="D850" t="s">
        <v>1844</v>
      </c>
      <c r="E850" t="s">
        <v>417</v>
      </c>
      <c r="F850" t="s">
        <v>408</v>
      </c>
      <c r="G850" t="s">
        <v>408</v>
      </c>
      <c r="H850">
        <v>0</v>
      </c>
      <c r="I850" t="s">
        <v>402</v>
      </c>
      <c r="J850">
        <v>0</v>
      </c>
      <c r="K850">
        <v>0</v>
      </c>
      <c r="L850" t="s">
        <v>661</v>
      </c>
      <c r="M850">
        <v>0</v>
      </c>
      <c r="N850" t="s">
        <v>167</v>
      </c>
      <c r="O850" t="s">
        <v>167</v>
      </c>
      <c r="P850" t="s">
        <v>420</v>
      </c>
      <c r="Q850" t="s">
        <v>408</v>
      </c>
      <c r="R850" t="s">
        <v>782</v>
      </c>
      <c r="S850">
        <v>2021</v>
      </c>
      <c r="T850">
        <v>9</v>
      </c>
      <c r="U850" t="s">
        <v>408</v>
      </c>
      <c r="V850" t="s">
        <v>408</v>
      </c>
      <c r="W850">
        <v>0</v>
      </c>
      <c r="X850">
        <v>0</v>
      </c>
      <c r="Y850" t="s">
        <v>408</v>
      </c>
      <c r="Z850">
        <v>2021</v>
      </c>
      <c r="AA850">
        <v>0</v>
      </c>
      <c r="AB850">
        <v>0.12940176409099999</v>
      </c>
      <c r="AC850">
        <v>0.25880352818199998</v>
      </c>
      <c r="AD850" t="s">
        <v>408</v>
      </c>
      <c r="AE850" t="s">
        <v>152</v>
      </c>
      <c r="AF850" t="s">
        <v>408</v>
      </c>
      <c r="AG850" t="s">
        <v>152</v>
      </c>
      <c r="AH850" t="s">
        <v>408</v>
      </c>
      <c r="AI850" t="s">
        <v>408</v>
      </c>
      <c r="AJ850" t="s">
        <v>408</v>
      </c>
      <c r="AK850" t="s">
        <v>408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s="58">
        <f t="shared" si="13"/>
        <v>1</v>
      </c>
      <c r="AU850" t="s">
        <v>714</v>
      </c>
      <c r="AV850" t="s">
        <v>410</v>
      </c>
      <c r="AW850" t="s">
        <v>408</v>
      </c>
      <c r="AX850">
        <v>0</v>
      </c>
      <c r="AY850" t="s">
        <v>412</v>
      </c>
      <c r="AZ850" t="s">
        <v>408</v>
      </c>
    </row>
    <row r="851" spans="1:52" x14ac:dyDescent="0.3">
      <c r="A851">
        <v>840</v>
      </c>
      <c r="B851" t="s">
        <v>1843</v>
      </c>
      <c r="C851" t="s">
        <v>154</v>
      </c>
      <c r="D851" t="s">
        <v>1844</v>
      </c>
      <c r="E851" t="s">
        <v>417</v>
      </c>
      <c r="F851" t="s">
        <v>408</v>
      </c>
      <c r="G851" t="s">
        <v>408</v>
      </c>
      <c r="H851">
        <v>0</v>
      </c>
      <c r="I851" t="s">
        <v>401</v>
      </c>
      <c r="J851">
        <v>0</v>
      </c>
      <c r="K851">
        <v>0</v>
      </c>
      <c r="L851" t="s">
        <v>1410</v>
      </c>
      <c r="M851">
        <v>0</v>
      </c>
      <c r="N851" t="s">
        <v>163</v>
      </c>
      <c r="O851" t="s">
        <v>163</v>
      </c>
      <c r="P851" t="s">
        <v>420</v>
      </c>
      <c r="Q851" t="s">
        <v>408</v>
      </c>
      <c r="R851" t="s">
        <v>782</v>
      </c>
      <c r="S851">
        <v>2021</v>
      </c>
      <c r="T851">
        <v>9</v>
      </c>
      <c r="U851" t="s">
        <v>408</v>
      </c>
      <c r="V851" t="s">
        <v>408</v>
      </c>
      <c r="W851">
        <v>0</v>
      </c>
      <c r="X851">
        <v>0</v>
      </c>
      <c r="Y851" t="s">
        <v>408</v>
      </c>
      <c r="Z851">
        <v>2021</v>
      </c>
      <c r="AA851">
        <v>0</v>
      </c>
      <c r="AB851">
        <v>0.25122083370100001</v>
      </c>
      <c r="AC851">
        <v>0.50244166740200003</v>
      </c>
      <c r="AD851" t="s">
        <v>408</v>
      </c>
      <c r="AE851" t="s">
        <v>152</v>
      </c>
      <c r="AF851" t="s">
        <v>408</v>
      </c>
      <c r="AG851" t="s">
        <v>152</v>
      </c>
      <c r="AH851" t="s">
        <v>408</v>
      </c>
      <c r="AI851" t="s">
        <v>470</v>
      </c>
      <c r="AJ851" t="s">
        <v>400</v>
      </c>
      <c r="AK851" t="s">
        <v>408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s="58">
        <f t="shared" si="13"/>
        <v>1</v>
      </c>
      <c r="AU851" t="s">
        <v>714</v>
      </c>
      <c r="AV851" t="s">
        <v>410</v>
      </c>
      <c r="AW851" t="s">
        <v>411</v>
      </c>
      <c r="AX851">
        <v>0</v>
      </c>
      <c r="AY851" t="s">
        <v>412</v>
      </c>
      <c r="AZ851" t="s">
        <v>408</v>
      </c>
    </row>
    <row r="852" spans="1:52" x14ac:dyDescent="0.3">
      <c r="A852">
        <v>841</v>
      </c>
      <c r="B852" t="s">
        <v>974</v>
      </c>
      <c r="C852" t="s">
        <v>154</v>
      </c>
      <c r="D852" t="s">
        <v>975</v>
      </c>
      <c r="E852" t="s">
        <v>460</v>
      </c>
      <c r="F852" t="s">
        <v>400</v>
      </c>
      <c r="G852">
        <v>0</v>
      </c>
      <c r="H852">
        <v>0</v>
      </c>
      <c r="I852" t="s">
        <v>670</v>
      </c>
      <c r="J852">
        <v>3200</v>
      </c>
      <c r="K852">
        <v>3201</v>
      </c>
      <c r="L852" t="s">
        <v>434</v>
      </c>
      <c r="M852">
        <v>0</v>
      </c>
      <c r="N852" t="s">
        <v>167</v>
      </c>
      <c r="O852" t="s">
        <v>569</v>
      </c>
      <c r="P852" t="s">
        <v>420</v>
      </c>
      <c r="Q852" t="s">
        <v>408</v>
      </c>
      <c r="R852" t="s">
        <v>971</v>
      </c>
      <c r="S852">
        <v>2021</v>
      </c>
      <c r="T852">
        <v>8</v>
      </c>
      <c r="U852" t="s">
        <v>783</v>
      </c>
      <c r="V852" t="s">
        <v>408</v>
      </c>
      <c r="W852">
        <v>0</v>
      </c>
      <c r="X852">
        <v>0</v>
      </c>
      <c r="Y852" t="s">
        <v>408</v>
      </c>
      <c r="Z852">
        <v>2021</v>
      </c>
      <c r="AA852">
        <v>0</v>
      </c>
      <c r="AB852">
        <v>1.51368215546</v>
      </c>
      <c r="AC852">
        <v>3.0273643109199999</v>
      </c>
      <c r="AD852" t="s">
        <v>408</v>
      </c>
      <c r="AE852" t="s">
        <v>152</v>
      </c>
      <c r="AF852" t="s">
        <v>408</v>
      </c>
      <c r="AG852" t="s">
        <v>152</v>
      </c>
      <c r="AH852" t="s">
        <v>408</v>
      </c>
      <c r="AI852" t="s">
        <v>408</v>
      </c>
      <c r="AJ852" t="s">
        <v>152</v>
      </c>
      <c r="AK852" t="s">
        <v>408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 s="58">
        <f t="shared" si="13"/>
        <v>1</v>
      </c>
      <c r="AU852" t="s">
        <v>1808</v>
      </c>
      <c r="AV852" t="s">
        <v>410</v>
      </c>
      <c r="AW852" t="s">
        <v>152</v>
      </c>
      <c r="AX852">
        <v>0</v>
      </c>
      <c r="AY852" t="s">
        <v>412</v>
      </c>
      <c r="AZ852" t="s">
        <v>408</v>
      </c>
    </row>
    <row r="853" spans="1:52" x14ac:dyDescent="0.3">
      <c r="A853">
        <v>842</v>
      </c>
      <c r="B853" t="s">
        <v>538</v>
      </c>
      <c r="C853" t="s">
        <v>152</v>
      </c>
      <c r="D853" t="s">
        <v>539</v>
      </c>
      <c r="E853" t="s">
        <v>417</v>
      </c>
      <c r="F853" t="s">
        <v>408</v>
      </c>
      <c r="G853" t="s">
        <v>408</v>
      </c>
      <c r="H853">
        <v>0</v>
      </c>
      <c r="I853" t="s">
        <v>1701</v>
      </c>
      <c r="J853">
        <v>0</v>
      </c>
      <c r="K853">
        <v>0</v>
      </c>
      <c r="L853" t="s">
        <v>965</v>
      </c>
      <c r="M853">
        <v>0</v>
      </c>
      <c r="N853" t="s">
        <v>163</v>
      </c>
      <c r="O853" t="s">
        <v>163</v>
      </c>
      <c r="P853" t="s">
        <v>420</v>
      </c>
      <c r="Q853" t="s">
        <v>408</v>
      </c>
      <c r="R853" t="s">
        <v>971</v>
      </c>
      <c r="S853">
        <v>2021</v>
      </c>
      <c r="T853">
        <v>10</v>
      </c>
      <c r="U853" t="s">
        <v>452</v>
      </c>
      <c r="V853" t="s">
        <v>408</v>
      </c>
      <c r="W853">
        <v>0</v>
      </c>
      <c r="X853">
        <v>0</v>
      </c>
      <c r="Y853" t="s">
        <v>408</v>
      </c>
      <c r="Z853">
        <v>2021</v>
      </c>
      <c r="AA853">
        <v>0</v>
      </c>
      <c r="AB853">
        <v>0.56506164233300005</v>
      </c>
      <c r="AC853">
        <v>1.13012328467</v>
      </c>
      <c r="AD853" t="s">
        <v>408</v>
      </c>
      <c r="AE853" t="s">
        <v>152</v>
      </c>
      <c r="AF853" t="s">
        <v>408</v>
      </c>
      <c r="AG853" t="s">
        <v>152</v>
      </c>
      <c r="AH853" t="s">
        <v>408</v>
      </c>
      <c r="AI853" t="s">
        <v>470</v>
      </c>
      <c r="AJ853" t="s">
        <v>400</v>
      </c>
      <c r="AK853" t="s">
        <v>408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s="58">
        <f t="shared" si="13"/>
        <v>1</v>
      </c>
      <c r="AU853" t="s">
        <v>784</v>
      </c>
      <c r="AV853" t="s">
        <v>410</v>
      </c>
      <c r="AW853" t="s">
        <v>411</v>
      </c>
      <c r="AX853">
        <v>0</v>
      </c>
      <c r="AY853" t="s">
        <v>412</v>
      </c>
      <c r="AZ853" t="s">
        <v>408</v>
      </c>
    </row>
    <row r="854" spans="1:52" x14ac:dyDescent="0.3">
      <c r="A854">
        <v>843</v>
      </c>
      <c r="B854" t="s">
        <v>538</v>
      </c>
      <c r="C854" t="s">
        <v>152</v>
      </c>
      <c r="D854" t="s">
        <v>539</v>
      </c>
      <c r="E854" t="s">
        <v>417</v>
      </c>
      <c r="F854" t="s">
        <v>408</v>
      </c>
      <c r="G854" t="s">
        <v>408</v>
      </c>
      <c r="H854">
        <v>0</v>
      </c>
      <c r="I854" t="s">
        <v>965</v>
      </c>
      <c r="J854">
        <v>0</v>
      </c>
      <c r="K854">
        <v>0</v>
      </c>
      <c r="L854" t="s">
        <v>613</v>
      </c>
      <c r="M854">
        <v>0</v>
      </c>
      <c r="N854" t="s">
        <v>163</v>
      </c>
      <c r="O854" t="s">
        <v>163</v>
      </c>
      <c r="P854" t="s">
        <v>420</v>
      </c>
      <c r="Q854" t="s">
        <v>408</v>
      </c>
      <c r="R854" t="s">
        <v>971</v>
      </c>
      <c r="S854">
        <v>2021</v>
      </c>
      <c r="T854">
        <v>10</v>
      </c>
      <c r="U854" t="s">
        <v>452</v>
      </c>
      <c r="V854" t="s">
        <v>408</v>
      </c>
      <c r="W854">
        <v>0</v>
      </c>
      <c r="X854">
        <v>0</v>
      </c>
      <c r="Y854" t="s">
        <v>408</v>
      </c>
      <c r="Z854">
        <v>2021</v>
      </c>
      <c r="AA854">
        <v>0</v>
      </c>
      <c r="AB854">
        <v>0.25268420723099999</v>
      </c>
      <c r="AC854">
        <v>0.50536841446199998</v>
      </c>
      <c r="AD854" t="s">
        <v>408</v>
      </c>
      <c r="AE854" t="s">
        <v>152</v>
      </c>
      <c r="AF854" t="s">
        <v>408</v>
      </c>
      <c r="AG854" t="s">
        <v>152</v>
      </c>
      <c r="AH854" t="s">
        <v>408</v>
      </c>
      <c r="AI854" t="s">
        <v>470</v>
      </c>
      <c r="AJ854" t="s">
        <v>400</v>
      </c>
      <c r="AK854" t="s">
        <v>408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s="58">
        <f t="shared" si="13"/>
        <v>1</v>
      </c>
      <c r="AU854" t="s">
        <v>457</v>
      </c>
      <c r="AV854" t="s">
        <v>410</v>
      </c>
      <c r="AW854" t="s">
        <v>411</v>
      </c>
      <c r="AX854">
        <v>0</v>
      </c>
      <c r="AY854" t="s">
        <v>412</v>
      </c>
      <c r="AZ854" t="s">
        <v>408</v>
      </c>
    </row>
    <row r="855" spans="1:52" x14ac:dyDescent="0.3">
      <c r="A855">
        <v>844</v>
      </c>
      <c r="B855" t="s">
        <v>1628</v>
      </c>
      <c r="C855" t="s">
        <v>152</v>
      </c>
      <c r="D855" t="s">
        <v>851</v>
      </c>
      <c r="E855" t="s">
        <v>460</v>
      </c>
      <c r="F855" t="s">
        <v>408</v>
      </c>
      <c r="G855" t="s">
        <v>408</v>
      </c>
      <c r="H855">
        <v>0</v>
      </c>
      <c r="I855" t="s">
        <v>1847</v>
      </c>
      <c r="J855">
        <v>0</v>
      </c>
      <c r="K855">
        <v>0</v>
      </c>
      <c r="L855" t="s">
        <v>718</v>
      </c>
      <c r="M855">
        <v>0</v>
      </c>
      <c r="N855" t="s">
        <v>163</v>
      </c>
      <c r="O855" t="s">
        <v>163</v>
      </c>
      <c r="P855" t="s">
        <v>420</v>
      </c>
      <c r="Q855" t="s">
        <v>408</v>
      </c>
      <c r="R855" t="s">
        <v>971</v>
      </c>
      <c r="S855">
        <v>2021</v>
      </c>
      <c r="T855">
        <v>10</v>
      </c>
      <c r="U855" t="s">
        <v>408</v>
      </c>
      <c r="V855" t="s">
        <v>408</v>
      </c>
      <c r="W855">
        <v>0</v>
      </c>
      <c r="X855">
        <v>0</v>
      </c>
      <c r="Y855" t="s">
        <v>408</v>
      </c>
      <c r="Z855">
        <v>2021</v>
      </c>
      <c r="AA855">
        <v>0</v>
      </c>
      <c r="AB855">
        <v>0.167341161824</v>
      </c>
      <c r="AC855">
        <v>0.11080724531400001</v>
      </c>
      <c r="AD855" t="s">
        <v>408</v>
      </c>
      <c r="AE855" t="s">
        <v>411</v>
      </c>
      <c r="AF855" t="s">
        <v>155</v>
      </c>
      <c r="AG855" t="s">
        <v>152</v>
      </c>
      <c r="AH855" t="s">
        <v>408</v>
      </c>
      <c r="AI855" t="s">
        <v>470</v>
      </c>
      <c r="AJ855" t="s">
        <v>400</v>
      </c>
      <c r="AK855" t="s">
        <v>408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s="58">
        <f t="shared" si="13"/>
        <v>1</v>
      </c>
      <c r="AU855" t="s">
        <v>784</v>
      </c>
      <c r="AV855" t="s">
        <v>410</v>
      </c>
      <c r="AW855" t="s">
        <v>411</v>
      </c>
      <c r="AX855">
        <v>0</v>
      </c>
      <c r="AY855" t="s">
        <v>412</v>
      </c>
      <c r="AZ855" t="s">
        <v>408</v>
      </c>
    </row>
    <row r="856" spans="1:52" x14ac:dyDescent="0.3">
      <c r="A856">
        <v>845</v>
      </c>
      <c r="B856" t="s">
        <v>911</v>
      </c>
      <c r="C856" t="s">
        <v>154</v>
      </c>
      <c r="D856" t="s">
        <v>912</v>
      </c>
      <c r="E856" t="s">
        <v>417</v>
      </c>
      <c r="F856" t="s">
        <v>400</v>
      </c>
      <c r="G856" t="s">
        <v>408</v>
      </c>
      <c r="H856">
        <v>0</v>
      </c>
      <c r="I856" t="s">
        <v>1063</v>
      </c>
      <c r="J856">
        <v>0</v>
      </c>
      <c r="K856">
        <v>0</v>
      </c>
      <c r="L856" t="s">
        <v>1848</v>
      </c>
      <c r="M856">
        <v>0</v>
      </c>
      <c r="N856" t="s">
        <v>163</v>
      </c>
      <c r="O856" t="s">
        <v>163</v>
      </c>
      <c r="P856" t="s">
        <v>420</v>
      </c>
      <c r="Q856" t="s">
        <v>408</v>
      </c>
      <c r="R856" t="s">
        <v>971</v>
      </c>
      <c r="S856">
        <v>2021</v>
      </c>
      <c r="T856">
        <v>10</v>
      </c>
      <c r="U856" t="s">
        <v>452</v>
      </c>
      <c r="V856" t="s">
        <v>408</v>
      </c>
      <c r="W856">
        <v>0</v>
      </c>
      <c r="X856">
        <v>0</v>
      </c>
      <c r="Y856" t="s">
        <v>408</v>
      </c>
      <c r="Z856">
        <v>2021</v>
      </c>
      <c r="AA856">
        <v>0</v>
      </c>
      <c r="AB856">
        <v>0.29736686272899998</v>
      </c>
      <c r="AC856">
        <v>0.59473372545900005</v>
      </c>
      <c r="AD856" t="s">
        <v>400</v>
      </c>
      <c r="AE856" t="s">
        <v>400</v>
      </c>
      <c r="AF856" t="s">
        <v>400</v>
      </c>
      <c r="AG856" t="s">
        <v>400</v>
      </c>
      <c r="AH856" t="s">
        <v>408</v>
      </c>
      <c r="AI856" t="s">
        <v>470</v>
      </c>
      <c r="AJ856" t="s">
        <v>400</v>
      </c>
      <c r="AK856" t="s">
        <v>408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 s="58">
        <f t="shared" si="13"/>
        <v>1</v>
      </c>
      <c r="AU856" t="s">
        <v>457</v>
      </c>
      <c r="AV856" t="s">
        <v>410</v>
      </c>
      <c r="AW856" t="s">
        <v>411</v>
      </c>
      <c r="AX856">
        <v>0</v>
      </c>
      <c r="AY856" t="s">
        <v>412</v>
      </c>
      <c r="AZ856" t="s">
        <v>408</v>
      </c>
    </row>
    <row r="857" spans="1:52" x14ac:dyDescent="0.3">
      <c r="A857">
        <v>846</v>
      </c>
      <c r="B857" t="s">
        <v>911</v>
      </c>
      <c r="C857" t="s">
        <v>154</v>
      </c>
      <c r="D857" t="s">
        <v>912</v>
      </c>
      <c r="E857" t="s">
        <v>417</v>
      </c>
      <c r="F857" t="s">
        <v>400</v>
      </c>
      <c r="G857" t="s">
        <v>408</v>
      </c>
      <c r="H857">
        <v>0</v>
      </c>
      <c r="I857" t="s">
        <v>1848</v>
      </c>
      <c r="J857">
        <v>0</v>
      </c>
      <c r="K857">
        <v>0</v>
      </c>
      <c r="L857" t="s">
        <v>808</v>
      </c>
      <c r="M857">
        <v>0</v>
      </c>
      <c r="N857" t="s">
        <v>163</v>
      </c>
      <c r="O857" t="s">
        <v>163</v>
      </c>
      <c r="P857" t="s">
        <v>420</v>
      </c>
      <c r="Q857" t="s">
        <v>408</v>
      </c>
      <c r="R857" t="s">
        <v>971</v>
      </c>
      <c r="S857">
        <v>2021</v>
      </c>
      <c r="T857">
        <v>10</v>
      </c>
      <c r="U857" t="s">
        <v>452</v>
      </c>
      <c r="V857" t="s">
        <v>408</v>
      </c>
      <c r="W857">
        <v>0</v>
      </c>
      <c r="X857">
        <v>0</v>
      </c>
      <c r="Y857" t="s">
        <v>408</v>
      </c>
      <c r="Z857">
        <v>2021</v>
      </c>
      <c r="AA857">
        <v>0</v>
      </c>
      <c r="AB857">
        <v>0.263500038484</v>
      </c>
      <c r="AC857">
        <v>0.527000076968</v>
      </c>
      <c r="AD857" t="s">
        <v>400</v>
      </c>
      <c r="AE857" t="s">
        <v>400</v>
      </c>
      <c r="AF857" t="s">
        <v>400</v>
      </c>
      <c r="AG857" t="s">
        <v>400</v>
      </c>
      <c r="AH857" t="s">
        <v>408</v>
      </c>
      <c r="AI857" t="s">
        <v>470</v>
      </c>
      <c r="AJ857" t="s">
        <v>400</v>
      </c>
      <c r="AK857" t="s">
        <v>408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 s="58">
        <f t="shared" si="13"/>
        <v>1</v>
      </c>
      <c r="AU857" t="s">
        <v>457</v>
      </c>
      <c r="AV857" t="s">
        <v>410</v>
      </c>
      <c r="AW857" t="s">
        <v>411</v>
      </c>
      <c r="AX857">
        <v>0</v>
      </c>
      <c r="AY857" t="s">
        <v>412</v>
      </c>
      <c r="AZ857" t="s">
        <v>408</v>
      </c>
    </row>
    <row r="858" spans="1:52" x14ac:dyDescent="0.3">
      <c r="A858">
        <v>847</v>
      </c>
      <c r="B858" t="s">
        <v>1849</v>
      </c>
      <c r="C858" t="s">
        <v>154</v>
      </c>
      <c r="D858" t="s">
        <v>1850</v>
      </c>
      <c r="E858" t="s">
        <v>460</v>
      </c>
      <c r="F858" t="s">
        <v>408</v>
      </c>
      <c r="G858" t="s">
        <v>408</v>
      </c>
      <c r="H858">
        <v>0</v>
      </c>
      <c r="I858" t="s">
        <v>1046</v>
      </c>
      <c r="J858">
        <v>0</v>
      </c>
      <c r="K858">
        <v>0</v>
      </c>
      <c r="L858" t="s">
        <v>761</v>
      </c>
      <c r="M858">
        <v>0</v>
      </c>
      <c r="N858" t="s">
        <v>167</v>
      </c>
      <c r="O858" t="s">
        <v>569</v>
      </c>
      <c r="P858" t="s">
        <v>420</v>
      </c>
      <c r="Q858" t="s">
        <v>408</v>
      </c>
      <c r="R858" t="s">
        <v>1851</v>
      </c>
      <c r="S858">
        <v>2021</v>
      </c>
      <c r="T858">
        <v>8</v>
      </c>
      <c r="U858" t="s">
        <v>783</v>
      </c>
      <c r="V858" t="s">
        <v>408</v>
      </c>
      <c r="W858">
        <v>0</v>
      </c>
      <c r="X858">
        <v>0</v>
      </c>
      <c r="Y858" t="s">
        <v>408</v>
      </c>
      <c r="Z858">
        <v>2021</v>
      </c>
      <c r="AA858">
        <v>0</v>
      </c>
      <c r="AB858">
        <v>0.75476144900700004</v>
      </c>
      <c r="AC858">
        <v>1.5095228980099999</v>
      </c>
      <c r="AD858" t="s">
        <v>408</v>
      </c>
      <c r="AE858" t="s">
        <v>152</v>
      </c>
      <c r="AF858" t="s">
        <v>408</v>
      </c>
      <c r="AG858" t="s">
        <v>152</v>
      </c>
      <c r="AH858" t="s">
        <v>408</v>
      </c>
      <c r="AI858" t="s">
        <v>408</v>
      </c>
      <c r="AJ858" t="s">
        <v>408</v>
      </c>
      <c r="AK858" t="s">
        <v>408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 s="58">
        <f t="shared" si="13"/>
        <v>1</v>
      </c>
      <c r="AU858" t="s">
        <v>784</v>
      </c>
      <c r="AV858" t="s">
        <v>410</v>
      </c>
      <c r="AW858" t="s">
        <v>152</v>
      </c>
      <c r="AX858">
        <v>0</v>
      </c>
      <c r="AY858" t="s">
        <v>412</v>
      </c>
      <c r="AZ858" t="s">
        <v>408</v>
      </c>
    </row>
    <row r="859" spans="1:52" x14ac:dyDescent="0.3">
      <c r="A859">
        <v>848</v>
      </c>
      <c r="B859" t="s">
        <v>1849</v>
      </c>
      <c r="C859" t="s">
        <v>154</v>
      </c>
      <c r="D859" t="s">
        <v>1850</v>
      </c>
      <c r="E859" t="s">
        <v>460</v>
      </c>
      <c r="F859" t="s">
        <v>408</v>
      </c>
      <c r="G859">
        <v>2400</v>
      </c>
      <c r="H859">
        <v>2401</v>
      </c>
      <c r="I859" t="s">
        <v>619</v>
      </c>
      <c r="J859">
        <v>2000</v>
      </c>
      <c r="K859">
        <v>2001</v>
      </c>
      <c r="L859" t="s">
        <v>435</v>
      </c>
      <c r="M859">
        <v>0</v>
      </c>
      <c r="N859" t="s">
        <v>167</v>
      </c>
      <c r="O859" t="s">
        <v>569</v>
      </c>
      <c r="P859" t="s">
        <v>420</v>
      </c>
      <c r="Q859" t="s">
        <v>408</v>
      </c>
      <c r="R859" t="s">
        <v>1852</v>
      </c>
      <c r="S859">
        <v>2021</v>
      </c>
      <c r="T859">
        <v>8</v>
      </c>
      <c r="U859" t="s">
        <v>783</v>
      </c>
      <c r="V859" t="s">
        <v>408</v>
      </c>
      <c r="W859">
        <v>0</v>
      </c>
      <c r="X859">
        <v>0</v>
      </c>
      <c r="Y859" t="s">
        <v>408</v>
      </c>
      <c r="Z859">
        <v>2021</v>
      </c>
      <c r="AA859">
        <v>0</v>
      </c>
      <c r="AB859">
        <v>0.500826743736</v>
      </c>
      <c r="AC859">
        <v>1.00165348747</v>
      </c>
      <c r="AD859" t="s">
        <v>408</v>
      </c>
      <c r="AE859" t="s">
        <v>152</v>
      </c>
      <c r="AF859" t="s">
        <v>408</v>
      </c>
      <c r="AG859" t="s">
        <v>152</v>
      </c>
      <c r="AH859" t="s">
        <v>408</v>
      </c>
      <c r="AI859" t="s">
        <v>408</v>
      </c>
      <c r="AJ859" t="s">
        <v>408</v>
      </c>
      <c r="AK859" t="s">
        <v>408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s="58">
        <f t="shared" si="13"/>
        <v>1</v>
      </c>
      <c r="AU859" t="s">
        <v>784</v>
      </c>
      <c r="AV859" t="s">
        <v>410</v>
      </c>
      <c r="AW859" t="s">
        <v>152</v>
      </c>
      <c r="AX859">
        <v>0</v>
      </c>
      <c r="AY859" t="s">
        <v>412</v>
      </c>
      <c r="AZ859" t="s">
        <v>408</v>
      </c>
    </row>
    <row r="860" spans="1:52" x14ac:dyDescent="0.3">
      <c r="A860">
        <v>849</v>
      </c>
      <c r="B860" t="s">
        <v>1446</v>
      </c>
      <c r="C860" t="s">
        <v>447</v>
      </c>
      <c r="D860" t="s">
        <v>1447</v>
      </c>
      <c r="E860" t="s">
        <v>417</v>
      </c>
      <c r="F860" t="s">
        <v>408</v>
      </c>
      <c r="G860" t="s">
        <v>408</v>
      </c>
      <c r="H860">
        <v>0</v>
      </c>
      <c r="I860" t="s">
        <v>1022</v>
      </c>
      <c r="J860">
        <v>0</v>
      </c>
      <c r="K860">
        <v>0</v>
      </c>
      <c r="L860" t="s">
        <v>1270</v>
      </c>
      <c r="M860">
        <v>0</v>
      </c>
      <c r="N860" t="s">
        <v>165</v>
      </c>
      <c r="O860" t="s">
        <v>165</v>
      </c>
      <c r="P860" t="s">
        <v>420</v>
      </c>
      <c r="Q860" t="s">
        <v>408</v>
      </c>
      <c r="R860" t="s">
        <v>1853</v>
      </c>
      <c r="S860">
        <v>2021</v>
      </c>
      <c r="T860">
        <v>10</v>
      </c>
      <c r="U860" t="s">
        <v>408</v>
      </c>
      <c r="V860" t="s">
        <v>408</v>
      </c>
      <c r="W860">
        <v>0</v>
      </c>
      <c r="X860">
        <v>0</v>
      </c>
      <c r="Y860" t="s">
        <v>408</v>
      </c>
      <c r="Z860">
        <v>2021</v>
      </c>
      <c r="AA860">
        <v>2021</v>
      </c>
      <c r="AB860">
        <v>0.50715957276500001</v>
      </c>
      <c r="AC860">
        <v>1.01431914553</v>
      </c>
      <c r="AD860" t="s">
        <v>408</v>
      </c>
      <c r="AE860" t="s">
        <v>152</v>
      </c>
      <c r="AF860" t="s">
        <v>408</v>
      </c>
      <c r="AG860" t="s">
        <v>408</v>
      </c>
      <c r="AH860" t="s">
        <v>408</v>
      </c>
      <c r="AI860" t="s">
        <v>408</v>
      </c>
      <c r="AJ860" t="s">
        <v>408</v>
      </c>
      <c r="AK860" t="s">
        <v>408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 s="58">
        <f t="shared" si="13"/>
        <v>1</v>
      </c>
      <c r="AU860" t="s">
        <v>1831</v>
      </c>
      <c r="AV860" t="s">
        <v>410</v>
      </c>
      <c r="AW860" t="s">
        <v>152</v>
      </c>
      <c r="AX860">
        <v>0</v>
      </c>
      <c r="AY860" t="s">
        <v>412</v>
      </c>
      <c r="AZ860" t="s">
        <v>408</v>
      </c>
    </row>
    <row r="861" spans="1:52" x14ac:dyDescent="0.3">
      <c r="A861">
        <v>850</v>
      </c>
      <c r="B861" t="s">
        <v>587</v>
      </c>
      <c r="C861" t="s">
        <v>155</v>
      </c>
      <c r="D861" t="s">
        <v>588</v>
      </c>
      <c r="E861" t="s">
        <v>417</v>
      </c>
      <c r="F861" t="s">
        <v>152</v>
      </c>
      <c r="G861">
        <v>9801</v>
      </c>
      <c r="H861">
        <v>9800</v>
      </c>
      <c r="I861" t="s">
        <v>1138</v>
      </c>
      <c r="J861">
        <v>0</v>
      </c>
      <c r="K861">
        <v>0</v>
      </c>
      <c r="L861" t="s">
        <v>878</v>
      </c>
      <c r="M861">
        <v>2</v>
      </c>
      <c r="N861" t="s">
        <v>167</v>
      </c>
      <c r="O861" t="s">
        <v>167</v>
      </c>
      <c r="P861" t="s">
        <v>420</v>
      </c>
      <c r="Q861" t="s">
        <v>408</v>
      </c>
      <c r="R861" t="s">
        <v>1074</v>
      </c>
      <c r="S861">
        <v>2009</v>
      </c>
      <c r="T861">
        <v>11</v>
      </c>
      <c r="U861" t="s">
        <v>408</v>
      </c>
      <c r="V861" t="s">
        <v>422</v>
      </c>
      <c r="W861">
        <v>2011</v>
      </c>
      <c r="X861">
        <v>5</v>
      </c>
      <c r="Y861" t="s">
        <v>408</v>
      </c>
      <c r="Z861">
        <v>2011</v>
      </c>
      <c r="AA861">
        <v>2009</v>
      </c>
      <c r="AB861">
        <v>6.6896270972199995E-2</v>
      </c>
      <c r="AC861">
        <v>0.133792541944</v>
      </c>
      <c r="AD861" t="s">
        <v>408</v>
      </c>
      <c r="AE861" t="s">
        <v>152</v>
      </c>
      <c r="AF861" t="s">
        <v>408</v>
      </c>
      <c r="AG861" t="s">
        <v>152</v>
      </c>
      <c r="AH861" t="s">
        <v>408</v>
      </c>
      <c r="AI861" t="s">
        <v>408</v>
      </c>
      <c r="AJ861" t="s">
        <v>408</v>
      </c>
      <c r="AK861" t="s">
        <v>408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 s="58">
        <f t="shared" si="13"/>
        <v>1</v>
      </c>
      <c r="AU861" t="s">
        <v>784</v>
      </c>
      <c r="AV861" t="s">
        <v>410</v>
      </c>
      <c r="AW861" t="s">
        <v>152</v>
      </c>
      <c r="AX861">
        <v>2</v>
      </c>
      <c r="AY861" t="s">
        <v>412</v>
      </c>
      <c r="AZ861" t="s">
        <v>408</v>
      </c>
    </row>
    <row r="862" spans="1:52" x14ac:dyDescent="0.3">
      <c r="A862">
        <v>851</v>
      </c>
      <c r="B862" t="s">
        <v>1159</v>
      </c>
      <c r="C862" t="s">
        <v>155</v>
      </c>
      <c r="D862" t="s">
        <v>1160</v>
      </c>
      <c r="E862" t="s">
        <v>417</v>
      </c>
      <c r="F862" t="s">
        <v>408</v>
      </c>
      <c r="G862" t="s">
        <v>408</v>
      </c>
      <c r="H862">
        <v>0</v>
      </c>
      <c r="I862" t="s">
        <v>1854</v>
      </c>
      <c r="J862">
        <v>0</v>
      </c>
      <c r="K862">
        <v>0</v>
      </c>
      <c r="L862" t="s">
        <v>1161</v>
      </c>
      <c r="M862">
        <v>0</v>
      </c>
      <c r="N862" t="s">
        <v>170</v>
      </c>
      <c r="O862" t="s">
        <v>170</v>
      </c>
      <c r="P862" t="s">
        <v>420</v>
      </c>
      <c r="Q862" t="s">
        <v>408</v>
      </c>
      <c r="R862" t="s">
        <v>713</v>
      </c>
      <c r="S862">
        <v>2021</v>
      </c>
      <c r="T862">
        <v>7</v>
      </c>
      <c r="U862" t="s">
        <v>408</v>
      </c>
      <c r="V862" t="s">
        <v>408</v>
      </c>
      <c r="W862">
        <v>0</v>
      </c>
      <c r="X862">
        <v>0</v>
      </c>
      <c r="Y862" t="s">
        <v>408</v>
      </c>
      <c r="Z862">
        <v>2021</v>
      </c>
      <c r="AA862">
        <v>2021</v>
      </c>
      <c r="AB862">
        <v>0.40351202362999999</v>
      </c>
      <c r="AC862">
        <v>0.80702404725999999</v>
      </c>
      <c r="AD862" t="s">
        <v>408</v>
      </c>
      <c r="AE862" t="s">
        <v>152</v>
      </c>
      <c r="AF862" t="s">
        <v>408</v>
      </c>
      <c r="AG862" t="s">
        <v>152</v>
      </c>
      <c r="AH862" t="s">
        <v>408</v>
      </c>
      <c r="AI862" t="s">
        <v>408</v>
      </c>
      <c r="AJ862" t="s">
        <v>152</v>
      </c>
      <c r="AK862" t="s">
        <v>408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 s="58">
        <f t="shared" si="13"/>
        <v>1</v>
      </c>
      <c r="AU862" t="s">
        <v>784</v>
      </c>
      <c r="AV862" t="s">
        <v>410</v>
      </c>
      <c r="AW862" t="s">
        <v>152</v>
      </c>
      <c r="AX862">
        <v>0</v>
      </c>
      <c r="AY862" t="s">
        <v>412</v>
      </c>
      <c r="AZ862" t="s">
        <v>408</v>
      </c>
    </row>
    <row r="863" spans="1:52" x14ac:dyDescent="0.3">
      <c r="A863">
        <v>852</v>
      </c>
      <c r="B863" t="s">
        <v>1855</v>
      </c>
      <c r="C863" t="s">
        <v>152</v>
      </c>
      <c r="D863" t="s">
        <v>1856</v>
      </c>
      <c r="E863" t="s">
        <v>460</v>
      </c>
      <c r="F863" t="s">
        <v>408</v>
      </c>
      <c r="G863">
        <v>5600</v>
      </c>
      <c r="H863">
        <v>5601</v>
      </c>
      <c r="I863" t="s">
        <v>841</v>
      </c>
      <c r="J863">
        <v>6200</v>
      </c>
      <c r="K863">
        <v>6201</v>
      </c>
      <c r="L863" t="s">
        <v>722</v>
      </c>
      <c r="M863">
        <v>0</v>
      </c>
      <c r="N863" t="s">
        <v>167</v>
      </c>
      <c r="O863" t="s">
        <v>167</v>
      </c>
      <c r="P863" t="s">
        <v>420</v>
      </c>
      <c r="Q863" t="s">
        <v>408</v>
      </c>
      <c r="R863" t="s">
        <v>713</v>
      </c>
      <c r="S863">
        <v>2021</v>
      </c>
      <c r="T863">
        <v>10</v>
      </c>
      <c r="U863" t="s">
        <v>408</v>
      </c>
      <c r="V863" t="s">
        <v>408</v>
      </c>
      <c r="W863">
        <v>0</v>
      </c>
      <c r="X863">
        <v>0</v>
      </c>
      <c r="Y863" t="s">
        <v>408</v>
      </c>
      <c r="Z863">
        <v>2021</v>
      </c>
      <c r="AA863">
        <v>2021</v>
      </c>
      <c r="AB863">
        <v>0.69588840700999999</v>
      </c>
      <c r="AC863">
        <v>1.39177681402</v>
      </c>
      <c r="AD863" t="s">
        <v>408</v>
      </c>
      <c r="AE863" t="s">
        <v>152</v>
      </c>
      <c r="AF863" t="s">
        <v>408</v>
      </c>
      <c r="AG863" t="s">
        <v>152</v>
      </c>
      <c r="AH863" t="s">
        <v>408</v>
      </c>
      <c r="AI863" t="s">
        <v>408</v>
      </c>
      <c r="AJ863" t="s">
        <v>408</v>
      </c>
      <c r="AK863" t="s">
        <v>408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 s="58">
        <f t="shared" si="13"/>
        <v>1</v>
      </c>
      <c r="AU863" t="s">
        <v>784</v>
      </c>
      <c r="AV863" t="s">
        <v>410</v>
      </c>
      <c r="AW863" t="s">
        <v>152</v>
      </c>
      <c r="AX863">
        <v>0</v>
      </c>
      <c r="AY863" t="s">
        <v>412</v>
      </c>
      <c r="AZ863" t="s">
        <v>408</v>
      </c>
    </row>
    <row r="864" spans="1:52" x14ac:dyDescent="0.3">
      <c r="A864">
        <v>853</v>
      </c>
      <c r="B864" t="s">
        <v>1783</v>
      </c>
      <c r="C864" t="s">
        <v>152</v>
      </c>
      <c r="D864" t="s">
        <v>650</v>
      </c>
      <c r="E864" t="s">
        <v>460</v>
      </c>
      <c r="F864" t="s">
        <v>408</v>
      </c>
      <c r="G864" t="s">
        <v>408</v>
      </c>
      <c r="H864">
        <v>0</v>
      </c>
      <c r="I864" t="s">
        <v>474</v>
      </c>
      <c r="J864">
        <v>0</v>
      </c>
      <c r="K864">
        <v>0</v>
      </c>
      <c r="L864" t="s">
        <v>625</v>
      </c>
      <c r="M864">
        <v>0</v>
      </c>
      <c r="N864" t="s">
        <v>167</v>
      </c>
      <c r="O864" t="s">
        <v>569</v>
      </c>
      <c r="P864" t="s">
        <v>420</v>
      </c>
      <c r="Q864" t="s">
        <v>408</v>
      </c>
      <c r="R864" t="s">
        <v>713</v>
      </c>
      <c r="S864">
        <v>2021</v>
      </c>
      <c r="T864">
        <v>10</v>
      </c>
      <c r="U864" t="s">
        <v>783</v>
      </c>
      <c r="V864" t="s">
        <v>408</v>
      </c>
      <c r="W864">
        <v>0</v>
      </c>
      <c r="X864">
        <v>0</v>
      </c>
      <c r="Y864" t="s">
        <v>408</v>
      </c>
      <c r="Z864">
        <v>2021</v>
      </c>
      <c r="AA864">
        <v>2021</v>
      </c>
      <c r="AB864">
        <v>1.12922337961</v>
      </c>
      <c r="AC864">
        <v>2.2584467592199999</v>
      </c>
      <c r="AD864" t="s">
        <v>408</v>
      </c>
      <c r="AE864" t="s">
        <v>152</v>
      </c>
      <c r="AF864" t="s">
        <v>408</v>
      </c>
      <c r="AG864" t="s">
        <v>152</v>
      </c>
      <c r="AH864" t="s">
        <v>408</v>
      </c>
      <c r="AI864" t="s">
        <v>408</v>
      </c>
      <c r="AJ864" t="s">
        <v>408</v>
      </c>
      <c r="AK864" t="s">
        <v>408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 s="58">
        <f t="shared" si="13"/>
        <v>1</v>
      </c>
      <c r="AU864" t="s">
        <v>784</v>
      </c>
      <c r="AV864" t="s">
        <v>410</v>
      </c>
      <c r="AW864" t="s">
        <v>152</v>
      </c>
      <c r="AX864">
        <v>0</v>
      </c>
      <c r="AY864" t="s">
        <v>412</v>
      </c>
      <c r="AZ864" t="s">
        <v>408</v>
      </c>
    </row>
    <row r="865" spans="1:52" x14ac:dyDescent="0.3">
      <c r="A865">
        <v>854</v>
      </c>
      <c r="B865" t="s">
        <v>1682</v>
      </c>
      <c r="C865" t="s">
        <v>154</v>
      </c>
      <c r="D865" t="s">
        <v>1683</v>
      </c>
      <c r="E865" t="s">
        <v>399</v>
      </c>
      <c r="F865" t="s">
        <v>408</v>
      </c>
      <c r="G865">
        <v>3200</v>
      </c>
      <c r="H865">
        <v>3201</v>
      </c>
      <c r="I865" t="s">
        <v>402</v>
      </c>
      <c r="J865">
        <v>2800</v>
      </c>
      <c r="K865">
        <v>2801</v>
      </c>
      <c r="L865" t="s">
        <v>683</v>
      </c>
      <c r="M865">
        <v>0</v>
      </c>
      <c r="N865" t="s">
        <v>165</v>
      </c>
      <c r="O865" t="s">
        <v>165</v>
      </c>
      <c r="P865" t="s">
        <v>420</v>
      </c>
      <c r="Q865" t="s">
        <v>408</v>
      </c>
      <c r="R865" t="s">
        <v>1098</v>
      </c>
      <c r="S865">
        <v>2021</v>
      </c>
      <c r="T865">
        <v>9</v>
      </c>
      <c r="U865" t="s">
        <v>408</v>
      </c>
      <c r="V865" t="s">
        <v>408</v>
      </c>
      <c r="W865">
        <v>0</v>
      </c>
      <c r="X865">
        <v>0</v>
      </c>
      <c r="Y865" t="s">
        <v>408</v>
      </c>
      <c r="Z865">
        <v>2021</v>
      </c>
      <c r="AA865">
        <v>2021</v>
      </c>
      <c r="AB865">
        <v>0.50621115068099998</v>
      </c>
      <c r="AC865">
        <v>1.01242230136</v>
      </c>
      <c r="AD865" t="s">
        <v>408</v>
      </c>
      <c r="AE865" t="s">
        <v>152</v>
      </c>
      <c r="AF865" t="s">
        <v>408</v>
      </c>
      <c r="AG865" t="s">
        <v>152</v>
      </c>
      <c r="AH865" t="s">
        <v>408</v>
      </c>
      <c r="AI865" t="s">
        <v>408</v>
      </c>
      <c r="AJ865" t="s">
        <v>152</v>
      </c>
      <c r="AK865" t="s">
        <v>408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s="58">
        <f t="shared" si="13"/>
        <v>1</v>
      </c>
      <c r="AU865" t="s">
        <v>784</v>
      </c>
      <c r="AV865" t="s">
        <v>410</v>
      </c>
      <c r="AW865" t="s">
        <v>152</v>
      </c>
      <c r="AX865">
        <v>0</v>
      </c>
      <c r="AY865" t="s">
        <v>412</v>
      </c>
      <c r="AZ865" t="s">
        <v>408</v>
      </c>
    </row>
    <row r="866" spans="1:52" x14ac:dyDescent="0.3">
      <c r="A866">
        <v>855</v>
      </c>
      <c r="B866" t="s">
        <v>1857</v>
      </c>
      <c r="C866" t="s">
        <v>155</v>
      </c>
      <c r="D866" t="s">
        <v>1539</v>
      </c>
      <c r="E866" t="s">
        <v>460</v>
      </c>
      <c r="F866" t="s">
        <v>155</v>
      </c>
      <c r="G866" t="s">
        <v>408</v>
      </c>
      <c r="H866">
        <v>0</v>
      </c>
      <c r="I866" t="s">
        <v>492</v>
      </c>
      <c r="J866">
        <v>0</v>
      </c>
      <c r="K866">
        <v>0</v>
      </c>
      <c r="L866" t="s">
        <v>583</v>
      </c>
      <c r="M866">
        <v>0</v>
      </c>
      <c r="N866" t="s">
        <v>168</v>
      </c>
      <c r="O866" t="s">
        <v>170</v>
      </c>
      <c r="P866" t="s">
        <v>420</v>
      </c>
      <c r="Q866" t="s">
        <v>408</v>
      </c>
      <c r="R866" t="s">
        <v>782</v>
      </c>
      <c r="S866">
        <v>2021</v>
      </c>
      <c r="T866">
        <v>9</v>
      </c>
      <c r="U866" t="s">
        <v>408</v>
      </c>
      <c r="V866" t="s">
        <v>408</v>
      </c>
      <c r="W866">
        <v>0</v>
      </c>
      <c r="X866">
        <v>0</v>
      </c>
      <c r="Y866" t="s">
        <v>408</v>
      </c>
      <c r="Z866">
        <v>2021</v>
      </c>
      <c r="AA866">
        <v>0</v>
      </c>
      <c r="AB866">
        <v>7.0326022740999999E-2</v>
      </c>
      <c r="AC866">
        <v>0.140652045482</v>
      </c>
      <c r="AD866" t="s">
        <v>408</v>
      </c>
      <c r="AE866" t="s">
        <v>152</v>
      </c>
      <c r="AF866" t="s">
        <v>408</v>
      </c>
      <c r="AG866" t="s">
        <v>152</v>
      </c>
      <c r="AH866" t="s">
        <v>408</v>
      </c>
      <c r="AI866" t="s">
        <v>408</v>
      </c>
      <c r="AJ866" t="s">
        <v>408</v>
      </c>
      <c r="AK866" t="s">
        <v>408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0</v>
      </c>
      <c r="AT866" s="58">
        <f t="shared" si="13"/>
        <v>1</v>
      </c>
      <c r="AU866" t="s">
        <v>784</v>
      </c>
      <c r="AV866" t="s">
        <v>410</v>
      </c>
      <c r="AW866" t="s">
        <v>152</v>
      </c>
      <c r="AX866">
        <v>0</v>
      </c>
      <c r="AY866" t="s">
        <v>17</v>
      </c>
      <c r="AZ866" t="s">
        <v>400</v>
      </c>
    </row>
    <row r="867" spans="1:52" x14ac:dyDescent="0.3">
      <c r="A867">
        <v>856</v>
      </c>
      <c r="B867" t="s">
        <v>1857</v>
      </c>
      <c r="C867" t="s">
        <v>155</v>
      </c>
      <c r="D867" t="s">
        <v>1539</v>
      </c>
      <c r="E867" t="s">
        <v>460</v>
      </c>
      <c r="F867" t="s">
        <v>155</v>
      </c>
      <c r="G867" t="s">
        <v>408</v>
      </c>
      <c r="H867">
        <v>0</v>
      </c>
      <c r="I867" t="s">
        <v>583</v>
      </c>
      <c r="J867">
        <v>1900</v>
      </c>
      <c r="K867">
        <v>1901</v>
      </c>
      <c r="L867" t="s">
        <v>651</v>
      </c>
      <c r="M867">
        <v>0</v>
      </c>
      <c r="N867" t="s">
        <v>168</v>
      </c>
      <c r="O867" t="s">
        <v>168</v>
      </c>
      <c r="P867" t="s">
        <v>420</v>
      </c>
      <c r="Q867" t="s">
        <v>408</v>
      </c>
      <c r="R867" t="s">
        <v>782</v>
      </c>
      <c r="S867">
        <v>2021</v>
      </c>
      <c r="T867">
        <v>9</v>
      </c>
      <c r="U867" t="s">
        <v>1858</v>
      </c>
      <c r="V867" t="s">
        <v>408</v>
      </c>
      <c r="W867">
        <v>0</v>
      </c>
      <c r="X867">
        <v>0</v>
      </c>
      <c r="Y867" t="s">
        <v>408</v>
      </c>
      <c r="Z867">
        <v>2021</v>
      </c>
      <c r="AA867">
        <v>0</v>
      </c>
      <c r="AB867">
        <v>0.16661341347799999</v>
      </c>
      <c r="AC867">
        <v>0.33322682695599998</v>
      </c>
      <c r="AD867" t="s">
        <v>408</v>
      </c>
      <c r="AE867" t="s">
        <v>152</v>
      </c>
      <c r="AF867" t="s">
        <v>408</v>
      </c>
      <c r="AG867" t="s">
        <v>411</v>
      </c>
      <c r="AH867" t="s">
        <v>408</v>
      </c>
      <c r="AI867" t="s">
        <v>408</v>
      </c>
      <c r="AJ867" t="s">
        <v>408</v>
      </c>
      <c r="AK867" t="s">
        <v>408</v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s="58">
        <f t="shared" si="13"/>
        <v>1</v>
      </c>
      <c r="AU867" t="s">
        <v>784</v>
      </c>
      <c r="AV867" t="s">
        <v>410</v>
      </c>
      <c r="AW867" t="s">
        <v>152</v>
      </c>
      <c r="AX867">
        <v>0</v>
      </c>
      <c r="AY867" t="s">
        <v>17</v>
      </c>
      <c r="AZ867" t="s">
        <v>400</v>
      </c>
    </row>
    <row r="868" spans="1:52" x14ac:dyDescent="0.3">
      <c r="A868">
        <v>857</v>
      </c>
      <c r="B868" t="s">
        <v>1857</v>
      </c>
      <c r="C868" t="s">
        <v>155</v>
      </c>
      <c r="D868" t="s">
        <v>1539</v>
      </c>
      <c r="E868" t="s">
        <v>460</v>
      </c>
      <c r="F868" t="s">
        <v>155</v>
      </c>
      <c r="G868">
        <v>1900</v>
      </c>
      <c r="H868">
        <v>1901</v>
      </c>
      <c r="I868" t="s">
        <v>651</v>
      </c>
      <c r="J868">
        <v>0</v>
      </c>
      <c r="K868">
        <v>0</v>
      </c>
      <c r="L868" t="s">
        <v>656</v>
      </c>
      <c r="M868">
        <v>0</v>
      </c>
      <c r="N868" t="s">
        <v>168</v>
      </c>
      <c r="O868" t="s">
        <v>167</v>
      </c>
      <c r="P868" t="s">
        <v>420</v>
      </c>
      <c r="Q868" t="s">
        <v>408</v>
      </c>
      <c r="R868" t="s">
        <v>782</v>
      </c>
      <c r="S868">
        <v>2021</v>
      </c>
      <c r="T868">
        <v>9</v>
      </c>
      <c r="U868" t="s">
        <v>408</v>
      </c>
      <c r="V868" t="s">
        <v>408</v>
      </c>
      <c r="W868">
        <v>0</v>
      </c>
      <c r="X868">
        <v>0</v>
      </c>
      <c r="Y868" t="s">
        <v>408</v>
      </c>
      <c r="Z868">
        <v>2021</v>
      </c>
      <c r="AA868">
        <v>0</v>
      </c>
      <c r="AB868">
        <v>0.48846535939800001</v>
      </c>
      <c r="AC868">
        <v>0.48846535939800001</v>
      </c>
      <c r="AD868" t="s">
        <v>408</v>
      </c>
      <c r="AE868" t="s">
        <v>411</v>
      </c>
      <c r="AF868" t="s">
        <v>155</v>
      </c>
      <c r="AG868" t="s">
        <v>152</v>
      </c>
      <c r="AH868" t="s">
        <v>408</v>
      </c>
      <c r="AI868" t="s">
        <v>408</v>
      </c>
      <c r="AJ868" t="s">
        <v>408</v>
      </c>
      <c r="AK868" t="s">
        <v>408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 s="58">
        <f t="shared" si="13"/>
        <v>1</v>
      </c>
      <c r="AU868" t="s">
        <v>784</v>
      </c>
      <c r="AV868" t="s">
        <v>410</v>
      </c>
      <c r="AW868" t="s">
        <v>152</v>
      </c>
      <c r="AX868">
        <v>0</v>
      </c>
      <c r="AY868" t="s">
        <v>17</v>
      </c>
      <c r="AZ868" t="s">
        <v>400</v>
      </c>
    </row>
    <row r="869" spans="1:52" x14ac:dyDescent="0.3">
      <c r="A869">
        <v>858</v>
      </c>
      <c r="B869" t="s">
        <v>1859</v>
      </c>
      <c r="C869" t="s">
        <v>154</v>
      </c>
      <c r="D869" t="s">
        <v>1860</v>
      </c>
      <c r="E869" t="s">
        <v>417</v>
      </c>
      <c r="F869" t="s">
        <v>447</v>
      </c>
      <c r="G869" t="s">
        <v>408</v>
      </c>
      <c r="H869">
        <v>0</v>
      </c>
      <c r="I869" t="s">
        <v>1842</v>
      </c>
      <c r="J869">
        <v>0</v>
      </c>
      <c r="K869">
        <v>0</v>
      </c>
      <c r="L869" t="s">
        <v>660</v>
      </c>
      <c r="M869">
        <v>0</v>
      </c>
      <c r="N869" t="s">
        <v>168</v>
      </c>
      <c r="O869" t="s">
        <v>167</v>
      </c>
      <c r="P869" t="s">
        <v>420</v>
      </c>
      <c r="Q869" t="s">
        <v>408</v>
      </c>
      <c r="R869" t="s">
        <v>782</v>
      </c>
      <c r="S869">
        <v>2021</v>
      </c>
      <c r="T869">
        <v>9</v>
      </c>
      <c r="U869" t="s">
        <v>408</v>
      </c>
      <c r="V869" t="s">
        <v>408</v>
      </c>
      <c r="W869">
        <v>0</v>
      </c>
      <c r="X869">
        <v>0</v>
      </c>
      <c r="Y869" t="s">
        <v>408</v>
      </c>
      <c r="Z869">
        <v>2021</v>
      </c>
      <c r="AA869">
        <v>0</v>
      </c>
      <c r="AB869">
        <v>5.9593836045699997E-2</v>
      </c>
      <c r="AC869">
        <v>5.9593836045699997E-2</v>
      </c>
      <c r="AD869" t="s">
        <v>408</v>
      </c>
      <c r="AE869" t="s">
        <v>411</v>
      </c>
      <c r="AF869" t="s">
        <v>447</v>
      </c>
      <c r="AG869" t="s">
        <v>152</v>
      </c>
      <c r="AH869" t="s">
        <v>408</v>
      </c>
      <c r="AI869" t="s">
        <v>408</v>
      </c>
      <c r="AJ869" t="s">
        <v>408</v>
      </c>
      <c r="AK869" t="s">
        <v>408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0</v>
      </c>
      <c r="AT869" s="58">
        <f t="shared" si="13"/>
        <v>1</v>
      </c>
      <c r="AU869" t="s">
        <v>784</v>
      </c>
      <c r="AV869" t="s">
        <v>410</v>
      </c>
      <c r="AW869" t="s">
        <v>152</v>
      </c>
      <c r="AX869">
        <v>0</v>
      </c>
      <c r="AY869" t="s">
        <v>17</v>
      </c>
      <c r="AZ869" t="s">
        <v>408</v>
      </c>
    </row>
    <row r="870" spans="1:52" x14ac:dyDescent="0.3">
      <c r="A870">
        <v>859</v>
      </c>
      <c r="B870" t="s">
        <v>1861</v>
      </c>
      <c r="C870" t="s">
        <v>155</v>
      </c>
      <c r="D870" t="s">
        <v>1862</v>
      </c>
      <c r="E870" t="s">
        <v>460</v>
      </c>
      <c r="F870" t="s">
        <v>152</v>
      </c>
      <c r="G870">
        <v>1900</v>
      </c>
      <c r="H870">
        <v>1901</v>
      </c>
      <c r="I870" t="s">
        <v>651</v>
      </c>
      <c r="J870">
        <v>0</v>
      </c>
      <c r="K870">
        <v>0</v>
      </c>
      <c r="L870" t="s">
        <v>656</v>
      </c>
      <c r="M870">
        <v>0</v>
      </c>
      <c r="N870" t="s">
        <v>168</v>
      </c>
      <c r="O870" t="s">
        <v>167</v>
      </c>
      <c r="P870" t="s">
        <v>420</v>
      </c>
      <c r="Q870" t="s">
        <v>408</v>
      </c>
      <c r="R870" t="s">
        <v>782</v>
      </c>
      <c r="S870">
        <v>2021</v>
      </c>
      <c r="T870">
        <v>9</v>
      </c>
      <c r="U870" t="s">
        <v>408</v>
      </c>
      <c r="V870" t="s">
        <v>408</v>
      </c>
      <c r="W870">
        <v>0</v>
      </c>
      <c r="X870">
        <v>0</v>
      </c>
      <c r="Y870" t="s">
        <v>408</v>
      </c>
      <c r="Z870">
        <v>2021</v>
      </c>
      <c r="AA870">
        <v>0</v>
      </c>
      <c r="AB870">
        <v>0.53616345338399996</v>
      </c>
      <c r="AC870">
        <v>0.53616345338399996</v>
      </c>
      <c r="AD870" t="s">
        <v>408</v>
      </c>
      <c r="AE870" t="s">
        <v>411</v>
      </c>
      <c r="AF870" t="s">
        <v>152</v>
      </c>
      <c r="AG870" t="s">
        <v>152</v>
      </c>
      <c r="AH870" t="s">
        <v>408</v>
      </c>
      <c r="AI870" t="s">
        <v>408</v>
      </c>
      <c r="AJ870" t="s">
        <v>408</v>
      </c>
      <c r="AK870" t="s">
        <v>408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0</v>
      </c>
      <c r="AS870">
        <v>0</v>
      </c>
      <c r="AT870" s="58">
        <f t="shared" si="13"/>
        <v>1</v>
      </c>
      <c r="AU870" t="s">
        <v>1808</v>
      </c>
      <c r="AV870" t="s">
        <v>410</v>
      </c>
      <c r="AW870" t="s">
        <v>152</v>
      </c>
      <c r="AX870">
        <v>0</v>
      </c>
      <c r="AY870" t="s">
        <v>17</v>
      </c>
      <c r="AZ870" t="s">
        <v>400</v>
      </c>
    </row>
    <row r="871" spans="1:52" x14ac:dyDescent="0.3">
      <c r="A871">
        <v>860</v>
      </c>
      <c r="B871" t="s">
        <v>992</v>
      </c>
      <c r="C871" t="s">
        <v>154</v>
      </c>
      <c r="D871" t="s">
        <v>993</v>
      </c>
      <c r="E871" t="s">
        <v>466</v>
      </c>
      <c r="F871" t="s">
        <v>400</v>
      </c>
      <c r="G871" t="s">
        <v>408</v>
      </c>
      <c r="H871">
        <v>0</v>
      </c>
      <c r="I871" t="s">
        <v>1273</v>
      </c>
      <c r="J871">
        <v>0</v>
      </c>
      <c r="K871">
        <v>0</v>
      </c>
      <c r="L871" t="s">
        <v>619</v>
      </c>
      <c r="M871">
        <v>0</v>
      </c>
      <c r="N871" t="s">
        <v>163</v>
      </c>
      <c r="O871" t="s">
        <v>995</v>
      </c>
      <c r="P871" t="s">
        <v>403</v>
      </c>
      <c r="Q871" t="s">
        <v>408</v>
      </c>
      <c r="R871" t="s">
        <v>740</v>
      </c>
      <c r="S871">
        <v>2022</v>
      </c>
      <c r="T871">
        <v>9</v>
      </c>
      <c r="U871" t="s">
        <v>996</v>
      </c>
      <c r="V871" t="s">
        <v>408</v>
      </c>
      <c r="W871">
        <v>0</v>
      </c>
      <c r="X871">
        <v>0</v>
      </c>
      <c r="Y871" t="s">
        <v>408</v>
      </c>
      <c r="Z871">
        <v>2021</v>
      </c>
      <c r="AA871">
        <v>0</v>
      </c>
      <c r="AB871">
        <v>0.154389533247</v>
      </c>
      <c r="AC871">
        <v>0.308779066494</v>
      </c>
      <c r="AD871" t="s">
        <v>400</v>
      </c>
      <c r="AE871" t="s">
        <v>152</v>
      </c>
      <c r="AF871" t="s">
        <v>400</v>
      </c>
      <c r="AG871" t="s">
        <v>152</v>
      </c>
      <c r="AH871" t="s">
        <v>408</v>
      </c>
      <c r="AI871" t="s">
        <v>744</v>
      </c>
      <c r="AJ871" t="s">
        <v>152</v>
      </c>
      <c r="AK871" t="s">
        <v>408</v>
      </c>
      <c r="AL871">
        <v>2022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s="58">
        <f t="shared" si="13"/>
        <v>1</v>
      </c>
      <c r="AU871" t="s">
        <v>457</v>
      </c>
      <c r="AV871" t="s">
        <v>410</v>
      </c>
      <c r="AW871" t="s">
        <v>411</v>
      </c>
      <c r="AX871">
        <v>2</v>
      </c>
      <c r="AY871" t="s">
        <v>412</v>
      </c>
      <c r="AZ871" t="s">
        <v>408</v>
      </c>
    </row>
    <row r="872" spans="1:52" x14ac:dyDescent="0.3">
      <c r="A872">
        <v>861</v>
      </c>
      <c r="B872" t="s">
        <v>1271</v>
      </c>
      <c r="C872" t="s">
        <v>154</v>
      </c>
      <c r="D872" t="s">
        <v>1272</v>
      </c>
      <c r="E872" t="s">
        <v>417</v>
      </c>
      <c r="F872" t="s">
        <v>447</v>
      </c>
      <c r="G872" t="s">
        <v>408</v>
      </c>
      <c r="H872">
        <v>0</v>
      </c>
      <c r="I872" t="s">
        <v>780</v>
      </c>
      <c r="J872">
        <v>0</v>
      </c>
      <c r="K872">
        <v>0</v>
      </c>
      <c r="L872" t="s">
        <v>1068</v>
      </c>
      <c r="M872">
        <v>0</v>
      </c>
      <c r="N872" t="s">
        <v>168</v>
      </c>
      <c r="O872" t="s">
        <v>168</v>
      </c>
      <c r="P872" t="s">
        <v>420</v>
      </c>
      <c r="Q872" t="s">
        <v>408</v>
      </c>
      <c r="R872" t="s">
        <v>782</v>
      </c>
      <c r="S872">
        <v>2021</v>
      </c>
      <c r="T872">
        <v>10</v>
      </c>
      <c r="U872" t="s">
        <v>1858</v>
      </c>
      <c r="V872" t="s">
        <v>408</v>
      </c>
      <c r="W872">
        <v>0</v>
      </c>
      <c r="X872">
        <v>0</v>
      </c>
      <c r="Y872" t="s">
        <v>408</v>
      </c>
      <c r="Z872">
        <v>2021</v>
      </c>
      <c r="AA872">
        <v>0</v>
      </c>
      <c r="AB872">
        <v>2.0225681959299999</v>
      </c>
      <c r="AC872">
        <v>4.0451363918599998</v>
      </c>
      <c r="AD872" t="s">
        <v>408</v>
      </c>
      <c r="AE872" t="s">
        <v>152</v>
      </c>
      <c r="AF872" t="s">
        <v>408</v>
      </c>
      <c r="AG872" t="s">
        <v>411</v>
      </c>
      <c r="AH872" t="s">
        <v>408</v>
      </c>
      <c r="AI872" t="s">
        <v>408</v>
      </c>
      <c r="AJ872" t="s">
        <v>408</v>
      </c>
      <c r="AK872" t="s">
        <v>408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s="58">
        <f t="shared" si="13"/>
        <v>1</v>
      </c>
      <c r="AU872" t="s">
        <v>1863</v>
      </c>
      <c r="AV872" t="s">
        <v>410</v>
      </c>
      <c r="AW872" t="s">
        <v>152</v>
      </c>
      <c r="AX872">
        <v>0</v>
      </c>
      <c r="AY872" t="s">
        <v>17</v>
      </c>
      <c r="AZ872" t="s">
        <v>400</v>
      </c>
    </row>
    <row r="873" spans="1:52" x14ac:dyDescent="0.3">
      <c r="A873">
        <v>862</v>
      </c>
      <c r="B873" t="s">
        <v>1271</v>
      </c>
      <c r="C873" t="s">
        <v>154</v>
      </c>
      <c r="D873" t="s">
        <v>1272</v>
      </c>
      <c r="E873" t="s">
        <v>417</v>
      </c>
      <c r="F873" t="s">
        <v>408</v>
      </c>
      <c r="G873" t="s">
        <v>408</v>
      </c>
      <c r="H873">
        <v>0</v>
      </c>
      <c r="I873" t="s">
        <v>1068</v>
      </c>
      <c r="J873">
        <v>0</v>
      </c>
      <c r="K873">
        <v>0</v>
      </c>
      <c r="L873" t="s">
        <v>1864</v>
      </c>
      <c r="M873">
        <v>0</v>
      </c>
      <c r="N873" t="s">
        <v>168</v>
      </c>
      <c r="O873" t="s">
        <v>170</v>
      </c>
      <c r="P873" t="s">
        <v>420</v>
      </c>
      <c r="Q873" t="s">
        <v>408</v>
      </c>
      <c r="R873" t="s">
        <v>782</v>
      </c>
      <c r="S873">
        <v>2021</v>
      </c>
      <c r="T873">
        <v>10</v>
      </c>
      <c r="U873" t="s">
        <v>408</v>
      </c>
      <c r="V873" t="s">
        <v>408</v>
      </c>
      <c r="W873">
        <v>0</v>
      </c>
      <c r="X873">
        <v>0</v>
      </c>
      <c r="Y873" t="s">
        <v>408</v>
      </c>
      <c r="Z873">
        <v>2021</v>
      </c>
      <c r="AA873">
        <v>0</v>
      </c>
      <c r="AB873">
        <v>0.37952500104999998</v>
      </c>
      <c r="AC873">
        <v>0.75905000209999995</v>
      </c>
      <c r="AD873" t="s">
        <v>408</v>
      </c>
      <c r="AE873" t="s">
        <v>152</v>
      </c>
      <c r="AF873" t="s">
        <v>408</v>
      </c>
      <c r="AG873" t="s">
        <v>152</v>
      </c>
      <c r="AH873" t="s">
        <v>408</v>
      </c>
      <c r="AI873" t="s">
        <v>408</v>
      </c>
      <c r="AJ873" t="s">
        <v>408</v>
      </c>
      <c r="AK873" t="s">
        <v>408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s="58">
        <f t="shared" si="13"/>
        <v>1</v>
      </c>
      <c r="AU873" t="s">
        <v>784</v>
      </c>
      <c r="AV873" t="s">
        <v>410</v>
      </c>
      <c r="AW873" t="s">
        <v>152</v>
      </c>
      <c r="AX873">
        <v>0</v>
      </c>
      <c r="AY873" t="s">
        <v>17</v>
      </c>
      <c r="AZ873" t="s">
        <v>400</v>
      </c>
    </row>
    <row r="874" spans="1:52" x14ac:dyDescent="0.3">
      <c r="A874">
        <v>863</v>
      </c>
      <c r="B874" t="s">
        <v>1271</v>
      </c>
      <c r="C874" t="s">
        <v>154</v>
      </c>
      <c r="D874" t="s">
        <v>1272</v>
      </c>
      <c r="E874" t="s">
        <v>417</v>
      </c>
      <c r="F874" t="s">
        <v>447</v>
      </c>
      <c r="G874" t="s">
        <v>408</v>
      </c>
      <c r="H874">
        <v>0</v>
      </c>
      <c r="I874" t="s">
        <v>1864</v>
      </c>
      <c r="J874">
        <v>0</v>
      </c>
      <c r="K874">
        <v>0</v>
      </c>
      <c r="L874" t="s">
        <v>1478</v>
      </c>
      <c r="M874">
        <v>0</v>
      </c>
      <c r="N874" t="s">
        <v>168</v>
      </c>
      <c r="O874" t="s">
        <v>168</v>
      </c>
      <c r="P874" t="s">
        <v>420</v>
      </c>
      <c r="Q874" t="s">
        <v>408</v>
      </c>
      <c r="R874" t="s">
        <v>782</v>
      </c>
      <c r="S874">
        <v>2021</v>
      </c>
      <c r="T874">
        <v>10</v>
      </c>
      <c r="U874" t="s">
        <v>1858</v>
      </c>
      <c r="V874" t="s">
        <v>408</v>
      </c>
      <c r="W874">
        <v>0</v>
      </c>
      <c r="X874">
        <v>0</v>
      </c>
      <c r="Y874" t="s">
        <v>408</v>
      </c>
      <c r="Z874">
        <v>2021</v>
      </c>
      <c r="AA874">
        <v>0</v>
      </c>
      <c r="AB874">
        <v>6.2967123297200001E-2</v>
      </c>
      <c r="AC874">
        <v>0.12593424659399999</v>
      </c>
      <c r="AD874" t="s">
        <v>408</v>
      </c>
      <c r="AE874" t="s">
        <v>152</v>
      </c>
      <c r="AF874" t="s">
        <v>408</v>
      </c>
      <c r="AG874" t="s">
        <v>411</v>
      </c>
      <c r="AH874" t="s">
        <v>408</v>
      </c>
      <c r="AI874" t="s">
        <v>408</v>
      </c>
      <c r="AJ874" t="s">
        <v>408</v>
      </c>
      <c r="AK874" t="s">
        <v>408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 s="58">
        <f t="shared" si="13"/>
        <v>1</v>
      </c>
      <c r="AU874" t="s">
        <v>784</v>
      </c>
      <c r="AV874" t="s">
        <v>410</v>
      </c>
      <c r="AW874" t="s">
        <v>152</v>
      </c>
      <c r="AX874">
        <v>0</v>
      </c>
      <c r="AY874" t="s">
        <v>17</v>
      </c>
      <c r="AZ874" t="s">
        <v>400</v>
      </c>
    </row>
    <row r="875" spans="1:52" x14ac:dyDescent="0.3">
      <c r="A875">
        <v>864</v>
      </c>
      <c r="B875" t="s">
        <v>1271</v>
      </c>
      <c r="C875" t="s">
        <v>154</v>
      </c>
      <c r="D875" t="s">
        <v>1272</v>
      </c>
      <c r="E875" t="s">
        <v>417</v>
      </c>
      <c r="F875" t="s">
        <v>447</v>
      </c>
      <c r="G875" t="s">
        <v>408</v>
      </c>
      <c r="H875">
        <v>0</v>
      </c>
      <c r="I875" t="s">
        <v>1478</v>
      </c>
      <c r="J875">
        <v>0</v>
      </c>
      <c r="K875">
        <v>0</v>
      </c>
      <c r="L875" t="s">
        <v>1865</v>
      </c>
      <c r="M875">
        <v>0</v>
      </c>
      <c r="N875" t="s">
        <v>168</v>
      </c>
      <c r="O875" t="s">
        <v>170</v>
      </c>
      <c r="P875" t="s">
        <v>420</v>
      </c>
      <c r="Q875" t="s">
        <v>408</v>
      </c>
      <c r="R875" t="s">
        <v>782</v>
      </c>
      <c r="S875">
        <v>2021</v>
      </c>
      <c r="T875">
        <v>10</v>
      </c>
      <c r="U875" t="s">
        <v>408</v>
      </c>
      <c r="V875" t="s">
        <v>408</v>
      </c>
      <c r="W875">
        <v>0</v>
      </c>
      <c r="X875">
        <v>0</v>
      </c>
      <c r="Y875" t="s">
        <v>408</v>
      </c>
      <c r="Z875">
        <v>2021</v>
      </c>
      <c r="AA875">
        <v>0</v>
      </c>
      <c r="AB875">
        <v>0.39075825301299999</v>
      </c>
      <c r="AC875">
        <v>0.39075825301299999</v>
      </c>
      <c r="AD875" t="s">
        <v>408</v>
      </c>
      <c r="AE875" t="s">
        <v>411</v>
      </c>
      <c r="AF875" t="s">
        <v>447</v>
      </c>
      <c r="AG875" t="s">
        <v>152</v>
      </c>
      <c r="AH875" t="s">
        <v>408</v>
      </c>
      <c r="AI875" t="s">
        <v>408</v>
      </c>
      <c r="AJ875" t="s">
        <v>408</v>
      </c>
      <c r="AK875" t="s">
        <v>408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 s="58">
        <f t="shared" si="13"/>
        <v>1</v>
      </c>
      <c r="AU875" t="s">
        <v>784</v>
      </c>
      <c r="AV875" t="s">
        <v>410</v>
      </c>
      <c r="AW875" t="s">
        <v>152</v>
      </c>
      <c r="AX875">
        <v>0</v>
      </c>
      <c r="AY875" t="s">
        <v>17</v>
      </c>
      <c r="AZ875" t="s">
        <v>400</v>
      </c>
    </row>
    <row r="876" spans="1:52" x14ac:dyDescent="0.3">
      <c r="A876">
        <v>865</v>
      </c>
      <c r="B876" t="s">
        <v>1866</v>
      </c>
      <c r="C876" t="s">
        <v>152</v>
      </c>
      <c r="D876" t="s">
        <v>1867</v>
      </c>
      <c r="E876" t="s">
        <v>460</v>
      </c>
      <c r="F876" t="s">
        <v>152</v>
      </c>
      <c r="G876" t="s">
        <v>408</v>
      </c>
      <c r="H876">
        <v>0</v>
      </c>
      <c r="I876" t="s">
        <v>804</v>
      </c>
      <c r="J876">
        <v>0</v>
      </c>
      <c r="K876">
        <v>0</v>
      </c>
      <c r="L876" t="s">
        <v>474</v>
      </c>
      <c r="M876">
        <v>0</v>
      </c>
      <c r="N876" t="s">
        <v>168</v>
      </c>
      <c r="O876" t="s">
        <v>170</v>
      </c>
      <c r="P876" t="s">
        <v>420</v>
      </c>
      <c r="Q876" t="s">
        <v>408</v>
      </c>
      <c r="R876" t="s">
        <v>782</v>
      </c>
      <c r="S876">
        <v>2021</v>
      </c>
      <c r="T876">
        <v>10</v>
      </c>
      <c r="U876" t="s">
        <v>408</v>
      </c>
      <c r="V876" t="s">
        <v>408</v>
      </c>
      <c r="W876">
        <v>0</v>
      </c>
      <c r="X876">
        <v>0</v>
      </c>
      <c r="Y876" t="s">
        <v>408</v>
      </c>
      <c r="Z876">
        <v>2021</v>
      </c>
      <c r="AA876">
        <v>0</v>
      </c>
      <c r="AB876">
        <v>3.7011834496999997E-2</v>
      </c>
      <c r="AC876">
        <v>3.7011834496999997E-2</v>
      </c>
      <c r="AD876" t="s">
        <v>408</v>
      </c>
      <c r="AE876" t="s">
        <v>411</v>
      </c>
      <c r="AF876" t="s">
        <v>152</v>
      </c>
      <c r="AG876" t="s">
        <v>152</v>
      </c>
      <c r="AH876" t="s">
        <v>408</v>
      </c>
      <c r="AI876" t="s">
        <v>408</v>
      </c>
      <c r="AJ876" t="s">
        <v>408</v>
      </c>
      <c r="AK876" t="s">
        <v>408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s="58">
        <f t="shared" si="13"/>
        <v>1</v>
      </c>
      <c r="AU876" t="s">
        <v>784</v>
      </c>
      <c r="AV876" t="s">
        <v>410</v>
      </c>
      <c r="AW876" t="s">
        <v>152</v>
      </c>
      <c r="AX876">
        <v>0</v>
      </c>
      <c r="AY876" t="s">
        <v>17</v>
      </c>
      <c r="AZ876" t="s">
        <v>400</v>
      </c>
    </row>
    <row r="877" spans="1:52" x14ac:dyDescent="0.3">
      <c r="A877">
        <v>866</v>
      </c>
      <c r="B877" t="s">
        <v>720</v>
      </c>
      <c r="C877" t="s">
        <v>152</v>
      </c>
      <c r="D877" t="s">
        <v>721</v>
      </c>
      <c r="E877" t="s">
        <v>460</v>
      </c>
      <c r="F877" t="s">
        <v>408</v>
      </c>
      <c r="G877" t="s">
        <v>408</v>
      </c>
      <c r="H877">
        <v>0</v>
      </c>
      <c r="I877" t="s">
        <v>1125</v>
      </c>
      <c r="J877">
        <v>0</v>
      </c>
      <c r="K877">
        <v>0</v>
      </c>
      <c r="L877" t="s">
        <v>1820</v>
      </c>
      <c r="M877">
        <v>0</v>
      </c>
      <c r="N877" t="s">
        <v>170</v>
      </c>
      <c r="O877" t="s">
        <v>170</v>
      </c>
      <c r="P877" t="s">
        <v>420</v>
      </c>
      <c r="Q877" t="s">
        <v>408</v>
      </c>
      <c r="R877" t="s">
        <v>713</v>
      </c>
      <c r="S877">
        <v>2021</v>
      </c>
      <c r="T877">
        <v>6</v>
      </c>
      <c r="U877" t="s">
        <v>408</v>
      </c>
      <c r="V877" t="s">
        <v>408</v>
      </c>
      <c r="W877">
        <v>0</v>
      </c>
      <c r="X877">
        <v>0</v>
      </c>
      <c r="Y877" t="s">
        <v>408</v>
      </c>
      <c r="Z877">
        <v>2021</v>
      </c>
      <c r="AA877">
        <v>2021</v>
      </c>
      <c r="AB877">
        <v>6.4449903928399999E-2</v>
      </c>
      <c r="AC877">
        <v>0.128899807857</v>
      </c>
      <c r="AD877" t="s">
        <v>408</v>
      </c>
      <c r="AE877" t="s">
        <v>152</v>
      </c>
      <c r="AF877" t="s">
        <v>408</v>
      </c>
      <c r="AG877" t="s">
        <v>152</v>
      </c>
      <c r="AH877" t="s">
        <v>408</v>
      </c>
      <c r="AI877" t="s">
        <v>408</v>
      </c>
      <c r="AJ877" t="s">
        <v>408</v>
      </c>
      <c r="AK877" t="s">
        <v>408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0</v>
      </c>
      <c r="AT877" s="58">
        <f t="shared" si="13"/>
        <v>1</v>
      </c>
      <c r="AU877" t="s">
        <v>1831</v>
      </c>
      <c r="AV877" t="s">
        <v>410</v>
      </c>
      <c r="AW877" t="s">
        <v>152</v>
      </c>
      <c r="AX877">
        <v>0</v>
      </c>
      <c r="AY877" t="s">
        <v>412</v>
      </c>
      <c r="AZ877" t="s">
        <v>408</v>
      </c>
    </row>
    <row r="878" spans="1:52" x14ac:dyDescent="0.3">
      <c r="A878">
        <v>867</v>
      </c>
      <c r="B878" t="s">
        <v>1868</v>
      </c>
      <c r="C878" t="s">
        <v>152</v>
      </c>
      <c r="D878" t="s">
        <v>1869</v>
      </c>
      <c r="E878" t="s">
        <v>460</v>
      </c>
      <c r="F878" t="s">
        <v>408</v>
      </c>
      <c r="G878" t="s">
        <v>408</v>
      </c>
      <c r="H878">
        <v>0</v>
      </c>
      <c r="I878" t="s">
        <v>479</v>
      </c>
      <c r="J878">
        <v>0</v>
      </c>
      <c r="K878">
        <v>0</v>
      </c>
      <c r="L878" t="s">
        <v>573</v>
      </c>
      <c r="M878">
        <v>0</v>
      </c>
      <c r="N878" t="s">
        <v>167</v>
      </c>
      <c r="O878" t="s">
        <v>167</v>
      </c>
      <c r="P878" t="s">
        <v>420</v>
      </c>
      <c r="Q878" t="s">
        <v>408</v>
      </c>
      <c r="R878" t="s">
        <v>782</v>
      </c>
      <c r="S878">
        <v>2021</v>
      </c>
      <c r="T878">
        <v>8</v>
      </c>
      <c r="U878" t="s">
        <v>783</v>
      </c>
      <c r="V878" t="s">
        <v>408</v>
      </c>
      <c r="W878">
        <v>0</v>
      </c>
      <c r="X878">
        <v>0</v>
      </c>
      <c r="Y878" t="s">
        <v>408</v>
      </c>
      <c r="Z878">
        <v>2021</v>
      </c>
      <c r="AA878">
        <v>0</v>
      </c>
      <c r="AB878">
        <v>2.0070551674099999</v>
      </c>
      <c r="AC878">
        <v>4.0141103348199998</v>
      </c>
      <c r="AD878" t="s">
        <v>408</v>
      </c>
      <c r="AE878" t="s">
        <v>152</v>
      </c>
      <c r="AF878" t="s">
        <v>408</v>
      </c>
      <c r="AG878" t="s">
        <v>152</v>
      </c>
      <c r="AH878" t="s">
        <v>408</v>
      </c>
      <c r="AI878" t="s">
        <v>408</v>
      </c>
      <c r="AJ878" t="s">
        <v>408</v>
      </c>
      <c r="AK878" t="s">
        <v>408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 s="58">
        <f t="shared" si="13"/>
        <v>1</v>
      </c>
      <c r="AU878" t="s">
        <v>1831</v>
      </c>
      <c r="AV878" t="s">
        <v>410</v>
      </c>
      <c r="AW878" t="s">
        <v>152</v>
      </c>
      <c r="AX878">
        <v>0</v>
      </c>
      <c r="AY878" t="s">
        <v>412</v>
      </c>
      <c r="AZ878" t="s">
        <v>408</v>
      </c>
    </row>
    <row r="879" spans="1:52" x14ac:dyDescent="0.3">
      <c r="A879">
        <v>868</v>
      </c>
      <c r="B879" t="s">
        <v>709</v>
      </c>
      <c r="C879" t="s">
        <v>154</v>
      </c>
      <c r="D879" t="s">
        <v>710</v>
      </c>
      <c r="E879" t="s">
        <v>460</v>
      </c>
      <c r="F879" t="s">
        <v>400</v>
      </c>
      <c r="G879" t="s">
        <v>408</v>
      </c>
      <c r="H879">
        <v>0</v>
      </c>
      <c r="I879" t="s">
        <v>1081</v>
      </c>
      <c r="J879">
        <v>0</v>
      </c>
      <c r="K879">
        <v>0</v>
      </c>
      <c r="L879" t="s">
        <v>1136</v>
      </c>
      <c r="M879">
        <v>0</v>
      </c>
      <c r="N879" t="s">
        <v>167</v>
      </c>
      <c r="O879" t="s">
        <v>569</v>
      </c>
      <c r="P879" t="s">
        <v>403</v>
      </c>
      <c r="Q879" t="s">
        <v>408</v>
      </c>
      <c r="R879" t="s">
        <v>1870</v>
      </c>
      <c r="S879">
        <v>2022</v>
      </c>
      <c r="T879">
        <v>8</v>
      </c>
      <c r="U879" t="s">
        <v>408</v>
      </c>
      <c r="V879" t="s">
        <v>408</v>
      </c>
      <c r="W879">
        <v>0</v>
      </c>
      <c r="X879">
        <v>0</v>
      </c>
      <c r="Y879" t="s">
        <v>408</v>
      </c>
      <c r="Z879">
        <v>2022</v>
      </c>
      <c r="AA879">
        <v>0</v>
      </c>
      <c r="AB879">
        <v>0.50505735518999995</v>
      </c>
      <c r="AC879">
        <v>1.0101147103799999</v>
      </c>
      <c r="AD879" t="s">
        <v>400</v>
      </c>
      <c r="AE879" t="s">
        <v>400</v>
      </c>
      <c r="AF879" t="s">
        <v>400</v>
      </c>
      <c r="AG879" t="s">
        <v>400</v>
      </c>
      <c r="AH879" t="s">
        <v>400</v>
      </c>
      <c r="AI879" t="s">
        <v>400</v>
      </c>
      <c r="AJ879" t="s">
        <v>400</v>
      </c>
      <c r="AK879" t="s">
        <v>400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s="58">
        <f t="shared" si="13"/>
        <v>1</v>
      </c>
      <c r="AU879" t="s">
        <v>597</v>
      </c>
      <c r="AV879" t="s">
        <v>410</v>
      </c>
      <c r="AW879" t="s">
        <v>400</v>
      </c>
      <c r="AX879">
        <v>0</v>
      </c>
      <c r="AY879" t="s">
        <v>412</v>
      </c>
      <c r="AZ879">
        <v>30</v>
      </c>
    </row>
    <row r="880" spans="1:52" x14ac:dyDescent="0.3">
      <c r="A880">
        <v>869</v>
      </c>
      <c r="B880" t="s">
        <v>1871</v>
      </c>
      <c r="C880" t="s">
        <v>154</v>
      </c>
      <c r="D880" t="s">
        <v>1872</v>
      </c>
      <c r="E880" t="s">
        <v>460</v>
      </c>
      <c r="F880" t="s">
        <v>408</v>
      </c>
      <c r="G880" t="s">
        <v>408</v>
      </c>
      <c r="H880">
        <v>0</v>
      </c>
      <c r="I880" t="s">
        <v>545</v>
      </c>
      <c r="J880">
        <v>0</v>
      </c>
      <c r="K880">
        <v>0</v>
      </c>
      <c r="L880" t="s">
        <v>718</v>
      </c>
      <c r="M880">
        <v>0</v>
      </c>
      <c r="N880" t="s">
        <v>170</v>
      </c>
      <c r="O880" t="s">
        <v>170</v>
      </c>
      <c r="P880" t="s">
        <v>420</v>
      </c>
      <c r="Q880" t="s">
        <v>408</v>
      </c>
      <c r="R880" t="s">
        <v>971</v>
      </c>
      <c r="S880">
        <v>2021</v>
      </c>
      <c r="T880">
        <v>10</v>
      </c>
      <c r="U880" t="s">
        <v>1873</v>
      </c>
      <c r="V880" t="s">
        <v>408</v>
      </c>
      <c r="W880">
        <v>0</v>
      </c>
      <c r="X880">
        <v>0</v>
      </c>
      <c r="Y880" t="s">
        <v>408</v>
      </c>
      <c r="Z880">
        <v>2021</v>
      </c>
      <c r="AA880">
        <v>0</v>
      </c>
      <c r="AB880">
        <v>3.8580289238700001E-2</v>
      </c>
      <c r="AC880">
        <v>7.7160578477400002E-2</v>
      </c>
      <c r="AD880" t="s">
        <v>408</v>
      </c>
      <c r="AE880" t="s">
        <v>152</v>
      </c>
      <c r="AF880" t="s">
        <v>408</v>
      </c>
      <c r="AG880" t="s">
        <v>152</v>
      </c>
      <c r="AH880" t="s">
        <v>408</v>
      </c>
      <c r="AI880" t="s">
        <v>408</v>
      </c>
      <c r="AJ880" t="s">
        <v>408</v>
      </c>
      <c r="AK880" t="s">
        <v>408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s="58">
        <f t="shared" si="13"/>
        <v>1</v>
      </c>
      <c r="AU880" t="s">
        <v>1808</v>
      </c>
      <c r="AV880" t="s">
        <v>410</v>
      </c>
      <c r="AW880" t="s">
        <v>400</v>
      </c>
      <c r="AX880">
        <v>0</v>
      </c>
      <c r="AY880" t="s">
        <v>412</v>
      </c>
      <c r="AZ880">
        <v>20</v>
      </c>
    </row>
    <row r="881" spans="1:52" x14ac:dyDescent="0.3">
      <c r="A881">
        <v>870</v>
      </c>
      <c r="B881" t="s">
        <v>1857</v>
      </c>
      <c r="C881" t="s">
        <v>155</v>
      </c>
      <c r="D881" t="s">
        <v>1539</v>
      </c>
      <c r="E881" t="s">
        <v>460</v>
      </c>
      <c r="F881" t="s">
        <v>155</v>
      </c>
      <c r="G881" t="s">
        <v>408</v>
      </c>
      <c r="H881">
        <v>0</v>
      </c>
      <c r="I881" t="s">
        <v>656</v>
      </c>
      <c r="J881">
        <v>0</v>
      </c>
      <c r="K881">
        <v>0</v>
      </c>
      <c r="L881" t="s">
        <v>656</v>
      </c>
      <c r="M881">
        <v>0</v>
      </c>
      <c r="N881" t="s">
        <v>168</v>
      </c>
      <c r="O881" t="s">
        <v>168</v>
      </c>
      <c r="P881" t="s">
        <v>420</v>
      </c>
      <c r="Q881" t="s">
        <v>408</v>
      </c>
      <c r="R881" t="s">
        <v>657</v>
      </c>
      <c r="S881">
        <v>2021</v>
      </c>
      <c r="T881">
        <v>11</v>
      </c>
      <c r="U881" t="s">
        <v>408</v>
      </c>
      <c r="V881" t="s">
        <v>408</v>
      </c>
      <c r="W881">
        <v>0</v>
      </c>
      <c r="X881">
        <v>0</v>
      </c>
      <c r="Y881" t="s">
        <v>408</v>
      </c>
      <c r="Z881">
        <v>2021</v>
      </c>
      <c r="AA881">
        <v>0</v>
      </c>
      <c r="AB881">
        <v>0.109576428643</v>
      </c>
      <c r="AC881">
        <v>0.109576428643</v>
      </c>
      <c r="AD881" t="s">
        <v>408</v>
      </c>
      <c r="AE881" t="s">
        <v>411</v>
      </c>
      <c r="AF881" t="s">
        <v>155</v>
      </c>
      <c r="AG881" t="s">
        <v>152</v>
      </c>
      <c r="AH881" t="s">
        <v>408</v>
      </c>
      <c r="AI881" t="s">
        <v>408</v>
      </c>
      <c r="AJ881" t="s">
        <v>408</v>
      </c>
      <c r="AK881" t="s">
        <v>408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 s="58">
        <f t="shared" si="13"/>
        <v>1</v>
      </c>
      <c r="AU881" t="s">
        <v>1808</v>
      </c>
      <c r="AV881" t="s">
        <v>410</v>
      </c>
      <c r="AW881" t="s">
        <v>152</v>
      </c>
      <c r="AX881">
        <v>0</v>
      </c>
      <c r="AY881" t="s">
        <v>17</v>
      </c>
      <c r="AZ881" t="s">
        <v>408</v>
      </c>
    </row>
    <row r="882" spans="1:52" x14ac:dyDescent="0.3">
      <c r="A882">
        <v>871</v>
      </c>
      <c r="B882" t="s">
        <v>659</v>
      </c>
      <c r="C882" t="s">
        <v>154</v>
      </c>
      <c r="D882" t="s">
        <v>317</v>
      </c>
      <c r="E882" t="s">
        <v>466</v>
      </c>
      <c r="F882" t="s">
        <v>447</v>
      </c>
      <c r="G882" t="s">
        <v>408</v>
      </c>
      <c r="H882">
        <v>0</v>
      </c>
      <c r="I882" t="s">
        <v>1842</v>
      </c>
      <c r="J882">
        <v>0</v>
      </c>
      <c r="K882">
        <v>0</v>
      </c>
      <c r="L882" t="s">
        <v>660</v>
      </c>
      <c r="M882">
        <v>0</v>
      </c>
      <c r="N882" t="s">
        <v>168</v>
      </c>
      <c r="O882" t="s">
        <v>168</v>
      </c>
      <c r="P882" t="s">
        <v>420</v>
      </c>
      <c r="Q882" t="s">
        <v>408</v>
      </c>
      <c r="R882" t="s">
        <v>657</v>
      </c>
      <c r="S882">
        <v>2021</v>
      </c>
      <c r="T882">
        <v>11</v>
      </c>
      <c r="U882" t="s">
        <v>408</v>
      </c>
      <c r="V882" t="s">
        <v>408</v>
      </c>
      <c r="W882">
        <v>0</v>
      </c>
      <c r="X882">
        <v>0</v>
      </c>
      <c r="Y882" t="s">
        <v>408</v>
      </c>
      <c r="Z882">
        <v>2021</v>
      </c>
      <c r="AA882">
        <v>0</v>
      </c>
      <c r="AB882">
        <v>6.5775469318800003E-2</v>
      </c>
      <c r="AC882">
        <v>6.5775469318800003E-2</v>
      </c>
      <c r="AD882" t="s">
        <v>408</v>
      </c>
      <c r="AE882" t="s">
        <v>411</v>
      </c>
      <c r="AF882" t="s">
        <v>447</v>
      </c>
      <c r="AG882" t="s">
        <v>152</v>
      </c>
      <c r="AH882" t="s">
        <v>408</v>
      </c>
      <c r="AI882" t="s">
        <v>408</v>
      </c>
      <c r="AJ882" t="s">
        <v>408</v>
      </c>
      <c r="AK882" t="s">
        <v>408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 s="58">
        <f t="shared" si="13"/>
        <v>1</v>
      </c>
      <c r="AU882" t="s">
        <v>1808</v>
      </c>
      <c r="AV882" t="s">
        <v>410</v>
      </c>
      <c r="AW882" t="s">
        <v>152</v>
      </c>
      <c r="AX882">
        <v>0</v>
      </c>
      <c r="AY882" t="s">
        <v>17</v>
      </c>
      <c r="AZ882" t="s">
        <v>408</v>
      </c>
    </row>
    <row r="883" spans="1:52" x14ac:dyDescent="0.3">
      <c r="A883">
        <v>872</v>
      </c>
      <c r="B883" t="s">
        <v>464</v>
      </c>
      <c r="C883" t="s">
        <v>154</v>
      </c>
      <c r="D883" t="s">
        <v>465</v>
      </c>
      <c r="E883" t="s">
        <v>466</v>
      </c>
      <c r="F883" t="s">
        <v>400</v>
      </c>
      <c r="G883">
        <v>6000</v>
      </c>
      <c r="H883">
        <v>6001</v>
      </c>
      <c r="I883" t="s">
        <v>1874</v>
      </c>
      <c r="J883">
        <v>5600</v>
      </c>
      <c r="K883">
        <v>5601</v>
      </c>
      <c r="L883" t="s">
        <v>1528</v>
      </c>
      <c r="M883">
        <v>0</v>
      </c>
      <c r="N883" t="s">
        <v>163</v>
      </c>
      <c r="O883" t="s">
        <v>163</v>
      </c>
      <c r="P883" t="s">
        <v>420</v>
      </c>
      <c r="Q883" t="s">
        <v>408</v>
      </c>
      <c r="R883" t="s">
        <v>657</v>
      </c>
      <c r="S883">
        <v>2021</v>
      </c>
      <c r="T883">
        <v>11</v>
      </c>
      <c r="U883" t="s">
        <v>452</v>
      </c>
      <c r="V883" t="s">
        <v>408</v>
      </c>
      <c r="W883">
        <v>0</v>
      </c>
      <c r="X883">
        <v>0</v>
      </c>
      <c r="Y883" t="s">
        <v>408</v>
      </c>
      <c r="Z883">
        <v>2021</v>
      </c>
      <c r="AA883">
        <v>0</v>
      </c>
      <c r="AB883">
        <v>0.52745345512200004</v>
      </c>
      <c r="AC883">
        <v>1.0549069102399999</v>
      </c>
      <c r="AD883" t="s">
        <v>408</v>
      </c>
      <c r="AE883" t="s">
        <v>400</v>
      </c>
      <c r="AF883" t="s">
        <v>400</v>
      </c>
      <c r="AG883" t="s">
        <v>400</v>
      </c>
      <c r="AH883" t="s">
        <v>408</v>
      </c>
      <c r="AI883" t="s">
        <v>470</v>
      </c>
      <c r="AJ883" t="s">
        <v>152</v>
      </c>
      <c r="AK883" t="s">
        <v>408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s="58">
        <f t="shared" si="13"/>
        <v>1</v>
      </c>
      <c r="AU883" t="s">
        <v>1808</v>
      </c>
      <c r="AV883" t="s">
        <v>410</v>
      </c>
      <c r="AW883" t="s">
        <v>411</v>
      </c>
      <c r="AX883">
        <v>0</v>
      </c>
      <c r="AY883" t="s">
        <v>412</v>
      </c>
      <c r="AZ883" t="s">
        <v>408</v>
      </c>
    </row>
    <row r="884" spans="1:52" x14ac:dyDescent="0.3">
      <c r="A884">
        <v>873</v>
      </c>
      <c r="B884" t="s">
        <v>974</v>
      </c>
      <c r="C884" t="s">
        <v>154</v>
      </c>
      <c r="D884" t="s">
        <v>975</v>
      </c>
      <c r="E884" t="s">
        <v>460</v>
      </c>
      <c r="F884" t="s">
        <v>408</v>
      </c>
      <c r="G884">
        <v>0</v>
      </c>
      <c r="H884">
        <v>0</v>
      </c>
      <c r="I884" t="s">
        <v>870</v>
      </c>
      <c r="J884">
        <v>0</v>
      </c>
      <c r="K884">
        <v>0</v>
      </c>
      <c r="L884" t="s">
        <v>670</v>
      </c>
      <c r="M884">
        <v>0</v>
      </c>
      <c r="N884" t="s">
        <v>167</v>
      </c>
      <c r="O884" t="s">
        <v>167</v>
      </c>
      <c r="P884" t="s">
        <v>420</v>
      </c>
      <c r="Q884" t="s">
        <v>408</v>
      </c>
      <c r="R884" t="s">
        <v>971</v>
      </c>
      <c r="S884">
        <v>2021</v>
      </c>
      <c r="T884">
        <v>8</v>
      </c>
      <c r="U884" t="s">
        <v>1875</v>
      </c>
      <c r="V884" t="s">
        <v>408</v>
      </c>
      <c r="W884">
        <v>0</v>
      </c>
      <c r="X884">
        <v>0</v>
      </c>
      <c r="Y884" t="s">
        <v>408</v>
      </c>
      <c r="Z884">
        <v>2021</v>
      </c>
      <c r="AA884">
        <v>0</v>
      </c>
      <c r="AB884">
        <v>0.87885761829700004</v>
      </c>
      <c r="AC884">
        <v>1.75771523659</v>
      </c>
      <c r="AD884" t="s">
        <v>408</v>
      </c>
      <c r="AE884" t="s">
        <v>152</v>
      </c>
      <c r="AF884" t="s">
        <v>408</v>
      </c>
      <c r="AG884" t="s">
        <v>152</v>
      </c>
      <c r="AH884" t="s">
        <v>408</v>
      </c>
      <c r="AI884" t="s">
        <v>408</v>
      </c>
      <c r="AJ884" t="s">
        <v>152</v>
      </c>
      <c r="AK884" t="s">
        <v>408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 s="58">
        <f t="shared" si="13"/>
        <v>1</v>
      </c>
      <c r="AU884" t="s">
        <v>1808</v>
      </c>
      <c r="AV884" t="s">
        <v>410</v>
      </c>
      <c r="AW884" t="s">
        <v>152</v>
      </c>
      <c r="AX884">
        <v>0</v>
      </c>
      <c r="AY884" t="s">
        <v>412</v>
      </c>
      <c r="AZ884" t="s">
        <v>408</v>
      </c>
    </row>
    <row r="885" spans="1:52" x14ac:dyDescent="0.3">
      <c r="A885">
        <v>874</v>
      </c>
      <c r="B885" t="s">
        <v>754</v>
      </c>
      <c r="C885" t="s">
        <v>152</v>
      </c>
      <c r="D885" t="s">
        <v>755</v>
      </c>
      <c r="E885" t="s">
        <v>460</v>
      </c>
      <c r="F885" t="s">
        <v>408</v>
      </c>
      <c r="G885">
        <v>2800</v>
      </c>
      <c r="H885">
        <v>2801</v>
      </c>
      <c r="I885" t="s">
        <v>483</v>
      </c>
      <c r="J885">
        <v>3200</v>
      </c>
      <c r="K885">
        <v>3201</v>
      </c>
      <c r="L885" t="s">
        <v>803</v>
      </c>
      <c r="M885">
        <v>3</v>
      </c>
      <c r="N885" t="s">
        <v>167</v>
      </c>
      <c r="O885" t="s">
        <v>167</v>
      </c>
      <c r="P885" t="s">
        <v>403</v>
      </c>
      <c r="Q885" t="s">
        <v>408</v>
      </c>
      <c r="R885" t="s">
        <v>756</v>
      </c>
      <c r="S885">
        <v>2018</v>
      </c>
      <c r="T885">
        <v>10</v>
      </c>
      <c r="U885" t="s">
        <v>757</v>
      </c>
      <c r="V885" t="s">
        <v>756</v>
      </c>
      <c r="W885">
        <v>2018</v>
      </c>
      <c r="X885">
        <v>10</v>
      </c>
      <c r="Y885" t="s">
        <v>408</v>
      </c>
      <c r="Z885">
        <v>2018</v>
      </c>
      <c r="AA885">
        <v>0</v>
      </c>
      <c r="AB885">
        <v>0.71248136352199998</v>
      </c>
      <c r="AC885">
        <v>1.42496272704</v>
      </c>
      <c r="AD885" t="s">
        <v>408</v>
      </c>
      <c r="AE885" t="s">
        <v>152</v>
      </c>
      <c r="AF885" t="s">
        <v>408</v>
      </c>
      <c r="AG885" t="s">
        <v>408</v>
      </c>
      <c r="AH885" t="s">
        <v>408</v>
      </c>
      <c r="AI885" t="s">
        <v>408</v>
      </c>
      <c r="AJ885" t="s">
        <v>408</v>
      </c>
      <c r="AK885" t="s">
        <v>408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s="58">
        <f t="shared" si="13"/>
        <v>1</v>
      </c>
      <c r="AU885">
        <v>43370</v>
      </c>
      <c r="AV885" t="s">
        <v>410</v>
      </c>
      <c r="AW885" t="s">
        <v>408</v>
      </c>
      <c r="AX885">
        <v>2</v>
      </c>
      <c r="AY885" t="s">
        <v>412</v>
      </c>
      <c r="AZ885">
        <v>20</v>
      </c>
    </row>
    <row r="886" spans="1:52" x14ac:dyDescent="0.3">
      <c r="A886">
        <v>875</v>
      </c>
      <c r="B886" t="s">
        <v>898</v>
      </c>
      <c r="C886" t="s">
        <v>447</v>
      </c>
      <c r="D886" t="s">
        <v>899</v>
      </c>
      <c r="E886" t="s">
        <v>417</v>
      </c>
      <c r="F886" t="s">
        <v>408</v>
      </c>
      <c r="G886">
        <v>2</v>
      </c>
      <c r="H886">
        <v>1</v>
      </c>
      <c r="I886" t="s">
        <v>877</v>
      </c>
      <c r="J886">
        <v>100</v>
      </c>
      <c r="K886">
        <v>101</v>
      </c>
      <c r="L886" t="s">
        <v>905</v>
      </c>
      <c r="M886">
        <v>2</v>
      </c>
      <c r="N886" t="s">
        <v>163</v>
      </c>
      <c r="O886" t="s">
        <v>163</v>
      </c>
      <c r="P886" t="s">
        <v>420</v>
      </c>
      <c r="Q886" t="s">
        <v>408</v>
      </c>
      <c r="R886" t="s">
        <v>902</v>
      </c>
      <c r="S886">
        <v>2012</v>
      </c>
      <c r="T886">
        <v>10</v>
      </c>
      <c r="U886" t="s">
        <v>408</v>
      </c>
      <c r="V886" t="s">
        <v>662</v>
      </c>
      <c r="W886">
        <v>2015</v>
      </c>
      <c r="X886">
        <v>10</v>
      </c>
      <c r="Y886" t="s">
        <v>370</v>
      </c>
      <c r="Z886">
        <v>2015</v>
      </c>
      <c r="AA886">
        <v>2015</v>
      </c>
      <c r="AB886">
        <v>0.16210771905499999</v>
      </c>
      <c r="AC886">
        <v>0.32421543810999998</v>
      </c>
      <c r="AD886" t="s">
        <v>400</v>
      </c>
      <c r="AE886" t="s">
        <v>152</v>
      </c>
      <c r="AF886" t="s">
        <v>400</v>
      </c>
      <c r="AG886" t="s">
        <v>400</v>
      </c>
      <c r="AH886" t="s">
        <v>152</v>
      </c>
      <c r="AI886" t="s">
        <v>438</v>
      </c>
      <c r="AJ886" t="s">
        <v>400</v>
      </c>
      <c r="AK886" t="s">
        <v>408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 s="58">
        <f t="shared" si="13"/>
        <v>1</v>
      </c>
      <c r="AU886" t="s">
        <v>602</v>
      </c>
      <c r="AV886" t="s">
        <v>410</v>
      </c>
      <c r="AW886" t="s">
        <v>411</v>
      </c>
      <c r="AX886">
        <v>1</v>
      </c>
      <c r="AY886" t="s">
        <v>412</v>
      </c>
      <c r="AZ886" t="s">
        <v>408</v>
      </c>
    </row>
    <row r="887" spans="1:52" x14ac:dyDescent="0.3">
      <c r="A887">
        <v>876</v>
      </c>
      <c r="B887" t="s">
        <v>1293</v>
      </c>
      <c r="C887" t="s">
        <v>154</v>
      </c>
      <c r="D887" t="s">
        <v>1294</v>
      </c>
      <c r="E887" t="s">
        <v>399</v>
      </c>
      <c r="F887" t="s">
        <v>400</v>
      </c>
      <c r="G887">
        <v>2000</v>
      </c>
      <c r="H887">
        <v>2001</v>
      </c>
      <c r="I887" t="s">
        <v>418</v>
      </c>
      <c r="J887">
        <v>1600</v>
      </c>
      <c r="K887">
        <v>1601</v>
      </c>
      <c r="L887" t="s">
        <v>813</v>
      </c>
      <c r="M887">
        <v>2</v>
      </c>
      <c r="N887" t="s">
        <v>165</v>
      </c>
      <c r="O887" t="s">
        <v>165</v>
      </c>
      <c r="P887" t="s">
        <v>420</v>
      </c>
      <c r="Q887" t="s">
        <v>1295</v>
      </c>
      <c r="R887" t="s">
        <v>1194</v>
      </c>
      <c r="S887">
        <v>2014</v>
      </c>
      <c r="T887">
        <v>10</v>
      </c>
      <c r="U887" t="s">
        <v>1876</v>
      </c>
      <c r="V887" t="s">
        <v>408</v>
      </c>
      <c r="W887">
        <v>0</v>
      </c>
      <c r="X887">
        <v>0</v>
      </c>
      <c r="Y887" t="s">
        <v>408</v>
      </c>
      <c r="Z887">
        <v>2014</v>
      </c>
      <c r="AA887">
        <v>2014</v>
      </c>
      <c r="AB887">
        <v>0.50497378965999995</v>
      </c>
      <c r="AC887">
        <v>1.0099475793199999</v>
      </c>
      <c r="AD887" t="s">
        <v>400</v>
      </c>
      <c r="AE887" t="s">
        <v>400</v>
      </c>
      <c r="AF887" t="s">
        <v>400</v>
      </c>
      <c r="AG887" t="s">
        <v>400</v>
      </c>
      <c r="AH887" t="s">
        <v>400</v>
      </c>
      <c r="AI887" t="s">
        <v>400</v>
      </c>
      <c r="AJ887" t="s">
        <v>400</v>
      </c>
      <c r="AK887" t="s">
        <v>408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 s="58">
        <f t="shared" si="13"/>
        <v>1</v>
      </c>
      <c r="AU887" t="s">
        <v>602</v>
      </c>
      <c r="AV887" t="s">
        <v>410</v>
      </c>
      <c r="AW887" t="s">
        <v>411</v>
      </c>
      <c r="AX887">
        <v>2</v>
      </c>
      <c r="AY887" t="s">
        <v>412</v>
      </c>
      <c r="AZ887" t="s">
        <v>408</v>
      </c>
    </row>
    <row r="888" spans="1:52" x14ac:dyDescent="0.3">
      <c r="A888">
        <v>877</v>
      </c>
      <c r="B888" t="s">
        <v>688</v>
      </c>
      <c r="C888" t="s">
        <v>155</v>
      </c>
      <c r="D888" t="s">
        <v>689</v>
      </c>
      <c r="E888" t="s">
        <v>426</v>
      </c>
      <c r="F888" t="s">
        <v>400</v>
      </c>
      <c r="G888">
        <v>6700</v>
      </c>
      <c r="H888">
        <v>6701</v>
      </c>
      <c r="I888" t="s">
        <v>1710</v>
      </c>
      <c r="J888">
        <v>6600</v>
      </c>
      <c r="K888">
        <v>6601</v>
      </c>
      <c r="L888" t="s">
        <v>1016</v>
      </c>
      <c r="M888">
        <v>3</v>
      </c>
      <c r="N888" t="s">
        <v>165</v>
      </c>
      <c r="O888" t="s">
        <v>165</v>
      </c>
      <c r="P888" t="s">
        <v>403</v>
      </c>
      <c r="Q888" t="s">
        <v>408</v>
      </c>
      <c r="R888" t="s">
        <v>742</v>
      </c>
      <c r="S888">
        <v>2017</v>
      </c>
      <c r="T888">
        <v>6</v>
      </c>
      <c r="U888" t="s">
        <v>370</v>
      </c>
      <c r="V888" t="s">
        <v>408</v>
      </c>
      <c r="W888">
        <v>0</v>
      </c>
      <c r="X888">
        <v>0</v>
      </c>
      <c r="Y888" t="s">
        <v>408</v>
      </c>
      <c r="Z888">
        <v>2017</v>
      </c>
      <c r="AA888">
        <v>2017</v>
      </c>
      <c r="AB888">
        <v>0.12535604802700001</v>
      </c>
      <c r="AC888">
        <v>0.25071209605400002</v>
      </c>
      <c r="AD888" t="s">
        <v>400</v>
      </c>
      <c r="AE888" t="s">
        <v>152</v>
      </c>
      <c r="AF888" t="s">
        <v>400</v>
      </c>
      <c r="AG888" t="s">
        <v>400</v>
      </c>
      <c r="AH888" t="s">
        <v>400</v>
      </c>
      <c r="AI888" t="s">
        <v>400</v>
      </c>
      <c r="AJ888" t="s">
        <v>400</v>
      </c>
      <c r="AK888" t="s">
        <v>408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 s="58">
        <f t="shared" si="13"/>
        <v>1</v>
      </c>
      <c r="AU888" t="s">
        <v>602</v>
      </c>
      <c r="AV888" t="s">
        <v>410</v>
      </c>
      <c r="AW888" t="s">
        <v>152</v>
      </c>
      <c r="AX888">
        <v>2</v>
      </c>
      <c r="AY888" t="s">
        <v>412</v>
      </c>
      <c r="AZ888" t="s">
        <v>408</v>
      </c>
    </row>
    <row r="889" spans="1:52" x14ac:dyDescent="0.3">
      <c r="A889">
        <v>878</v>
      </c>
      <c r="B889" t="s">
        <v>440</v>
      </c>
      <c r="C889" t="s">
        <v>152</v>
      </c>
      <c r="D889" t="s">
        <v>441</v>
      </c>
      <c r="E889" t="s">
        <v>417</v>
      </c>
      <c r="F889" t="s">
        <v>155</v>
      </c>
      <c r="G889">
        <v>530</v>
      </c>
      <c r="H889">
        <v>531</v>
      </c>
      <c r="I889" t="s">
        <v>870</v>
      </c>
      <c r="J889">
        <v>650</v>
      </c>
      <c r="K889">
        <v>651</v>
      </c>
      <c r="L889" t="s">
        <v>1101</v>
      </c>
      <c r="M889">
        <v>4</v>
      </c>
      <c r="N889" t="s">
        <v>165</v>
      </c>
      <c r="O889" t="s">
        <v>165</v>
      </c>
      <c r="P889" t="s">
        <v>403</v>
      </c>
      <c r="Q889" t="s">
        <v>555</v>
      </c>
      <c r="R889" t="s">
        <v>445</v>
      </c>
      <c r="S889">
        <v>2012</v>
      </c>
      <c r="T889">
        <v>6</v>
      </c>
      <c r="U889" t="s">
        <v>1102</v>
      </c>
      <c r="V889" t="s">
        <v>408</v>
      </c>
      <c r="W889">
        <v>0</v>
      </c>
      <c r="X889">
        <v>0</v>
      </c>
      <c r="Y889" t="s">
        <v>408</v>
      </c>
      <c r="Z889">
        <v>2012</v>
      </c>
      <c r="AA889">
        <v>1997</v>
      </c>
      <c r="AB889">
        <v>0.16581148949399999</v>
      </c>
      <c r="AC889">
        <v>0.16581148949399999</v>
      </c>
      <c r="AD889" t="s">
        <v>1103</v>
      </c>
      <c r="AE889" t="s">
        <v>411</v>
      </c>
      <c r="AF889" t="s">
        <v>155</v>
      </c>
      <c r="AG889" t="s">
        <v>152</v>
      </c>
      <c r="AH889" t="s">
        <v>408</v>
      </c>
      <c r="AI889" t="s">
        <v>408</v>
      </c>
      <c r="AJ889" t="s">
        <v>408</v>
      </c>
      <c r="AK889" t="s">
        <v>408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</v>
      </c>
      <c r="AT889" s="58">
        <f t="shared" si="13"/>
        <v>1</v>
      </c>
      <c r="AU889" t="s">
        <v>602</v>
      </c>
      <c r="AV889" t="s">
        <v>410</v>
      </c>
      <c r="AW889" t="s">
        <v>152</v>
      </c>
      <c r="AX889">
        <v>2</v>
      </c>
      <c r="AY889" t="s">
        <v>412</v>
      </c>
      <c r="AZ889" t="s">
        <v>408</v>
      </c>
    </row>
    <row r="890" spans="1:52" x14ac:dyDescent="0.3">
      <c r="A890">
        <v>879</v>
      </c>
      <c r="B890" t="s">
        <v>1282</v>
      </c>
      <c r="C890" t="s">
        <v>154</v>
      </c>
      <c r="D890" t="s">
        <v>908</v>
      </c>
      <c r="E890" t="s">
        <v>466</v>
      </c>
      <c r="F890" t="s">
        <v>447</v>
      </c>
      <c r="G890">
        <v>2000</v>
      </c>
      <c r="H890">
        <v>2001</v>
      </c>
      <c r="I890" t="s">
        <v>435</v>
      </c>
      <c r="J890">
        <v>1800</v>
      </c>
      <c r="K890">
        <v>1801</v>
      </c>
      <c r="L890" t="s">
        <v>1283</v>
      </c>
      <c r="M890">
        <v>4</v>
      </c>
      <c r="N890" t="s">
        <v>165</v>
      </c>
      <c r="O890" t="s">
        <v>165</v>
      </c>
      <c r="P890" t="s">
        <v>403</v>
      </c>
      <c r="Q890" t="s">
        <v>1284</v>
      </c>
      <c r="R890" t="s">
        <v>562</v>
      </c>
      <c r="S890">
        <v>2014</v>
      </c>
      <c r="T890">
        <v>10</v>
      </c>
      <c r="U890" t="s">
        <v>408</v>
      </c>
      <c r="V890" t="s">
        <v>408</v>
      </c>
      <c r="W890">
        <v>0</v>
      </c>
      <c r="X890">
        <v>0</v>
      </c>
      <c r="Y890" t="s">
        <v>408</v>
      </c>
      <c r="Z890">
        <v>2014</v>
      </c>
      <c r="AA890">
        <v>2011</v>
      </c>
      <c r="AB890">
        <v>0.25232353025900001</v>
      </c>
      <c r="AC890">
        <v>0.25232353025900001</v>
      </c>
      <c r="AD890" t="s">
        <v>400</v>
      </c>
      <c r="AE890" t="s">
        <v>411</v>
      </c>
      <c r="AF890" t="s">
        <v>447</v>
      </c>
      <c r="AG890" t="s">
        <v>152</v>
      </c>
      <c r="AH890" t="s">
        <v>408</v>
      </c>
      <c r="AI890" t="s">
        <v>408</v>
      </c>
      <c r="AJ890" t="s">
        <v>408</v>
      </c>
      <c r="AK890" t="s">
        <v>408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 s="58">
        <f t="shared" si="13"/>
        <v>1</v>
      </c>
      <c r="AU890" t="s">
        <v>602</v>
      </c>
      <c r="AV890" t="s">
        <v>410</v>
      </c>
      <c r="AW890" t="s">
        <v>411</v>
      </c>
      <c r="AX890">
        <v>2</v>
      </c>
      <c r="AY890" t="s">
        <v>412</v>
      </c>
      <c r="AZ890" t="s">
        <v>408</v>
      </c>
    </row>
    <row r="891" spans="1:52" x14ac:dyDescent="0.3">
      <c r="A891">
        <v>880</v>
      </c>
      <c r="B891" t="s">
        <v>1389</v>
      </c>
      <c r="C891" t="s">
        <v>152</v>
      </c>
      <c r="D891" t="s">
        <v>1390</v>
      </c>
      <c r="E891" t="s">
        <v>426</v>
      </c>
      <c r="F891" t="s">
        <v>408</v>
      </c>
      <c r="G891">
        <v>0</v>
      </c>
      <c r="H891">
        <v>0</v>
      </c>
      <c r="I891" t="s">
        <v>1391</v>
      </c>
      <c r="J891">
        <v>458</v>
      </c>
      <c r="K891">
        <v>459</v>
      </c>
      <c r="L891" t="s">
        <v>1877</v>
      </c>
      <c r="M891">
        <v>3</v>
      </c>
      <c r="N891" t="s">
        <v>165</v>
      </c>
      <c r="O891" t="s">
        <v>165</v>
      </c>
      <c r="P891" t="s">
        <v>420</v>
      </c>
      <c r="Q891" t="s">
        <v>1392</v>
      </c>
      <c r="R891" t="s">
        <v>422</v>
      </c>
      <c r="S891">
        <v>2011</v>
      </c>
      <c r="T891">
        <v>5</v>
      </c>
      <c r="U891" t="s">
        <v>408</v>
      </c>
      <c r="V891" t="s">
        <v>408</v>
      </c>
      <c r="W891">
        <v>0</v>
      </c>
      <c r="X891">
        <v>0</v>
      </c>
      <c r="Y891" t="s">
        <v>408</v>
      </c>
      <c r="Z891">
        <v>2011</v>
      </c>
      <c r="AA891">
        <v>0</v>
      </c>
      <c r="AB891">
        <v>0.12902770122599999</v>
      </c>
      <c r="AC891">
        <v>0.25805540245199998</v>
      </c>
      <c r="AD891" t="s">
        <v>408</v>
      </c>
      <c r="AE891" t="s">
        <v>152</v>
      </c>
      <c r="AF891" t="s">
        <v>408</v>
      </c>
      <c r="AG891" t="s">
        <v>408</v>
      </c>
      <c r="AH891" t="s">
        <v>408</v>
      </c>
      <c r="AI891" t="s">
        <v>408</v>
      </c>
      <c r="AJ891" t="s">
        <v>408</v>
      </c>
      <c r="AK891" t="s">
        <v>408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s="58">
        <f t="shared" si="13"/>
        <v>1</v>
      </c>
      <c r="AU891" t="s">
        <v>602</v>
      </c>
      <c r="AV891" t="s">
        <v>410</v>
      </c>
      <c r="AW891" t="s">
        <v>411</v>
      </c>
      <c r="AX891">
        <v>2</v>
      </c>
      <c r="AY891" t="s">
        <v>412</v>
      </c>
      <c r="AZ891" t="s">
        <v>408</v>
      </c>
    </row>
    <row r="892" spans="1:52" x14ac:dyDescent="0.3">
      <c r="A892">
        <v>881</v>
      </c>
      <c r="B892" t="s">
        <v>477</v>
      </c>
      <c r="C892" t="s">
        <v>152</v>
      </c>
      <c r="D892" t="s">
        <v>478</v>
      </c>
      <c r="E892" t="s">
        <v>417</v>
      </c>
      <c r="F892" t="s">
        <v>408</v>
      </c>
      <c r="G892">
        <v>1250</v>
      </c>
      <c r="H892">
        <v>1251</v>
      </c>
      <c r="I892" t="s">
        <v>1666</v>
      </c>
      <c r="J892">
        <v>0</v>
      </c>
      <c r="K892">
        <v>0</v>
      </c>
      <c r="L892" t="s">
        <v>733</v>
      </c>
      <c r="M892">
        <v>2</v>
      </c>
      <c r="N892" t="s">
        <v>165</v>
      </c>
      <c r="O892" t="s">
        <v>165</v>
      </c>
      <c r="P892" t="s">
        <v>403</v>
      </c>
      <c r="Q892" t="s">
        <v>408</v>
      </c>
      <c r="R892" t="s">
        <v>556</v>
      </c>
      <c r="S892">
        <v>2012</v>
      </c>
      <c r="T892">
        <v>10</v>
      </c>
      <c r="U892" t="s">
        <v>370</v>
      </c>
      <c r="V892" t="s">
        <v>408</v>
      </c>
      <c r="W892">
        <v>0</v>
      </c>
      <c r="X892">
        <v>0</v>
      </c>
      <c r="Y892" t="s">
        <v>408</v>
      </c>
      <c r="Z892">
        <v>2012</v>
      </c>
      <c r="AA892">
        <v>2012</v>
      </c>
      <c r="AB892">
        <v>0.163977527244</v>
      </c>
      <c r="AC892">
        <v>0.327955054488</v>
      </c>
      <c r="AD892" t="s">
        <v>400</v>
      </c>
      <c r="AE892" t="s">
        <v>400</v>
      </c>
      <c r="AF892" t="s">
        <v>400</v>
      </c>
      <c r="AG892" t="s">
        <v>400</v>
      </c>
      <c r="AH892" t="s">
        <v>400</v>
      </c>
      <c r="AI892" t="s">
        <v>408</v>
      </c>
      <c r="AJ892" t="s">
        <v>408</v>
      </c>
      <c r="AK892" t="s">
        <v>408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 s="58">
        <f t="shared" si="13"/>
        <v>1</v>
      </c>
      <c r="AU892" t="s">
        <v>602</v>
      </c>
      <c r="AV892" t="s">
        <v>410</v>
      </c>
      <c r="AW892" t="s">
        <v>152</v>
      </c>
      <c r="AX892">
        <v>2</v>
      </c>
      <c r="AY892" t="s">
        <v>412</v>
      </c>
      <c r="AZ892" t="s">
        <v>408</v>
      </c>
    </row>
    <row r="893" spans="1:52" x14ac:dyDescent="0.3">
      <c r="A893">
        <v>882</v>
      </c>
      <c r="B893" t="s">
        <v>1592</v>
      </c>
      <c r="C893" t="s">
        <v>154</v>
      </c>
      <c r="D893" t="s">
        <v>1593</v>
      </c>
      <c r="E893" t="s">
        <v>417</v>
      </c>
      <c r="F893" t="s">
        <v>408</v>
      </c>
      <c r="G893">
        <v>526</v>
      </c>
      <c r="H893">
        <v>525</v>
      </c>
      <c r="I893" t="s">
        <v>1629</v>
      </c>
      <c r="J893">
        <v>100</v>
      </c>
      <c r="K893">
        <v>101</v>
      </c>
      <c r="L893" t="s">
        <v>905</v>
      </c>
      <c r="M893">
        <v>2</v>
      </c>
      <c r="N893" t="s">
        <v>165</v>
      </c>
      <c r="O893" t="s">
        <v>165</v>
      </c>
      <c r="P893" t="s">
        <v>420</v>
      </c>
      <c r="Q893" t="s">
        <v>408</v>
      </c>
      <c r="R893" t="s">
        <v>756</v>
      </c>
      <c r="S893">
        <v>2018</v>
      </c>
      <c r="T893">
        <v>0</v>
      </c>
      <c r="U893" t="s">
        <v>408</v>
      </c>
      <c r="V893" t="s">
        <v>408</v>
      </c>
      <c r="W893">
        <v>0</v>
      </c>
      <c r="X893">
        <v>0</v>
      </c>
      <c r="Y893" t="s">
        <v>408</v>
      </c>
      <c r="Z893">
        <v>2021</v>
      </c>
      <c r="AA893">
        <v>0</v>
      </c>
      <c r="AB893">
        <v>0.854743144334</v>
      </c>
      <c r="AC893">
        <v>1.70948628867</v>
      </c>
      <c r="AD893" t="s">
        <v>408</v>
      </c>
      <c r="AE893" t="s">
        <v>152</v>
      </c>
      <c r="AF893" t="s">
        <v>400</v>
      </c>
      <c r="AG893" t="s">
        <v>400</v>
      </c>
      <c r="AH893" t="s">
        <v>400</v>
      </c>
      <c r="AI893" t="s">
        <v>400</v>
      </c>
      <c r="AJ893" t="s">
        <v>400</v>
      </c>
      <c r="AK893" t="s">
        <v>400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 s="58">
        <f t="shared" si="13"/>
        <v>1</v>
      </c>
      <c r="AU893" t="s">
        <v>499</v>
      </c>
      <c r="AV893" t="s">
        <v>410</v>
      </c>
      <c r="AW893" t="s">
        <v>152</v>
      </c>
      <c r="AX893">
        <v>2</v>
      </c>
      <c r="AY893" t="s">
        <v>412</v>
      </c>
      <c r="AZ893" t="s">
        <v>408</v>
      </c>
    </row>
    <row r="894" spans="1:52" x14ac:dyDescent="0.3">
      <c r="A894">
        <v>883</v>
      </c>
      <c r="B894" t="s">
        <v>1520</v>
      </c>
      <c r="C894" t="s">
        <v>154</v>
      </c>
      <c r="D894" t="s">
        <v>1521</v>
      </c>
      <c r="E894" t="s">
        <v>417</v>
      </c>
      <c r="F894" t="s">
        <v>408</v>
      </c>
      <c r="G894">
        <v>5600</v>
      </c>
      <c r="H894">
        <v>5601</v>
      </c>
      <c r="I894" t="s">
        <v>1528</v>
      </c>
      <c r="J894">
        <v>5200</v>
      </c>
      <c r="K894">
        <v>5201</v>
      </c>
      <c r="L894" t="s">
        <v>1522</v>
      </c>
      <c r="M894">
        <v>2</v>
      </c>
      <c r="N894" t="s">
        <v>165</v>
      </c>
      <c r="O894" t="s">
        <v>165</v>
      </c>
      <c r="P894" t="s">
        <v>420</v>
      </c>
      <c r="Q894" t="s">
        <v>1523</v>
      </c>
      <c r="R894" t="s">
        <v>556</v>
      </c>
      <c r="S894">
        <v>2013</v>
      </c>
      <c r="T894">
        <v>7</v>
      </c>
      <c r="U894" t="s">
        <v>370</v>
      </c>
      <c r="V894" t="s">
        <v>511</v>
      </c>
      <c r="W894">
        <v>2018</v>
      </c>
      <c r="X894">
        <v>8</v>
      </c>
      <c r="Y894" t="s">
        <v>408</v>
      </c>
      <c r="Z894">
        <v>2018</v>
      </c>
      <c r="AA894">
        <v>2013</v>
      </c>
      <c r="AB894">
        <v>0.50536960002700004</v>
      </c>
      <c r="AC894">
        <v>1.01073920005</v>
      </c>
      <c r="AD894" t="s">
        <v>408</v>
      </c>
      <c r="AE894" t="s">
        <v>152</v>
      </c>
      <c r="AF894" t="s">
        <v>408</v>
      </c>
      <c r="AG894" t="s">
        <v>408</v>
      </c>
      <c r="AH894" t="s">
        <v>408</v>
      </c>
      <c r="AI894" t="s">
        <v>408</v>
      </c>
      <c r="AJ894" t="s">
        <v>408</v>
      </c>
      <c r="AK894" t="s">
        <v>408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s="58">
        <f t="shared" si="13"/>
        <v>1</v>
      </c>
      <c r="AU894" t="s">
        <v>768</v>
      </c>
      <c r="AV894" t="s">
        <v>410</v>
      </c>
      <c r="AW894" t="s">
        <v>152</v>
      </c>
      <c r="AX894">
        <v>2</v>
      </c>
      <c r="AY894" t="s">
        <v>412</v>
      </c>
      <c r="AZ894" t="s">
        <v>408</v>
      </c>
    </row>
    <row r="895" spans="1:52" x14ac:dyDescent="0.3">
      <c r="A895">
        <v>884</v>
      </c>
      <c r="B895" t="s">
        <v>693</v>
      </c>
      <c r="C895" t="s">
        <v>155</v>
      </c>
      <c r="D895" t="s">
        <v>694</v>
      </c>
      <c r="E895" t="s">
        <v>460</v>
      </c>
      <c r="F895" t="s">
        <v>408</v>
      </c>
      <c r="G895">
        <v>8300</v>
      </c>
      <c r="H895">
        <v>8301</v>
      </c>
      <c r="I895" t="s">
        <v>1329</v>
      </c>
      <c r="J895">
        <v>8200</v>
      </c>
      <c r="K895">
        <v>8201</v>
      </c>
      <c r="L895" t="s">
        <v>1495</v>
      </c>
      <c r="M895">
        <v>3</v>
      </c>
      <c r="N895" t="s">
        <v>165</v>
      </c>
      <c r="O895" t="s">
        <v>165</v>
      </c>
      <c r="P895" t="s">
        <v>403</v>
      </c>
      <c r="Q895" t="s">
        <v>1496</v>
      </c>
      <c r="R895" t="s">
        <v>1497</v>
      </c>
      <c r="S895">
        <v>2014</v>
      </c>
      <c r="T895">
        <v>9</v>
      </c>
      <c r="U895" t="s">
        <v>408</v>
      </c>
      <c r="V895" t="s">
        <v>408</v>
      </c>
      <c r="W895">
        <v>0</v>
      </c>
      <c r="X895">
        <v>0</v>
      </c>
      <c r="Y895" t="s">
        <v>408</v>
      </c>
      <c r="Z895">
        <v>2014</v>
      </c>
      <c r="AA895">
        <v>2003</v>
      </c>
      <c r="AB895">
        <v>0.12686949035699999</v>
      </c>
      <c r="AC895">
        <v>0.25373898071399997</v>
      </c>
      <c r="AD895" t="s">
        <v>400</v>
      </c>
      <c r="AE895" t="s">
        <v>152</v>
      </c>
      <c r="AF895" t="s">
        <v>400</v>
      </c>
      <c r="AG895" t="s">
        <v>400</v>
      </c>
      <c r="AH895" t="s">
        <v>400</v>
      </c>
      <c r="AI895" t="s">
        <v>400</v>
      </c>
      <c r="AJ895" t="s">
        <v>400</v>
      </c>
      <c r="AK895" t="s">
        <v>400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 s="58">
        <f t="shared" si="13"/>
        <v>1</v>
      </c>
      <c r="AU895" t="s">
        <v>768</v>
      </c>
      <c r="AV895" t="s">
        <v>410</v>
      </c>
      <c r="AW895" t="s">
        <v>152</v>
      </c>
      <c r="AX895">
        <v>2</v>
      </c>
      <c r="AY895" t="s">
        <v>412</v>
      </c>
      <c r="AZ895" t="s">
        <v>408</v>
      </c>
    </row>
    <row r="896" spans="1:52" x14ac:dyDescent="0.3">
      <c r="A896">
        <v>885</v>
      </c>
      <c r="B896" t="s">
        <v>693</v>
      </c>
      <c r="C896" t="s">
        <v>155</v>
      </c>
      <c r="D896" t="s">
        <v>694</v>
      </c>
      <c r="E896" t="s">
        <v>460</v>
      </c>
      <c r="F896" t="s">
        <v>408</v>
      </c>
      <c r="G896">
        <v>7900</v>
      </c>
      <c r="H896">
        <v>7901</v>
      </c>
      <c r="I896" t="s">
        <v>1360</v>
      </c>
      <c r="J896">
        <v>7600</v>
      </c>
      <c r="K896">
        <v>7601</v>
      </c>
      <c r="L896" t="s">
        <v>600</v>
      </c>
      <c r="M896">
        <v>3</v>
      </c>
      <c r="N896" t="s">
        <v>165</v>
      </c>
      <c r="O896" t="s">
        <v>165</v>
      </c>
      <c r="P896" t="s">
        <v>420</v>
      </c>
      <c r="Q896" t="s">
        <v>1455</v>
      </c>
      <c r="R896" t="s">
        <v>703</v>
      </c>
      <c r="S896">
        <v>2014</v>
      </c>
      <c r="T896">
        <v>9</v>
      </c>
      <c r="U896" t="s">
        <v>408</v>
      </c>
      <c r="V896" t="s">
        <v>408</v>
      </c>
      <c r="W896">
        <v>0</v>
      </c>
      <c r="X896">
        <v>0</v>
      </c>
      <c r="Y896" t="s">
        <v>408</v>
      </c>
      <c r="Z896">
        <v>2014</v>
      </c>
      <c r="AA896">
        <v>0</v>
      </c>
      <c r="AB896">
        <v>0.37701094974400001</v>
      </c>
      <c r="AC896">
        <v>0.75402189948800002</v>
      </c>
      <c r="AD896" t="s">
        <v>408</v>
      </c>
      <c r="AE896" t="s">
        <v>152</v>
      </c>
      <c r="AF896" t="s">
        <v>408</v>
      </c>
      <c r="AG896" t="s">
        <v>408</v>
      </c>
      <c r="AH896" t="s">
        <v>408</v>
      </c>
      <c r="AI896" t="s">
        <v>408</v>
      </c>
      <c r="AJ896" t="s">
        <v>408</v>
      </c>
      <c r="AK896" t="s">
        <v>408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 s="58">
        <f t="shared" si="13"/>
        <v>1</v>
      </c>
      <c r="AU896" t="s">
        <v>768</v>
      </c>
      <c r="AV896" t="s">
        <v>410</v>
      </c>
      <c r="AW896" t="s">
        <v>152</v>
      </c>
      <c r="AX896">
        <v>2</v>
      </c>
      <c r="AY896" t="s">
        <v>412</v>
      </c>
      <c r="AZ896" t="s">
        <v>408</v>
      </c>
    </row>
    <row r="897" spans="1:52" x14ac:dyDescent="0.3">
      <c r="A897">
        <v>886</v>
      </c>
      <c r="B897" t="s">
        <v>956</v>
      </c>
      <c r="C897" t="s">
        <v>155</v>
      </c>
      <c r="D897" t="s">
        <v>957</v>
      </c>
      <c r="E897" t="s">
        <v>417</v>
      </c>
      <c r="F897" t="s">
        <v>155</v>
      </c>
      <c r="G897">
        <v>239</v>
      </c>
      <c r="H897">
        <v>238</v>
      </c>
      <c r="I897" t="s">
        <v>882</v>
      </c>
      <c r="J897">
        <v>1</v>
      </c>
      <c r="K897">
        <v>2</v>
      </c>
      <c r="L897" t="s">
        <v>1149</v>
      </c>
      <c r="M897">
        <v>4</v>
      </c>
      <c r="N897" t="s">
        <v>163</v>
      </c>
      <c r="O897" t="s">
        <v>163</v>
      </c>
      <c r="P897" t="s">
        <v>403</v>
      </c>
      <c r="Q897" t="s">
        <v>1150</v>
      </c>
      <c r="R897" t="s">
        <v>505</v>
      </c>
      <c r="S897">
        <v>2015</v>
      </c>
      <c r="T897">
        <v>10</v>
      </c>
      <c r="U897" t="s">
        <v>1151</v>
      </c>
      <c r="V897" t="s">
        <v>408</v>
      </c>
      <c r="W897">
        <v>0</v>
      </c>
      <c r="X897">
        <v>0</v>
      </c>
      <c r="Y897" t="s">
        <v>408</v>
      </c>
      <c r="Z897">
        <v>2015</v>
      </c>
      <c r="AA897">
        <v>2015</v>
      </c>
      <c r="AB897">
        <v>8.7272791278500003E-2</v>
      </c>
      <c r="AC897">
        <v>0.17454558255700001</v>
      </c>
      <c r="AD897" t="s">
        <v>505</v>
      </c>
      <c r="AE897" t="s">
        <v>152</v>
      </c>
      <c r="AF897" t="s">
        <v>400</v>
      </c>
      <c r="AG897" t="s">
        <v>400</v>
      </c>
      <c r="AH897" t="s">
        <v>411</v>
      </c>
      <c r="AI897" t="s">
        <v>438</v>
      </c>
      <c r="AJ897" t="s">
        <v>400</v>
      </c>
      <c r="AK897" t="s">
        <v>408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 s="58">
        <f t="shared" si="13"/>
        <v>1</v>
      </c>
      <c r="AU897" t="s">
        <v>471</v>
      </c>
      <c r="AV897" t="s">
        <v>410</v>
      </c>
      <c r="AW897" t="s">
        <v>411</v>
      </c>
      <c r="AX897">
        <v>1</v>
      </c>
      <c r="AY897" t="s">
        <v>412</v>
      </c>
      <c r="AZ897" t="s">
        <v>408</v>
      </c>
    </row>
    <row r="898" spans="1:52" x14ac:dyDescent="0.3">
      <c r="A898">
        <v>887</v>
      </c>
      <c r="B898" t="s">
        <v>1878</v>
      </c>
      <c r="C898" t="s">
        <v>447</v>
      </c>
      <c r="D898" t="s">
        <v>1879</v>
      </c>
      <c r="E898" t="s">
        <v>417</v>
      </c>
      <c r="F898" t="s">
        <v>400</v>
      </c>
      <c r="G898" t="s">
        <v>408</v>
      </c>
      <c r="H898">
        <v>0</v>
      </c>
      <c r="I898" t="s">
        <v>435</v>
      </c>
      <c r="J898">
        <v>0</v>
      </c>
      <c r="K898">
        <v>0</v>
      </c>
      <c r="L898" t="s">
        <v>728</v>
      </c>
      <c r="M898">
        <v>0</v>
      </c>
      <c r="N898" t="s">
        <v>168</v>
      </c>
      <c r="O898" t="s">
        <v>569</v>
      </c>
      <c r="P898" t="s">
        <v>420</v>
      </c>
      <c r="Q898" t="s">
        <v>408</v>
      </c>
      <c r="R898" t="s">
        <v>408</v>
      </c>
      <c r="S898">
        <v>2022</v>
      </c>
      <c r="T898">
        <v>6</v>
      </c>
      <c r="U898" t="s">
        <v>408</v>
      </c>
      <c r="V898" t="s">
        <v>408</v>
      </c>
      <c r="W898">
        <v>0</v>
      </c>
      <c r="X898">
        <v>0</v>
      </c>
      <c r="Y898" t="s">
        <v>408</v>
      </c>
      <c r="Z898">
        <v>2022</v>
      </c>
      <c r="AA898">
        <v>0</v>
      </c>
      <c r="AB898">
        <v>0.37853613974900002</v>
      </c>
      <c r="AC898">
        <v>0.75707227949800004</v>
      </c>
      <c r="AD898" t="s">
        <v>400</v>
      </c>
      <c r="AE898" t="s">
        <v>400</v>
      </c>
      <c r="AF898" t="s">
        <v>400</v>
      </c>
      <c r="AG898" t="s">
        <v>400</v>
      </c>
      <c r="AH898" t="s">
        <v>400</v>
      </c>
      <c r="AI898" t="s">
        <v>400</v>
      </c>
      <c r="AJ898" t="s">
        <v>400</v>
      </c>
      <c r="AK898" t="s">
        <v>400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 s="58">
        <f t="shared" si="13"/>
        <v>1</v>
      </c>
      <c r="AU898" t="s">
        <v>597</v>
      </c>
      <c r="AV898" t="s">
        <v>410</v>
      </c>
      <c r="AW898" t="s">
        <v>400</v>
      </c>
      <c r="AX898">
        <v>3</v>
      </c>
      <c r="AY898" t="s">
        <v>17</v>
      </c>
      <c r="AZ898">
        <v>20</v>
      </c>
    </row>
    <row r="899" spans="1:52" x14ac:dyDescent="0.3">
      <c r="A899">
        <v>888</v>
      </c>
      <c r="B899" t="s">
        <v>1878</v>
      </c>
      <c r="C899" t="s">
        <v>447</v>
      </c>
      <c r="D899" t="s">
        <v>1879</v>
      </c>
      <c r="E899" t="s">
        <v>417</v>
      </c>
      <c r="F899" t="s">
        <v>400</v>
      </c>
      <c r="G899" t="s">
        <v>408</v>
      </c>
      <c r="H899">
        <v>0</v>
      </c>
      <c r="I899" t="s">
        <v>728</v>
      </c>
      <c r="J899">
        <v>0</v>
      </c>
      <c r="K899">
        <v>0</v>
      </c>
      <c r="L899" t="s">
        <v>1880</v>
      </c>
      <c r="M899">
        <v>0</v>
      </c>
      <c r="N899" t="s">
        <v>168</v>
      </c>
      <c r="O899" t="s">
        <v>170</v>
      </c>
      <c r="P899" t="s">
        <v>420</v>
      </c>
      <c r="Q899" t="s">
        <v>408</v>
      </c>
      <c r="R899" t="s">
        <v>408</v>
      </c>
      <c r="S899">
        <v>2022</v>
      </c>
      <c r="T899">
        <v>6</v>
      </c>
      <c r="U899" t="s">
        <v>408</v>
      </c>
      <c r="V899" t="s">
        <v>408</v>
      </c>
      <c r="W899">
        <v>0</v>
      </c>
      <c r="X899">
        <v>0</v>
      </c>
      <c r="Y899" t="s">
        <v>408</v>
      </c>
      <c r="Z899">
        <v>2022</v>
      </c>
      <c r="AA899">
        <v>0</v>
      </c>
      <c r="AB899">
        <v>0.20927919375099999</v>
      </c>
      <c r="AC899">
        <v>0.41855838750300001</v>
      </c>
      <c r="AD899" t="s">
        <v>400</v>
      </c>
      <c r="AE899" t="s">
        <v>400</v>
      </c>
      <c r="AF899" t="s">
        <v>400</v>
      </c>
      <c r="AG899" t="s">
        <v>400</v>
      </c>
      <c r="AH899" t="s">
        <v>400</v>
      </c>
      <c r="AI899" t="s">
        <v>400</v>
      </c>
      <c r="AJ899" t="s">
        <v>400</v>
      </c>
      <c r="AK899" t="s">
        <v>400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 s="58">
        <f t="shared" si="13"/>
        <v>1</v>
      </c>
      <c r="AU899" t="s">
        <v>597</v>
      </c>
      <c r="AV899" t="s">
        <v>410</v>
      </c>
      <c r="AW899" t="s">
        <v>400</v>
      </c>
      <c r="AX899">
        <v>3</v>
      </c>
      <c r="AY899" t="s">
        <v>17</v>
      </c>
      <c r="AZ899">
        <v>20</v>
      </c>
    </row>
    <row r="900" spans="1:52" x14ac:dyDescent="0.3">
      <c r="A900">
        <v>889</v>
      </c>
      <c r="B900" t="s">
        <v>1878</v>
      </c>
      <c r="C900" t="s">
        <v>447</v>
      </c>
      <c r="D900" t="s">
        <v>1879</v>
      </c>
      <c r="E900" t="s">
        <v>417</v>
      </c>
      <c r="F900" t="s">
        <v>400</v>
      </c>
      <c r="G900" t="s">
        <v>408</v>
      </c>
      <c r="H900">
        <v>0</v>
      </c>
      <c r="I900" t="s">
        <v>1880</v>
      </c>
      <c r="J900">
        <v>0</v>
      </c>
      <c r="K900">
        <v>0</v>
      </c>
      <c r="L900" t="s">
        <v>940</v>
      </c>
      <c r="M900">
        <v>0</v>
      </c>
      <c r="N900" t="s">
        <v>168</v>
      </c>
      <c r="O900" t="s">
        <v>569</v>
      </c>
      <c r="P900" t="s">
        <v>420</v>
      </c>
      <c r="Q900" t="s">
        <v>408</v>
      </c>
      <c r="R900" t="s">
        <v>408</v>
      </c>
      <c r="S900">
        <v>2022</v>
      </c>
      <c r="T900">
        <v>6</v>
      </c>
      <c r="U900" t="s">
        <v>408</v>
      </c>
      <c r="V900" t="s">
        <v>408</v>
      </c>
      <c r="W900">
        <v>0</v>
      </c>
      <c r="X900">
        <v>0</v>
      </c>
      <c r="Y900" t="s">
        <v>408</v>
      </c>
      <c r="Z900">
        <v>2022</v>
      </c>
      <c r="AA900">
        <v>0</v>
      </c>
      <c r="AB900">
        <v>0.16764201611599999</v>
      </c>
      <c r="AC900">
        <v>0.33528403223199998</v>
      </c>
      <c r="AD900" t="s">
        <v>400</v>
      </c>
      <c r="AE900" t="s">
        <v>400</v>
      </c>
      <c r="AF900" t="s">
        <v>400</v>
      </c>
      <c r="AG900" t="s">
        <v>400</v>
      </c>
      <c r="AH900" t="s">
        <v>400</v>
      </c>
      <c r="AI900" t="s">
        <v>400</v>
      </c>
      <c r="AJ900" t="s">
        <v>400</v>
      </c>
      <c r="AK900" t="s">
        <v>400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 s="58">
        <f t="shared" si="13"/>
        <v>1</v>
      </c>
      <c r="AU900" t="s">
        <v>597</v>
      </c>
      <c r="AV900" t="s">
        <v>410</v>
      </c>
      <c r="AW900" t="s">
        <v>400</v>
      </c>
      <c r="AX900">
        <v>3</v>
      </c>
      <c r="AY900" t="s">
        <v>17</v>
      </c>
      <c r="AZ900">
        <v>20</v>
      </c>
    </row>
    <row r="901" spans="1:52" x14ac:dyDescent="0.3">
      <c r="A901">
        <v>890</v>
      </c>
      <c r="B901" t="s">
        <v>1849</v>
      </c>
      <c r="C901" t="s">
        <v>154</v>
      </c>
      <c r="D901" t="s">
        <v>1850</v>
      </c>
      <c r="E901" t="s">
        <v>460</v>
      </c>
      <c r="F901" t="s">
        <v>400</v>
      </c>
      <c r="G901">
        <v>2000</v>
      </c>
      <c r="H901">
        <v>2001</v>
      </c>
      <c r="I901" t="s">
        <v>435</v>
      </c>
      <c r="J901">
        <v>0</v>
      </c>
      <c r="K901">
        <v>0</v>
      </c>
      <c r="L901" t="s">
        <v>718</v>
      </c>
      <c r="M901">
        <v>0</v>
      </c>
      <c r="N901" t="s">
        <v>167</v>
      </c>
      <c r="O901" t="s">
        <v>569</v>
      </c>
      <c r="P901" t="s">
        <v>420</v>
      </c>
      <c r="Q901" t="s">
        <v>408</v>
      </c>
      <c r="R901" t="s">
        <v>408</v>
      </c>
      <c r="S901">
        <v>2022</v>
      </c>
      <c r="T901">
        <v>6</v>
      </c>
      <c r="U901" t="s">
        <v>1881</v>
      </c>
      <c r="V901" t="s">
        <v>400</v>
      </c>
      <c r="W901">
        <v>0</v>
      </c>
      <c r="X901">
        <v>0</v>
      </c>
      <c r="Y901" t="s">
        <v>400</v>
      </c>
      <c r="Z901">
        <v>2022</v>
      </c>
      <c r="AA901">
        <v>0</v>
      </c>
      <c r="AB901">
        <v>0.67006152473400005</v>
      </c>
      <c r="AC901">
        <v>1.34012304947</v>
      </c>
      <c r="AD901" t="s">
        <v>408</v>
      </c>
      <c r="AE901" t="s">
        <v>400</v>
      </c>
      <c r="AF901" t="s">
        <v>400</v>
      </c>
      <c r="AG901" t="s">
        <v>400</v>
      </c>
      <c r="AH901" t="s">
        <v>400</v>
      </c>
      <c r="AI901" t="s">
        <v>400</v>
      </c>
      <c r="AJ901" t="s">
        <v>400</v>
      </c>
      <c r="AK901" t="s">
        <v>400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s="58">
        <f t="shared" si="13"/>
        <v>1</v>
      </c>
      <c r="AU901" t="s">
        <v>597</v>
      </c>
      <c r="AV901" t="s">
        <v>410</v>
      </c>
      <c r="AW901" t="s">
        <v>400</v>
      </c>
      <c r="AX901">
        <v>0</v>
      </c>
      <c r="AY901" t="s">
        <v>412</v>
      </c>
      <c r="AZ901">
        <v>30</v>
      </c>
    </row>
    <row r="902" spans="1:52" x14ac:dyDescent="0.3">
      <c r="A902">
        <v>891</v>
      </c>
      <c r="B902" t="s">
        <v>1882</v>
      </c>
      <c r="C902" t="s">
        <v>154</v>
      </c>
      <c r="D902" t="s">
        <v>1883</v>
      </c>
      <c r="E902" t="s">
        <v>460</v>
      </c>
      <c r="F902" t="s">
        <v>154</v>
      </c>
      <c r="G902">
        <v>0</v>
      </c>
      <c r="H902">
        <v>0</v>
      </c>
      <c r="I902" t="s">
        <v>1884</v>
      </c>
      <c r="J902">
        <v>2000</v>
      </c>
      <c r="K902">
        <v>2001</v>
      </c>
      <c r="L902" t="s">
        <v>435</v>
      </c>
      <c r="M902">
        <v>0</v>
      </c>
      <c r="N902" t="s">
        <v>168</v>
      </c>
      <c r="O902" t="s">
        <v>168</v>
      </c>
      <c r="P902" t="s">
        <v>420</v>
      </c>
      <c r="Q902" t="s">
        <v>1885</v>
      </c>
      <c r="R902" t="s">
        <v>408</v>
      </c>
      <c r="S902">
        <v>2022</v>
      </c>
      <c r="T902">
        <v>7</v>
      </c>
      <c r="U902" t="s">
        <v>408</v>
      </c>
      <c r="V902" t="s">
        <v>408</v>
      </c>
      <c r="W902">
        <v>0</v>
      </c>
      <c r="X902">
        <v>0</v>
      </c>
      <c r="Y902" t="s">
        <v>408</v>
      </c>
      <c r="Z902">
        <v>2022</v>
      </c>
      <c r="AA902">
        <v>0</v>
      </c>
      <c r="AB902">
        <v>1.26714412257</v>
      </c>
      <c r="AC902">
        <v>2.5342880000000001</v>
      </c>
      <c r="AD902" t="s">
        <v>408</v>
      </c>
      <c r="AE902" t="s">
        <v>152</v>
      </c>
      <c r="AF902" t="s">
        <v>400</v>
      </c>
      <c r="AG902" t="s">
        <v>411</v>
      </c>
      <c r="AH902" t="s">
        <v>400</v>
      </c>
      <c r="AI902" t="s">
        <v>400</v>
      </c>
      <c r="AJ902" t="s">
        <v>400</v>
      </c>
      <c r="AK902" t="s">
        <v>400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s="58">
        <f t="shared" si="13"/>
        <v>1</v>
      </c>
      <c r="AU902" t="s">
        <v>666</v>
      </c>
      <c r="AV902" t="s">
        <v>410</v>
      </c>
      <c r="AW902" t="s">
        <v>400</v>
      </c>
      <c r="AX902">
        <v>3</v>
      </c>
      <c r="AY902" t="s">
        <v>17</v>
      </c>
      <c r="AZ902">
        <v>20</v>
      </c>
    </row>
    <row r="903" spans="1:52" x14ac:dyDescent="0.3">
      <c r="A903">
        <v>892</v>
      </c>
      <c r="B903" t="s">
        <v>1886</v>
      </c>
      <c r="C903" t="s">
        <v>154</v>
      </c>
      <c r="D903" t="s">
        <v>1887</v>
      </c>
      <c r="E903" t="s">
        <v>460</v>
      </c>
      <c r="F903" t="s">
        <v>447</v>
      </c>
      <c r="G903" t="s">
        <v>408</v>
      </c>
      <c r="H903">
        <v>0</v>
      </c>
      <c r="I903" t="s">
        <v>619</v>
      </c>
      <c r="J903">
        <v>0</v>
      </c>
      <c r="K903">
        <v>0</v>
      </c>
      <c r="L903" t="s">
        <v>722</v>
      </c>
      <c r="M903">
        <v>0</v>
      </c>
      <c r="N903" t="s">
        <v>168</v>
      </c>
      <c r="O903" t="s">
        <v>170</v>
      </c>
      <c r="P903" t="s">
        <v>420</v>
      </c>
      <c r="Q903" t="s">
        <v>408</v>
      </c>
      <c r="R903" t="s">
        <v>1888</v>
      </c>
      <c r="S903">
        <v>2022</v>
      </c>
      <c r="T903">
        <v>7</v>
      </c>
      <c r="U903" t="s">
        <v>1889</v>
      </c>
      <c r="V903" t="s">
        <v>408</v>
      </c>
      <c r="W903">
        <v>0</v>
      </c>
      <c r="X903">
        <v>0</v>
      </c>
      <c r="Y903" t="s">
        <v>408</v>
      </c>
      <c r="Z903">
        <v>2022</v>
      </c>
      <c r="AA903">
        <v>0</v>
      </c>
      <c r="AB903">
        <v>0.19235746574900001</v>
      </c>
      <c r="AC903">
        <v>0.38471493149800001</v>
      </c>
      <c r="AD903" t="s">
        <v>408</v>
      </c>
      <c r="AE903" t="s">
        <v>152</v>
      </c>
      <c r="AF903" t="s">
        <v>400</v>
      </c>
      <c r="AG903" t="s">
        <v>411</v>
      </c>
      <c r="AH903" t="s">
        <v>400</v>
      </c>
      <c r="AI903" t="s">
        <v>400</v>
      </c>
      <c r="AJ903" t="s">
        <v>400</v>
      </c>
      <c r="AK903" t="s">
        <v>400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s="58">
        <f t="shared" si="13"/>
        <v>1</v>
      </c>
      <c r="AU903" t="s">
        <v>597</v>
      </c>
      <c r="AV903" t="s">
        <v>410</v>
      </c>
      <c r="AW903" t="s">
        <v>400</v>
      </c>
      <c r="AX903">
        <v>3</v>
      </c>
      <c r="AY903" t="s">
        <v>17</v>
      </c>
      <c r="AZ903">
        <v>20</v>
      </c>
    </row>
    <row r="904" spans="1:52" x14ac:dyDescent="0.3">
      <c r="A904">
        <v>893</v>
      </c>
      <c r="B904" s="62" t="s">
        <v>1886</v>
      </c>
      <c r="C904" t="s">
        <v>154</v>
      </c>
      <c r="D904" t="s">
        <v>1887</v>
      </c>
      <c r="E904" t="s">
        <v>460</v>
      </c>
      <c r="F904" t="s">
        <v>400</v>
      </c>
      <c r="G904" t="s">
        <v>408</v>
      </c>
      <c r="H904">
        <v>0</v>
      </c>
      <c r="I904" t="s">
        <v>1014</v>
      </c>
      <c r="J904">
        <v>0</v>
      </c>
      <c r="K904">
        <v>0</v>
      </c>
      <c r="L904" t="s">
        <v>619</v>
      </c>
      <c r="M904">
        <v>0</v>
      </c>
      <c r="N904" t="s">
        <v>168</v>
      </c>
      <c r="O904" t="s">
        <v>170</v>
      </c>
      <c r="P904" t="s">
        <v>420</v>
      </c>
      <c r="Q904" t="s">
        <v>408</v>
      </c>
      <c r="R904" t="s">
        <v>1888</v>
      </c>
      <c r="S904">
        <v>2022</v>
      </c>
      <c r="T904">
        <v>7</v>
      </c>
      <c r="U904" t="s">
        <v>1889</v>
      </c>
      <c r="V904" t="s">
        <v>408</v>
      </c>
      <c r="W904">
        <v>0</v>
      </c>
      <c r="X904">
        <v>0</v>
      </c>
      <c r="Y904" t="s">
        <v>408</v>
      </c>
      <c r="Z904">
        <v>2022</v>
      </c>
      <c r="AA904">
        <v>0</v>
      </c>
      <c r="AB904">
        <v>0.18921605037799999</v>
      </c>
      <c r="AC904">
        <v>0.378432100755</v>
      </c>
      <c r="AD904" t="s">
        <v>408</v>
      </c>
      <c r="AE904" t="s">
        <v>400</v>
      </c>
      <c r="AF904" t="s">
        <v>400</v>
      </c>
      <c r="AG904" t="s">
        <v>400</v>
      </c>
      <c r="AH904" t="s">
        <v>400</v>
      </c>
      <c r="AI904" t="s">
        <v>400</v>
      </c>
      <c r="AJ904" t="s">
        <v>400</v>
      </c>
      <c r="AK904" t="s">
        <v>400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U904" t="s">
        <v>597</v>
      </c>
      <c r="AV904" t="s">
        <v>410</v>
      </c>
      <c r="AW904" t="s">
        <v>400</v>
      </c>
      <c r="AX904">
        <v>3</v>
      </c>
      <c r="AY904" t="s">
        <v>17</v>
      </c>
      <c r="AZ904">
        <v>20</v>
      </c>
    </row>
    <row r="905" spans="1:52" x14ac:dyDescent="0.3">
      <c r="A905">
        <v>894</v>
      </c>
      <c r="B905" s="62" t="s">
        <v>464</v>
      </c>
      <c r="C905" t="s">
        <v>154</v>
      </c>
      <c r="D905" t="s">
        <v>465</v>
      </c>
      <c r="E905" t="s">
        <v>466</v>
      </c>
      <c r="F905" t="s">
        <v>400</v>
      </c>
      <c r="G905" t="s">
        <v>408</v>
      </c>
      <c r="H905">
        <v>0</v>
      </c>
      <c r="I905" t="s">
        <v>1528</v>
      </c>
      <c r="J905">
        <v>0</v>
      </c>
      <c r="K905">
        <v>0</v>
      </c>
      <c r="L905" t="s">
        <v>1522</v>
      </c>
      <c r="M905">
        <v>0</v>
      </c>
      <c r="N905" t="s">
        <v>170</v>
      </c>
      <c r="O905" t="s">
        <v>170</v>
      </c>
      <c r="P905" t="s">
        <v>420</v>
      </c>
      <c r="Q905" t="s">
        <v>408</v>
      </c>
      <c r="R905" t="s">
        <v>408</v>
      </c>
      <c r="S905">
        <v>2022</v>
      </c>
      <c r="T905">
        <v>6</v>
      </c>
      <c r="U905" t="s">
        <v>408</v>
      </c>
      <c r="V905" t="s">
        <v>408</v>
      </c>
      <c r="W905">
        <v>0</v>
      </c>
      <c r="X905">
        <v>0</v>
      </c>
      <c r="Y905" t="s">
        <v>408</v>
      </c>
      <c r="Z905">
        <v>2022</v>
      </c>
      <c r="AA905">
        <v>0</v>
      </c>
      <c r="AB905">
        <v>0.50543499474300002</v>
      </c>
      <c r="AC905">
        <v>1.01086998949</v>
      </c>
      <c r="AD905" t="s">
        <v>408</v>
      </c>
      <c r="AE905" t="s">
        <v>400</v>
      </c>
      <c r="AF905" t="s">
        <v>400</v>
      </c>
      <c r="AG905" t="s">
        <v>400</v>
      </c>
      <c r="AH905" t="s">
        <v>400</v>
      </c>
      <c r="AI905" t="s">
        <v>400</v>
      </c>
      <c r="AJ905" t="s">
        <v>400</v>
      </c>
      <c r="AK905" t="s">
        <v>400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U905" t="s">
        <v>597</v>
      </c>
      <c r="AV905" t="s">
        <v>410</v>
      </c>
      <c r="AW905" t="s">
        <v>400</v>
      </c>
      <c r="AX905">
        <v>0</v>
      </c>
      <c r="AY905" t="s">
        <v>412</v>
      </c>
      <c r="AZ905">
        <v>30</v>
      </c>
    </row>
    <row r="906" spans="1:52" x14ac:dyDescent="0.3">
      <c r="A906">
        <v>895</v>
      </c>
      <c r="B906" s="62" t="s">
        <v>1868</v>
      </c>
      <c r="C906" t="s">
        <v>1890</v>
      </c>
      <c r="D906" t="s">
        <v>1869</v>
      </c>
      <c r="E906" t="s">
        <v>460</v>
      </c>
      <c r="F906" t="s">
        <v>400</v>
      </c>
      <c r="G906" t="s">
        <v>408</v>
      </c>
      <c r="H906">
        <v>0</v>
      </c>
      <c r="I906" t="s">
        <v>535</v>
      </c>
      <c r="J906">
        <v>0</v>
      </c>
      <c r="K906">
        <v>0</v>
      </c>
      <c r="L906" t="s">
        <v>1891</v>
      </c>
      <c r="M906">
        <v>0</v>
      </c>
      <c r="N906" t="s">
        <v>167</v>
      </c>
      <c r="O906" t="s">
        <v>569</v>
      </c>
      <c r="P906" t="s">
        <v>420</v>
      </c>
      <c r="Q906" t="s">
        <v>408</v>
      </c>
      <c r="R906" t="s">
        <v>1892</v>
      </c>
      <c r="S906">
        <v>2022</v>
      </c>
      <c r="T906">
        <v>6</v>
      </c>
      <c r="U906" t="s">
        <v>408</v>
      </c>
      <c r="V906" t="s">
        <v>408</v>
      </c>
      <c r="W906">
        <v>0</v>
      </c>
      <c r="X906">
        <v>0</v>
      </c>
      <c r="Y906" t="s">
        <v>408</v>
      </c>
      <c r="Z906">
        <v>2022</v>
      </c>
      <c r="AA906">
        <v>0</v>
      </c>
      <c r="AB906">
        <v>1.1293971355800001</v>
      </c>
      <c r="AC906">
        <v>2.2587942711500002</v>
      </c>
      <c r="AD906" t="s">
        <v>408</v>
      </c>
      <c r="AE906" t="s">
        <v>400</v>
      </c>
      <c r="AF906" t="s">
        <v>400</v>
      </c>
      <c r="AG906" t="s">
        <v>400</v>
      </c>
      <c r="AH906" t="s">
        <v>400</v>
      </c>
      <c r="AI906" t="s">
        <v>400</v>
      </c>
      <c r="AJ906" t="s">
        <v>400</v>
      </c>
      <c r="AK906" t="s">
        <v>400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U906" t="s">
        <v>597</v>
      </c>
      <c r="AV906" t="s">
        <v>410</v>
      </c>
      <c r="AW906" t="s">
        <v>400</v>
      </c>
      <c r="AX906">
        <v>0</v>
      </c>
      <c r="AY906" t="s">
        <v>412</v>
      </c>
      <c r="AZ906">
        <v>30</v>
      </c>
    </row>
    <row r="907" spans="1:52" x14ac:dyDescent="0.3">
      <c r="A907">
        <v>896</v>
      </c>
      <c r="B907" s="62" t="s">
        <v>1183</v>
      </c>
      <c r="C907" t="s">
        <v>154</v>
      </c>
      <c r="D907" t="s">
        <v>1184</v>
      </c>
      <c r="E907" t="s">
        <v>417</v>
      </c>
      <c r="F907" t="s">
        <v>400</v>
      </c>
      <c r="G907" t="s">
        <v>408</v>
      </c>
      <c r="H907">
        <v>0</v>
      </c>
      <c r="I907" t="s">
        <v>1528</v>
      </c>
      <c r="J907">
        <v>0</v>
      </c>
      <c r="K907">
        <v>0</v>
      </c>
      <c r="L907" t="s">
        <v>1235</v>
      </c>
      <c r="M907">
        <v>0</v>
      </c>
      <c r="N907" t="s">
        <v>167</v>
      </c>
      <c r="O907" t="s">
        <v>569</v>
      </c>
      <c r="P907" t="s">
        <v>420</v>
      </c>
      <c r="Q907" t="s">
        <v>408</v>
      </c>
      <c r="R907" t="s">
        <v>1892</v>
      </c>
      <c r="S907">
        <v>2022</v>
      </c>
      <c r="T907">
        <v>6</v>
      </c>
      <c r="U907" t="s">
        <v>1893</v>
      </c>
      <c r="V907" t="s">
        <v>408</v>
      </c>
      <c r="W907">
        <v>0</v>
      </c>
      <c r="X907">
        <v>0</v>
      </c>
      <c r="Y907" t="s">
        <v>408</v>
      </c>
      <c r="Z907">
        <v>2022</v>
      </c>
      <c r="AA907">
        <v>0</v>
      </c>
      <c r="AB907">
        <v>1.5245804434900001</v>
      </c>
      <c r="AC907">
        <v>3.0491608869800002</v>
      </c>
      <c r="AD907" t="s">
        <v>400</v>
      </c>
      <c r="AE907" t="s">
        <v>400</v>
      </c>
      <c r="AF907" t="s">
        <v>400</v>
      </c>
      <c r="AG907" t="s">
        <v>400</v>
      </c>
      <c r="AH907" t="s">
        <v>400</v>
      </c>
      <c r="AI907" t="s">
        <v>400</v>
      </c>
      <c r="AJ907" t="s">
        <v>400</v>
      </c>
      <c r="AK907" t="s">
        <v>400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U907" t="s">
        <v>597</v>
      </c>
      <c r="AV907" t="s">
        <v>410</v>
      </c>
      <c r="AW907" t="s">
        <v>400</v>
      </c>
      <c r="AX907">
        <v>0</v>
      </c>
      <c r="AY907" t="s">
        <v>412</v>
      </c>
      <c r="AZ907">
        <v>30</v>
      </c>
    </row>
    <row r="908" spans="1:52" x14ac:dyDescent="0.3">
      <c r="A908">
        <v>897</v>
      </c>
      <c r="B908" s="62" t="s">
        <v>1868</v>
      </c>
      <c r="C908" t="s">
        <v>152</v>
      </c>
      <c r="D908" t="s">
        <v>1869</v>
      </c>
      <c r="E908" t="s">
        <v>460</v>
      </c>
      <c r="F908" t="s">
        <v>400</v>
      </c>
      <c r="G908" t="s">
        <v>408</v>
      </c>
      <c r="H908">
        <v>0</v>
      </c>
      <c r="I908" t="s">
        <v>1894</v>
      </c>
      <c r="J908">
        <v>0</v>
      </c>
      <c r="K908">
        <v>0</v>
      </c>
      <c r="L908" t="s">
        <v>870</v>
      </c>
      <c r="M908">
        <v>0</v>
      </c>
      <c r="N908" t="s">
        <v>163</v>
      </c>
      <c r="O908" t="s">
        <v>163</v>
      </c>
      <c r="P908" t="s">
        <v>420</v>
      </c>
      <c r="Q908" t="s">
        <v>408</v>
      </c>
      <c r="R908" t="s">
        <v>1892</v>
      </c>
      <c r="S908">
        <v>2022</v>
      </c>
      <c r="T908">
        <v>8</v>
      </c>
      <c r="U908" t="s">
        <v>408</v>
      </c>
      <c r="V908" t="s">
        <v>408</v>
      </c>
      <c r="W908">
        <v>0</v>
      </c>
      <c r="X908">
        <v>0</v>
      </c>
      <c r="Y908" t="s">
        <v>408</v>
      </c>
      <c r="Z908">
        <v>2022</v>
      </c>
      <c r="AA908">
        <v>0</v>
      </c>
      <c r="AB908">
        <v>0.26081991468799998</v>
      </c>
      <c r="AC908">
        <v>0.52163982937599995</v>
      </c>
      <c r="AD908" t="s">
        <v>408</v>
      </c>
      <c r="AE908" t="s">
        <v>400</v>
      </c>
      <c r="AF908" t="s">
        <v>400</v>
      </c>
      <c r="AG908" t="s">
        <v>400</v>
      </c>
      <c r="AH908" t="s">
        <v>400</v>
      </c>
      <c r="AI908" t="s">
        <v>470</v>
      </c>
      <c r="AJ908" t="s">
        <v>400</v>
      </c>
      <c r="AK908" t="s">
        <v>400</v>
      </c>
      <c r="AL908">
        <v>0</v>
      </c>
      <c r="AM908">
        <v>0</v>
      </c>
      <c r="AN908">
        <v>0.4</v>
      </c>
      <c r="AO908">
        <v>0.6</v>
      </c>
      <c r="AP908">
        <v>0</v>
      </c>
      <c r="AQ908">
        <v>0</v>
      </c>
      <c r="AR908">
        <v>0</v>
      </c>
      <c r="AS908">
        <v>0</v>
      </c>
      <c r="AU908" t="s">
        <v>597</v>
      </c>
      <c r="AV908" t="s">
        <v>410</v>
      </c>
      <c r="AW908" t="s">
        <v>411</v>
      </c>
      <c r="AX908">
        <v>0</v>
      </c>
      <c r="AY908" t="s">
        <v>412</v>
      </c>
      <c r="AZ908">
        <v>30</v>
      </c>
    </row>
    <row r="909" spans="1:52" x14ac:dyDescent="0.3">
      <c r="A909">
        <v>898</v>
      </c>
      <c r="B909" s="62" t="s">
        <v>1868</v>
      </c>
      <c r="C909" t="s">
        <v>152</v>
      </c>
      <c r="D909" t="s">
        <v>1869</v>
      </c>
      <c r="E909" t="s">
        <v>460</v>
      </c>
      <c r="F909" t="s">
        <v>400</v>
      </c>
      <c r="G909" t="s">
        <v>408</v>
      </c>
      <c r="H909">
        <v>0</v>
      </c>
      <c r="I909" t="s">
        <v>770</v>
      </c>
      <c r="J909">
        <v>0</v>
      </c>
      <c r="K909">
        <v>0</v>
      </c>
      <c r="L909" t="s">
        <v>1894</v>
      </c>
      <c r="M909">
        <v>0</v>
      </c>
      <c r="N909" t="s">
        <v>167</v>
      </c>
      <c r="O909" t="s">
        <v>167</v>
      </c>
      <c r="P909" t="s">
        <v>420</v>
      </c>
      <c r="Q909" t="s">
        <v>408</v>
      </c>
      <c r="R909" t="s">
        <v>1895</v>
      </c>
      <c r="S909">
        <v>2022</v>
      </c>
      <c r="T909">
        <v>9</v>
      </c>
      <c r="U909" t="s">
        <v>1896</v>
      </c>
      <c r="V909" t="s">
        <v>408</v>
      </c>
      <c r="W909">
        <v>0</v>
      </c>
      <c r="X909">
        <v>0</v>
      </c>
      <c r="Y909" t="s">
        <v>408</v>
      </c>
      <c r="Z909">
        <v>2022</v>
      </c>
      <c r="AA909">
        <v>0</v>
      </c>
      <c r="AB909">
        <v>0.37880137666000002</v>
      </c>
      <c r="AC909">
        <v>0.75760275332100002</v>
      </c>
      <c r="AD909" t="s">
        <v>408</v>
      </c>
      <c r="AE909" t="s">
        <v>400</v>
      </c>
      <c r="AF909" t="s">
        <v>400</v>
      </c>
      <c r="AG909" t="s">
        <v>400</v>
      </c>
      <c r="AH909" t="s">
        <v>400</v>
      </c>
      <c r="AI909" t="s">
        <v>400</v>
      </c>
      <c r="AJ909" t="s">
        <v>400</v>
      </c>
      <c r="AK909" t="s">
        <v>400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U909" t="s">
        <v>1897</v>
      </c>
      <c r="AV909" t="s">
        <v>410</v>
      </c>
      <c r="AW909" t="s">
        <v>400</v>
      </c>
      <c r="AX909">
        <v>0</v>
      </c>
      <c r="AY909" t="s">
        <v>17</v>
      </c>
      <c r="AZ909">
        <v>30</v>
      </c>
    </row>
    <row r="910" spans="1:52" x14ac:dyDescent="0.3">
      <c r="A910">
        <v>899</v>
      </c>
      <c r="B910" s="62" t="s">
        <v>563</v>
      </c>
      <c r="C910" t="s">
        <v>154</v>
      </c>
      <c r="D910" t="s">
        <v>564</v>
      </c>
      <c r="E910" t="s">
        <v>460</v>
      </c>
      <c r="F910" t="s">
        <v>400</v>
      </c>
      <c r="G910" t="s">
        <v>408</v>
      </c>
      <c r="H910">
        <v>0</v>
      </c>
      <c r="I910" t="s">
        <v>780</v>
      </c>
      <c r="J910">
        <v>0</v>
      </c>
      <c r="K910">
        <v>0</v>
      </c>
      <c r="L910" t="s">
        <v>1898</v>
      </c>
      <c r="M910">
        <v>0</v>
      </c>
      <c r="N910" t="s">
        <v>165</v>
      </c>
      <c r="O910" t="s">
        <v>165</v>
      </c>
      <c r="P910" t="s">
        <v>420</v>
      </c>
      <c r="Q910" t="s">
        <v>408</v>
      </c>
      <c r="R910" t="s">
        <v>1892</v>
      </c>
      <c r="S910">
        <v>2022</v>
      </c>
      <c r="T910">
        <v>7</v>
      </c>
      <c r="U910" t="s">
        <v>408</v>
      </c>
      <c r="V910" t="s">
        <v>408</v>
      </c>
      <c r="W910">
        <v>0</v>
      </c>
      <c r="X910">
        <v>0</v>
      </c>
      <c r="Y910" t="s">
        <v>408</v>
      </c>
      <c r="Z910">
        <v>2022</v>
      </c>
      <c r="AA910">
        <v>0</v>
      </c>
      <c r="AB910">
        <v>0.39619841077700002</v>
      </c>
      <c r="AC910">
        <v>0.79239682155400004</v>
      </c>
      <c r="AD910" t="s">
        <v>400</v>
      </c>
      <c r="AE910" t="s">
        <v>400</v>
      </c>
      <c r="AF910" t="s">
        <v>400</v>
      </c>
      <c r="AG910" t="s">
        <v>400</v>
      </c>
      <c r="AH910" t="s">
        <v>400</v>
      </c>
      <c r="AI910" t="s">
        <v>400</v>
      </c>
      <c r="AJ910" t="s">
        <v>400</v>
      </c>
      <c r="AK910" t="s">
        <v>400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U910" t="s">
        <v>597</v>
      </c>
      <c r="AV910" t="s">
        <v>410</v>
      </c>
      <c r="AW910" t="s">
        <v>400</v>
      </c>
      <c r="AX910">
        <v>0</v>
      </c>
      <c r="AY910" t="s">
        <v>412</v>
      </c>
      <c r="AZ910">
        <v>30</v>
      </c>
    </row>
    <row r="911" spans="1:52" x14ac:dyDescent="0.3">
      <c r="A911">
        <v>900</v>
      </c>
      <c r="B911" s="62" t="s">
        <v>563</v>
      </c>
      <c r="C911" t="s">
        <v>154</v>
      </c>
      <c r="D911" t="s">
        <v>564</v>
      </c>
      <c r="E911" t="s">
        <v>460</v>
      </c>
      <c r="F911" t="s">
        <v>400</v>
      </c>
      <c r="G911" t="s">
        <v>408</v>
      </c>
      <c r="H911">
        <v>0</v>
      </c>
      <c r="I911" t="s">
        <v>1898</v>
      </c>
      <c r="J911">
        <v>0</v>
      </c>
      <c r="K911">
        <v>0</v>
      </c>
      <c r="L911" t="s">
        <v>1081</v>
      </c>
      <c r="M911">
        <v>0</v>
      </c>
      <c r="N911" t="s">
        <v>170</v>
      </c>
      <c r="O911" t="s">
        <v>170</v>
      </c>
      <c r="P911" t="s">
        <v>420</v>
      </c>
      <c r="Q911" t="s">
        <v>408</v>
      </c>
      <c r="R911" t="s">
        <v>1892</v>
      </c>
      <c r="S911">
        <v>2022</v>
      </c>
      <c r="T911">
        <v>7</v>
      </c>
      <c r="U911" t="s">
        <v>408</v>
      </c>
      <c r="V911" t="s">
        <v>408</v>
      </c>
      <c r="W911">
        <v>0</v>
      </c>
      <c r="X911">
        <v>0</v>
      </c>
      <c r="Y911" t="s">
        <v>408</v>
      </c>
      <c r="Z911">
        <v>2022</v>
      </c>
      <c r="AA911">
        <v>0</v>
      </c>
      <c r="AB911">
        <v>0.13012295053</v>
      </c>
      <c r="AC911">
        <v>0.26024590106000001</v>
      </c>
      <c r="AD911" t="s">
        <v>400</v>
      </c>
      <c r="AE911" t="s">
        <v>400</v>
      </c>
      <c r="AF911" t="s">
        <v>400</v>
      </c>
      <c r="AG911" t="s">
        <v>400</v>
      </c>
      <c r="AH911" t="s">
        <v>400</v>
      </c>
      <c r="AI911" t="s">
        <v>400</v>
      </c>
      <c r="AJ911" t="s">
        <v>400</v>
      </c>
      <c r="AK911" t="s">
        <v>400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U911" t="s">
        <v>597</v>
      </c>
      <c r="AV911" t="s">
        <v>410</v>
      </c>
      <c r="AW911" t="s">
        <v>400</v>
      </c>
      <c r="AX911">
        <v>0</v>
      </c>
      <c r="AY911" t="s">
        <v>412</v>
      </c>
      <c r="AZ911">
        <v>30</v>
      </c>
    </row>
    <row r="912" spans="1:52" x14ac:dyDescent="0.3">
      <c r="A912">
        <v>901</v>
      </c>
      <c r="B912" s="62" t="s">
        <v>563</v>
      </c>
      <c r="C912" t="s">
        <v>154</v>
      </c>
      <c r="D912" t="s">
        <v>564</v>
      </c>
      <c r="E912" t="s">
        <v>460</v>
      </c>
      <c r="F912" t="s">
        <v>400</v>
      </c>
      <c r="G912" t="s">
        <v>408</v>
      </c>
      <c r="H912">
        <v>0</v>
      </c>
      <c r="I912" t="s">
        <v>1081</v>
      </c>
      <c r="J912">
        <v>0</v>
      </c>
      <c r="K912">
        <v>0</v>
      </c>
      <c r="L912" t="s">
        <v>1136</v>
      </c>
      <c r="M912">
        <v>0</v>
      </c>
      <c r="N912" t="s">
        <v>165</v>
      </c>
      <c r="O912" t="s">
        <v>165</v>
      </c>
      <c r="P912" t="s">
        <v>420</v>
      </c>
      <c r="Q912" t="s">
        <v>408</v>
      </c>
      <c r="R912" t="s">
        <v>1892</v>
      </c>
      <c r="S912">
        <v>2022</v>
      </c>
      <c r="T912">
        <v>7</v>
      </c>
      <c r="U912" t="s">
        <v>408</v>
      </c>
      <c r="V912" t="s">
        <v>408</v>
      </c>
      <c r="W912">
        <v>0</v>
      </c>
      <c r="X912">
        <v>0</v>
      </c>
      <c r="Y912" t="s">
        <v>408</v>
      </c>
      <c r="Z912">
        <v>2022</v>
      </c>
      <c r="AA912">
        <v>0</v>
      </c>
      <c r="AB912">
        <v>0.52086505592999999</v>
      </c>
      <c r="AC912">
        <v>1.04173011186</v>
      </c>
      <c r="AD912" t="s">
        <v>400</v>
      </c>
      <c r="AE912" t="s">
        <v>400</v>
      </c>
      <c r="AF912" t="s">
        <v>400</v>
      </c>
      <c r="AG912" t="s">
        <v>400</v>
      </c>
      <c r="AH912" t="s">
        <v>400</v>
      </c>
      <c r="AI912" t="s">
        <v>400</v>
      </c>
      <c r="AJ912" t="s">
        <v>400</v>
      </c>
      <c r="AK912" t="s">
        <v>400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U912" t="s">
        <v>597</v>
      </c>
      <c r="AV912" t="s">
        <v>410</v>
      </c>
      <c r="AW912" t="s">
        <v>400</v>
      </c>
      <c r="AX912">
        <v>0</v>
      </c>
      <c r="AY912" t="s">
        <v>412</v>
      </c>
      <c r="AZ912">
        <v>30</v>
      </c>
    </row>
    <row r="913" spans="1:52" x14ac:dyDescent="0.3">
      <c r="A913">
        <v>902</v>
      </c>
      <c r="B913" s="62" t="s">
        <v>563</v>
      </c>
      <c r="C913" t="s">
        <v>154</v>
      </c>
      <c r="D913" t="s">
        <v>564</v>
      </c>
      <c r="E913" t="s">
        <v>460</v>
      </c>
      <c r="F913" t="s">
        <v>400</v>
      </c>
      <c r="G913" t="s">
        <v>408</v>
      </c>
      <c r="H913">
        <v>0</v>
      </c>
      <c r="I913" t="s">
        <v>1899</v>
      </c>
      <c r="J913">
        <v>0</v>
      </c>
      <c r="K913">
        <v>0</v>
      </c>
      <c r="L913" t="s">
        <v>1069</v>
      </c>
      <c r="M913">
        <v>0</v>
      </c>
      <c r="N913" t="s">
        <v>165</v>
      </c>
      <c r="O913" t="s">
        <v>165</v>
      </c>
      <c r="P913" t="s">
        <v>420</v>
      </c>
      <c r="Q913" t="s">
        <v>408</v>
      </c>
      <c r="R913" t="s">
        <v>1892</v>
      </c>
      <c r="S913">
        <v>2022</v>
      </c>
      <c r="T913">
        <v>7</v>
      </c>
      <c r="U913" t="s">
        <v>408</v>
      </c>
      <c r="V913" t="s">
        <v>408</v>
      </c>
      <c r="W913">
        <v>0</v>
      </c>
      <c r="X913">
        <v>0</v>
      </c>
      <c r="Y913" t="s">
        <v>408</v>
      </c>
      <c r="Z913">
        <v>2022</v>
      </c>
      <c r="AA913">
        <v>0</v>
      </c>
      <c r="AB913">
        <v>0.262532892292</v>
      </c>
      <c r="AC913">
        <v>0.52506578458499997</v>
      </c>
      <c r="AD913" t="s">
        <v>400</v>
      </c>
      <c r="AE913" t="s">
        <v>400</v>
      </c>
      <c r="AF913" t="s">
        <v>400</v>
      </c>
      <c r="AG913" t="s">
        <v>400</v>
      </c>
      <c r="AH913" t="s">
        <v>400</v>
      </c>
      <c r="AI913" t="s">
        <v>400</v>
      </c>
      <c r="AJ913" t="s">
        <v>400</v>
      </c>
      <c r="AK913" t="s">
        <v>400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U913" t="s">
        <v>597</v>
      </c>
      <c r="AV913" t="s">
        <v>410</v>
      </c>
      <c r="AW913" t="s">
        <v>400</v>
      </c>
      <c r="AX913">
        <v>0</v>
      </c>
      <c r="AY913" t="s">
        <v>412</v>
      </c>
      <c r="AZ913">
        <v>30</v>
      </c>
    </row>
    <row r="914" spans="1:52" x14ac:dyDescent="0.3">
      <c r="A914">
        <v>903</v>
      </c>
      <c r="B914" s="62" t="s">
        <v>563</v>
      </c>
      <c r="C914" t="s">
        <v>154</v>
      </c>
      <c r="D914" t="s">
        <v>564</v>
      </c>
      <c r="E914" t="s">
        <v>460</v>
      </c>
      <c r="F914" t="s">
        <v>400</v>
      </c>
      <c r="G914" t="s">
        <v>408</v>
      </c>
      <c r="H914">
        <v>0</v>
      </c>
      <c r="I914" t="s">
        <v>1069</v>
      </c>
      <c r="J914">
        <v>0</v>
      </c>
      <c r="K914">
        <v>0</v>
      </c>
      <c r="L914" t="s">
        <v>1900</v>
      </c>
      <c r="M914">
        <v>0</v>
      </c>
      <c r="N914" t="s">
        <v>167</v>
      </c>
      <c r="O914" t="s">
        <v>167</v>
      </c>
      <c r="P914" t="s">
        <v>420</v>
      </c>
      <c r="Q914" t="s">
        <v>408</v>
      </c>
      <c r="R914" t="s">
        <v>1892</v>
      </c>
      <c r="S914">
        <v>2022</v>
      </c>
      <c r="T914">
        <v>7</v>
      </c>
      <c r="U914" t="s">
        <v>408</v>
      </c>
      <c r="V914" t="s">
        <v>408</v>
      </c>
      <c r="W914">
        <v>0</v>
      </c>
      <c r="X914">
        <v>0</v>
      </c>
      <c r="Y914" t="s">
        <v>408</v>
      </c>
      <c r="Z914">
        <v>2022</v>
      </c>
      <c r="AA914">
        <v>0</v>
      </c>
      <c r="AB914">
        <v>0.131827593396</v>
      </c>
      <c r="AC914">
        <v>0.26365518679299998</v>
      </c>
      <c r="AD914" t="s">
        <v>400</v>
      </c>
      <c r="AE914" t="s">
        <v>400</v>
      </c>
      <c r="AF914" t="s">
        <v>400</v>
      </c>
      <c r="AG914" t="s">
        <v>400</v>
      </c>
      <c r="AH914" t="s">
        <v>400</v>
      </c>
      <c r="AI914" t="s">
        <v>400</v>
      </c>
      <c r="AJ914" t="s">
        <v>400</v>
      </c>
      <c r="AK914" t="s">
        <v>400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U914" t="s">
        <v>597</v>
      </c>
      <c r="AV914" t="s">
        <v>410</v>
      </c>
      <c r="AW914" t="s">
        <v>400</v>
      </c>
      <c r="AX914">
        <v>0</v>
      </c>
      <c r="AY914" t="s">
        <v>412</v>
      </c>
      <c r="AZ914">
        <v>30</v>
      </c>
    </row>
    <row r="915" spans="1:52" x14ac:dyDescent="0.3">
      <c r="A915">
        <v>904</v>
      </c>
      <c r="B915" s="62" t="s">
        <v>563</v>
      </c>
      <c r="C915" t="s">
        <v>154</v>
      </c>
      <c r="D915" t="s">
        <v>564</v>
      </c>
      <c r="E915" t="s">
        <v>460</v>
      </c>
      <c r="F915" t="s">
        <v>400</v>
      </c>
      <c r="G915" t="s">
        <v>408</v>
      </c>
      <c r="H915">
        <v>0</v>
      </c>
      <c r="I915" t="s">
        <v>1136</v>
      </c>
      <c r="J915">
        <v>0</v>
      </c>
      <c r="K915">
        <v>0</v>
      </c>
      <c r="L915" t="s">
        <v>1899</v>
      </c>
      <c r="M915">
        <v>0</v>
      </c>
      <c r="N915" t="s">
        <v>163</v>
      </c>
      <c r="O915" t="s">
        <v>163</v>
      </c>
      <c r="P915" t="s">
        <v>420</v>
      </c>
      <c r="Q915" t="s">
        <v>408</v>
      </c>
      <c r="R915" t="s">
        <v>1892</v>
      </c>
      <c r="S915">
        <v>2022</v>
      </c>
      <c r="T915">
        <v>7</v>
      </c>
      <c r="U915" t="s">
        <v>408</v>
      </c>
      <c r="V915" t="s">
        <v>408</v>
      </c>
      <c r="W915">
        <v>0</v>
      </c>
      <c r="X915">
        <v>0</v>
      </c>
      <c r="Y915" t="s">
        <v>408</v>
      </c>
      <c r="Z915">
        <v>2022</v>
      </c>
      <c r="AA915">
        <v>0</v>
      </c>
      <c r="AB915">
        <v>0.26126982167000001</v>
      </c>
      <c r="AC915">
        <v>0.52253964333900005</v>
      </c>
      <c r="AD915" t="s">
        <v>400</v>
      </c>
      <c r="AE915" t="s">
        <v>400</v>
      </c>
      <c r="AF915" t="s">
        <v>400</v>
      </c>
      <c r="AG915" t="s">
        <v>400</v>
      </c>
      <c r="AH915" t="s">
        <v>400</v>
      </c>
      <c r="AI915" t="s">
        <v>470</v>
      </c>
      <c r="AJ915" t="s">
        <v>400</v>
      </c>
      <c r="AK915" t="s">
        <v>400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U915" t="s">
        <v>597</v>
      </c>
      <c r="AV915" t="s">
        <v>410</v>
      </c>
      <c r="AW915" t="s">
        <v>411</v>
      </c>
      <c r="AX915">
        <v>0</v>
      </c>
      <c r="AY915" t="s">
        <v>412</v>
      </c>
      <c r="AZ915">
        <v>30</v>
      </c>
    </row>
    <row r="916" spans="1:52" x14ac:dyDescent="0.3">
      <c r="A916">
        <v>905</v>
      </c>
      <c r="B916" s="62" t="s">
        <v>1180</v>
      </c>
      <c r="C916" t="s">
        <v>154</v>
      </c>
      <c r="D916" t="s">
        <v>1181</v>
      </c>
      <c r="E916" t="s">
        <v>417</v>
      </c>
      <c r="F916" t="s">
        <v>154</v>
      </c>
      <c r="G916" t="s">
        <v>408</v>
      </c>
      <c r="H916">
        <v>0</v>
      </c>
      <c r="I916" t="s">
        <v>1236</v>
      </c>
      <c r="J916">
        <v>0</v>
      </c>
      <c r="K916">
        <v>0</v>
      </c>
      <c r="L916" t="s">
        <v>1220</v>
      </c>
      <c r="M916">
        <v>0</v>
      </c>
      <c r="N916" t="s">
        <v>168</v>
      </c>
      <c r="O916" t="s">
        <v>168</v>
      </c>
      <c r="P916" t="s">
        <v>420</v>
      </c>
      <c r="Q916" t="s">
        <v>408</v>
      </c>
      <c r="R916" t="s">
        <v>1892</v>
      </c>
      <c r="S916">
        <v>2022</v>
      </c>
      <c r="T916">
        <v>7</v>
      </c>
      <c r="U916" t="s">
        <v>408</v>
      </c>
      <c r="V916" t="s">
        <v>408</v>
      </c>
      <c r="W916">
        <v>0</v>
      </c>
      <c r="X916">
        <v>0</v>
      </c>
      <c r="Y916" t="s">
        <v>408</v>
      </c>
      <c r="Z916">
        <v>2022</v>
      </c>
      <c r="AA916">
        <v>0</v>
      </c>
      <c r="AB916">
        <v>0.26154809737000001</v>
      </c>
      <c r="AC916">
        <v>0.52309619474000002</v>
      </c>
      <c r="AD916" t="s">
        <v>400</v>
      </c>
      <c r="AE916" t="s">
        <v>152</v>
      </c>
      <c r="AF916" t="s">
        <v>400</v>
      </c>
      <c r="AG916" t="s">
        <v>411</v>
      </c>
      <c r="AH916" t="s">
        <v>400</v>
      </c>
      <c r="AI916" t="s">
        <v>400</v>
      </c>
      <c r="AJ916" t="s">
        <v>400</v>
      </c>
      <c r="AK916" t="s">
        <v>400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U916" t="s">
        <v>597</v>
      </c>
      <c r="AV916" t="s">
        <v>410</v>
      </c>
      <c r="AW916" t="s">
        <v>400</v>
      </c>
      <c r="AX916">
        <v>0</v>
      </c>
      <c r="AY916" t="s">
        <v>17</v>
      </c>
      <c r="AZ916">
        <v>20</v>
      </c>
    </row>
    <row r="917" spans="1:52" x14ac:dyDescent="0.3">
      <c r="A917">
        <v>906</v>
      </c>
      <c r="B917" s="62" t="s">
        <v>1180</v>
      </c>
      <c r="C917" t="s">
        <v>154</v>
      </c>
      <c r="D917" t="s">
        <v>1181</v>
      </c>
      <c r="E917" t="s">
        <v>417</v>
      </c>
      <c r="F917" t="s">
        <v>400</v>
      </c>
      <c r="G917" t="s">
        <v>408</v>
      </c>
      <c r="H917">
        <v>0</v>
      </c>
      <c r="I917" t="s">
        <v>1220</v>
      </c>
      <c r="J917">
        <v>0</v>
      </c>
      <c r="K917">
        <v>0</v>
      </c>
      <c r="L917" t="s">
        <v>1901</v>
      </c>
      <c r="M917">
        <v>0</v>
      </c>
      <c r="N917" t="s">
        <v>168</v>
      </c>
      <c r="O917" t="s">
        <v>168</v>
      </c>
      <c r="P917" t="s">
        <v>420</v>
      </c>
      <c r="Q917" t="s">
        <v>408</v>
      </c>
      <c r="R917" t="s">
        <v>1892</v>
      </c>
      <c r="S917">
        <v>2022</v>
      </c>
      <c r="T917">
        <v>7</v>
      </c>
      <c r="U917" t="s">
        <v>408</v>
      </c>
      <c r="V917" t="s">
        <v>408</v>
      </c>
      <c r="W917">
        <v>0</v>
      </c>
      <c r="X917">
        <v>0</v>
      </c>
      <c r="Y917" t="s">
        <v>408</v>
      </c>
      <c r="Z917">
        <v>2022</v>
      </c>
      <c r="AA917">
        <v>0</v>
      </c>
      <c r="AB917">
        <v>0.11686714094</v>
      </c>
      <c r="AC917">
        <v>0.23373428188000001</v>
      </c>
      <c r="AD917" t="s">
        <v>400</v>
      </c>
      <c r="AE917" t="s">
        <v>400</v>
      </c>
      <c r="AF917" t="s">
        <v>400</v>
      </c>
      <c r="AG917" t="s">
        <v>408</v>
      </c>
      <c r="AH917" t="s">
        <v>400</v>
      </c>
      <c r="AI917" t="s">
        <v>400</v>
      </c>
      <c r="AJ917" t="s">
        <v>400</v>
      </c>
      <c r="AK917" t="s">
        <v>400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U917" t="s">
        <v>597</v>
      </c>
      <c r="AV917" t="s">
        <v>410</v>
      </c>
      <c r="AW917" t="s">
        <v>400</v>
      </c>
      <c r="AX917">
        <v>0</v>
      </c>
      <c r="AY917" t="s">
        <v>17</v>
      </c>
      <c r="AZ917">
        <v>20</v>
      </c>
    </row>
    <row r="918" spans="1:52" x14ac:dyDescent="0.3">
      <c r="A918">
        <v>907</v>
      </c>
      <c r="B918" s="62" t="s">
        <v>1180</v>
      </c>
      <c r="C918" t="s">
        <v>154</v>
      </c>
      <c r="D918" t="s">
        <v>1181</v>
      </c>
      <c r="E918" t="s">
        <v>417</v>
      </c>
      <c r="F918" t="s">
        <v>400</v>
      </c>
      <c r="G918" t="s">
        <v>408</v>
      </c>
      <c r="H918">
        <v>0</v>
      </c>
      <c r="I918" t="s">
        <v>1901</v>
      </c>
      <c r="J918">
        <v>0</v>
      </c>
      <c r="K918">
        <v>0</v>
      </c>
      <c r="L918" t="s">
        <v>1846</v>
      </c>
      <c r="M918">
        <v>0</v>
      </c>
      <c r="N918" t="s">
        <v>168</v>
      </c>
      <c r="O918" t="s">
        <v>168</v>
      </c>
      <c r="P918" t="s">
        <v>420</v>
      </c>
      <c r="Q918" t="s">
        <v>408</v>
      </c>
      <c r="R918" t="s">
        <v>1892</v>
      </c>
      <c r="S918">
        <v>2022</v>
      </c>
      <c r="T918">
        <v>7</v>
      </c>
      <c r="U918" t="s">
        <v>408</v>
      </c>
      <c r="V918" t="s">
        <v>408</v>
      </c>
      <c r="W918">
        <v>0</v>
      </c>
      <c r="X918">
        <v>0</v>
      </c>
      <c r="Y918" t="s">
        <v>408</v>
      </c>
      <c r="Z918">
        <v>2022</v>
      </c>
      <c r="AA918">
        <v>0</v>
      </c>
      <c r="AB918">
        <v>0.50273832569099997</v>
      </c>
      <c r="AC918">
        <v>1.00547665138</v>
      </c>
      <c r="AD918" t="s">
        <v>400</v>
      </c>
      <c r="AE918" t="s">
        <v>400</v>
      </c>
      <c r="AF918" t="s">
        <v>400</v>
      </c>
      <c r="AG918" t="s">
        <v>408</v>
      </c>
      <c r="AH918" t="s">
        <v>400</v>
      </c>
      <c r="AI918" t="s">
        <v>400</v>
      </c>
      <c r="AJ918" t="s">
        <v>400</v>
      </c>
      <c r="AK918" t="s">
        <v>400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0</v>
      </c>
      <c r="AU918" t="s">
        <v>597</v>
      </c>
      <c r="AV918" t="s">
        <v>410</v>
      </c>
      <c r="AW918" t="s">
        <v>400</v>
      </c>
      <c r="AX918">
        <v>0</v>
      </c>
      <c r="AY918" t="s">
        <v>17</v>
      </c>
      <c r="AZ918">
        <v>20</v>
      </c>
    </row>
    <row r="919" spans="1:52" x14ac:dyDescent="0.3">
      <c r="A919">
        <v>908</v>
      </c>
      <c r="B919" s="62" t="s">
        <v>1180</v>
      </c>
      <c r="C919" t="s">
        <v>154</v>
      </c>
      <c r="D919" t="s">
        <v>1181</v>
      </c>
      <c r="E919" t="s">
        <v>417</v>
      </c>
      <c r="F919" t="s">
        <v>400</v>
      </c>
      <c r="G919" t="s">
        <v>408</v>
      </c>
      <c r="H919">
        <v>0</v>
      </c>
      <c r="I919" t="s">
        <v>1846</v>
      </c>
      <c r="J919">
        <v>0</v>
      </c>
      <c r="K919">
        <v>0</v>
      </c>
      <c r="L919" t="s">
        <v>683</v>
      </c>
      <c r="M919">
        <v>0</v>
      </c>
      <c r="N919" t="s">
        <v>168</v>
      </c>
      <c r="O919" t="s">
        <v>168</v>
      </c>
      <c r="P919" t="s">
        <v>420</v>
      </c>
      <c r="Q919" t="s">
        <v>408</v>
      </c>
      <c r="R919" t="s">
        <v>1892</v>
      </c>
      <c r="S919">
        <v>2022</v>
      </c>
      <c r="T919">
        <v>7</v>
      </c>
      <c r="U919" t="s">
        <v>408</v>
      </c>
      <c r="V919" t="s">
        <v>408</v>
      </c>
      <c r="W919">
        <v>0</v>
      </c>
      <c r="X919">
        <v>0</v>
      </c>
      <c r="Y919" t="s">
        <v>408</v>
      </c>
      <c r="Z919">
        <v>2022</v>
      </c>
      <c r="AA919">
        <v>0</v>
      </c>
      <c r="AB919">
        <v>0.63126318549500005</v>
      </c>
      <c r="AC919">
        <v>1.2625263709900001</v>
      </c>
      <c r="AD919" t="s">
        <v>400</v>
      </c>
      <c r="AE919" t="s">
        <v>400</v>
      </c>
      <c r="AF919" t="s">
        <v>400</v>
      </c>
      <c r="AG919" t="s">
        <v>408</v>
      </c>
      <c r="AH919" t="s">
        <v>400</v>
      </c>
      <c r="AI919" t="s">
        <v>400</v>
      </c>
      <c r="AJ919" t="s">
        <v>400</v>
      </c>
      <c r="AK919" t="s">
        <v>400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U919" t="s">
        <v>597</v>
      </c>
      <c r="AV919" t="s">
        <v>410</v>
      </c>
      <c r="AW919" t="s">
        <v>400</v>
      </c>
      <c r="AX919">
        <v>0</v>
      </c>
      <c r="AY919" t="s">
        <v>17</v>
      </c>
      <c r="AZ919">
        <v>20</v>
      </c>
    </row>
    <row r="920" spans="1:52" x14ac:dyDescent="0.3">
      <c r="A920">
        <v>909</v>
      </c>
      <c r="B920" s="62" t="s">
        <v>736</v>
      </c>
      <c r="C920" t="s">
        <v>154</v>
      </c>
      <c r="D920" t="s">
        <v>737</v>
      </c>
      <c r="E920" t="s">
        <v>417</v>
      </c>
      <c r="F920" t="s">
        <v>400</v>
      </c>
      <c r="G920" t="s">
        <v>408</v>
      </c>
      <c r="H920">
        <v>0</v>
      </c>
      <c r="I920" t="s">
        <v>1674</v>
      </c>
      <c r="J920">
        <v>0</v>
      </c>
      <c r="K920">
        <v>0</v>
      </c>
      <c r="L920" t="s">
        <v>566</v>
      </c>
      <c r="M920">
        <v>0</v>
      </c>
      <c r="N920" t="s">
        <v>170</v>
      </c>
      <c r="O920" t="s">
        <v>170</v>
      </c>
      <c r="P920" t="s">
        <v>420</v>
      </c>
      <c r="Q920" t="s">
        <v>408</v>
      </c>
      <c r="R920" t="s">
        <v>596</v>
      </c>
      <c r="S920">
        <v>2022</v>
      </c>
      <c r="T920">
        <v>7</v>
      </c>
      <c r="U920" t="s">
        <v>408</v>
      </c>
      <c r="V920" t="s">
        <v>408</v>
      </c>
      <c r="W920">
        <v>0</v>
      </c>
      <c r="X920">
        <v>0</v>
      </c>
      <c r="Y920" t="s">
        <v>408</v>
      </c>
      <c r="Z920">
        <v>2022</v>
      </c>
      <c r="AA920">
        <v>0</v>
      </c>
      <c r="AB920">
        <v>8.0642662608900004E-2</v>
      </c>
      <c r="AC920">
        <v>0.16128532521799999</v>
      </c>
      <c r="AD920" t="s">
        <v>400</v>
      </c>
      <c r="AE920" t="s">
        <v>400</v>
      </c>
      <c r="AF920" t="s">
        <v>400</v>
      </c>
      <c r="AG920" t="s">
        <v>400</v>
      </c>
      <c r="AH920" t="s">
        <v>400</v>
      </c>
      <c r="AI920" t="s">
        <v>400</v>
      </c>
      <c r="AJ920" t="s">
        <v>400</v>
      </c>
      <c r="AK920" t="s">
        <v>400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U920" t="s">
        <v>597</v>
      </c>
      <c r="AV920" t="s">
        <v>410</v>
      </c>
      <c r="AW920" t="s">
        <v>400</v>
      </c>
      <c r="AX920">
        <v>0</v>
      </c>
      <c r="AY920" t="s">
        <v>412</v>
      </c>
      <c r="AZ920">
        <v>30</v>
      </c>
    </row>
    <row r="921" spans="1:52" x14ac:dyDescent="0.3">
      <c r="A921">
        <v>910</v>
      </c>
      <c r="B921" s="62" t="s">
        <v>522</v>
      </c>
      <c r="C921" t="s">
        <v>152</v>
      </c>
      <c r="D921" t="s">
        <v>523</v>
      </c>
      <c r="E921" t="s">
        <v>460</v>
      </c>
      <c r="F921" t="s">
        <v>152</v>
      </c>
      <c r="G921" t="s">
        <v>408</v>
      </c>
      <c r="H921">
        <v>0</v>
      </c>
      <c r="I921" t="s">
        <v>1513</v>
      </c>
      <c r="J921">
        <v>0</v>
      </c>
      <c r="K921">
        <v>0</v>
      </c>
      <c r="L921" t="s">
        <v>1457</v>
      </c>
      <c r="M921">
        <v>0</v>
      </c>
      <c r="N921" t="s">
        <v>168</v>
      </c>
      <c r="O921" t="s">
        <v>168</v>
      </c>
      <c r="P921" t="s">
        <v>420</v>
      </c>
      <c r="Q921" t="s">
        <v>408</v>
      </c>
      <c r="R921" t="s">
        <v>1902</v>
      </c>
      <c r="S921">
        <v>2022</v>
      </c>
      <c r="T921">
        <v>9</v>
      </c>
      <c r="U921" t="s">
        <v>408</v>
      </c>
      <c r="V921" t="s">
        <v>408</v>
      </c>
      <c r="W921">
        <v>0</v>
      </c>
      <c r="X921">
        <v>0</v>
      </c>
      <c r="Y921" t="s">
        <v>408</v>
      </c>
      <c r="Z921">
        <v>2022</v>
      </c>
      <c r="AA921">
        <v>0</v>
      </c>
      <c r="AB921">
        <v>0.41750213699700001</v>
      </c>
      <c r="AC921">
        <v>0.41750213699700001</v>
      </c>
      <c r="AD921" t="s">
        <v>400</v>
      </c>
      <c r="AE921" t="s">
        <v>411</v>
      </c>
      <c r="AF921" t="s">
        <v>152</v>
      </c>
      <c r="AG921" t="s">
        <v>152</v>
      </c>
      <c r="AH921" t="s">
        <v>400</v>
      </c>
      <c r="AI921" t="s">
        <v>400</v>
      </c>
      <c r="AJ921" t="s">
        <v>400</v>
      </c>
      <c r="AK921" t="s">
        <v>400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 t="s">
        <v>597</v>
      </c>
      <c r="AV921" t="s">
        <v>410</v>
      </c>
      <c r="AW921" t="s">
        <v>400</v>
      </c>
      <c r="AX921">
        <v>3</v>
      </c>
      <c r="AY921" t="s">
        <v>17</v>
      </c>
      <c r="AZ921">
        <v>20</v>
      </c>
    </row>
    <row r="922" spans="1:52" x14ac:dyDescent="0.3">
      <c r="A922">
        <v>911</v>
      </c>
      <c r="B922" s="62" t="s">
        <v>603</v>
      </c>
      <c r="C922" t="s">
        <v>447</v>
      </c>
      <c r="D922" t="s">
        <v>604</v>
      </c>
      <c r="E922" t="s">
        <v>417</v>
      </c>
      <c r="F922" t="s">
        <v>400</v>
      </c>
      <c r="G922" t="s">
        <v>408</v>
      </c>
      <c r="H922">
        <v>0</v>
      </c>
      <c r="I922" t="s">
        <v>858</v>
      </c>
      <c r="J922">
        <v>0</v>
      </c>
      <c r="K922">
        <v>0</v>
      </c>
      <c r="L922" t="s">
        <v>1055</v>
      </c>
      <c r="M922">
        <v>0</v>
      </c>
      <c r="N922" t="s">
        <v>168</v>
      </c>
      <c r="O922" t="s">
        <v>170</v>
      </c>
      <c r="P922" t="s">
        <v>420</v>
      </c>
      <c r="Q922" t="s">
        <v>408</v>
      </c>
      <c r="R922" t="s">
        <v>1892</v>
      </c>
      <c r="S922">
        <v>2022</v>
      </c>
      <c r="T922">
        <v>7</v>
      </c>
      <c r="U922" t="s">
        <v>1903</v>
      </c>
      <c r="V922" t="s">
        <v>408</v>
      </c>
      <c r="W922">
        <v>0</v>
      </c>
      <c r="X922">
        <v>0</v>
      </c>
      <c r="Y922" t="s">
        <v>408</v>
      </c>
      <c r="Z922">
        <v>2022</v>
      </c>
      <c r="AA922">
        <v>0</v>
      </c>
      <c r="AB922">
        <v>6.8248986338699996E-2</v>
      </c>
      <c r="AC922">
        <v>0.13649797267700001</v>
      </c>
      <c r="AD922" t="s">
        <v>400</v>
      </c>
      <c r="AE922" t="s">
        <v>400</v>
      </c>
      <c r="AF922" t="s">
        <v>400</v>
      </c>
      <c r="AG922" t="s">
        <v>400</v>
      </c>
      <c r="AH922" t="s">
        <v>400</v>
      </c>
      <c r="AI922" t="s">
        <v>400</v>
      </c>
      <c r="AJ922" t="s">
        <v>400</v>
      </c>
      <c r="AK922" t="s">
        <v>400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U922" t="s">
        <v>597</v>
      </c>
      <c r="AV922" t="s">
        <v>410</v>
      </c>
      <c r="AW922" t="s">
        <v>400</v>
      </c>
      <c r="AX922">
        <v>0</v>
      </c>
      <c r="AY922" t="s">
        <v>17</v>
      </c>
      <c r="AZ922">
        <v>30</v>
      </c>
    </row>
    <row r="923" spans="1:52" x14ac:dyDescent="0.3">
      <c r="A923">
        <v>912</v>
      </c>
      <c r="B923" s="62" t="s">
        <v>1486</v>
      </c>
      <c r="C923" t="s">
        <v>152</v>
      </c>
      <c r="D923" t="s">
        <v>1487</v>
      </c>
      <c r="E923" t="s">
        <v>460</v>
      </c>
      <c r="F923" t="s">
        <v>155</v>
      </c>
      <c r="G923">
        <v>0</v>
      </c>
      <c r="H923">
        <v>0</v>
      </c>
      <c r="I923" t="s">
        <v>1513</v>
      </c>
      <c r="J923">
        <v>0</v>
      </c>
      <c r="K923">
        <v>0</v>
      </c>
      <c r="L923" t="s">
        <v>1457</v>
      </c>
      <c r="M923">
        <v>4</v>
      </c>
      <c r="N923" t="s">
        <v>168</v>
      </c>
      <c r="O923" t="s">
        <v>168</v>
      </c>
      <c r="P923" t="s">
        <v>420</v>
      </c>
      <c r="Q923" t="s">
        <v>408</v>
      </c>
      <c r="R923" t="s">
        <v>1904</v>
      </c>
      <c r="S923">
        <v>2022</v>
      </c>
      <c r="T923">
        <v>9</v>
      </c>
      <c r="U923" t="s">
        <v>408</v>
      </c>
      <c r="V923" t="s">
        <v>408</v>
      </c>
      <c r="W923">
        <v>0</v>
      </c>
      <c r="X923">
        <v>0</v>
      </c>
      <c r="Y923" t="s">
        <v>408</v>
      </c>
      <c r="Z923">
        <v>2020</v>
      </c>
      <c r="AA923">
        <v>0</v>
      </c>
      <c r="AB923">
        <v>0.41755560491799998</v>
      </c>
      <c r="AC923">
        <v>0.41755560491799998</v>
      </c>
      <c r="AD923" t="s">
        <v>408</v>
      </c>
      <c r="AE923" t="s">
        <v>411</v>
      </c>
      <c r="AF923" t="s">
        <v>155</v>
      </c>
      <c r="AG923" t="s">
        <v>152</v>
      </c>
      <c r="AH923" t="s">
        <v>408</v>
      </c>
      <c r="AI923" t="s">
        <v>408</v>
      </c>
      <c r="AJ923" t="s">
        <v>408</v>
      </c>
      <c r="AK923" t="s">
        <v>408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U923" t="s">
        <v>1897</v>
      </c>
      <c r="AV923" t="s">
        <v>410</v>
      </c>
      <c r="AW923" t="s">
        <v>400</v>
      </c>
      <c r="AX923">
        <v>3</v>
      </c>
      <c r="AY923" t="s">
        <v>17</v>
      </c>
      <c r="AZ923">
        <v>20</v>
      </c>
    </row>
    <row r="924" spans="1:52" x14ac:dyDescent="0.3">
      <c r="A924">
        <v>913</v>
      </c>
      <c r="B924" s="62" t="s">
        <v>1491</v>
      </c>
      <c r="C924" t="s">
        <v>152</v>
      </c>
      <c r="D924" t="s">
        <v>1492</v>
      </c>
      <c r="E924" t="s">
        <v>417</v>
      </c>
      <c r="F924" t="s">
        <v>155</v>
      </c>
      <c r="G924">
        <v>0</v>
      </c>
      <c r="H924">
        <v>0</v>
      </c>
      <c r="I924" t="s">
        <v>474</v>
      </c>
      <c r="J924">
        <v>0</v>
      </c>
      <c r="K924">
        <v>0</v>
      </c>
      <c r="L924" t="s">
        <v>890</v>
      </c>
      <c r="M924">
        <v>0</v>
      </c>
      <c r="N924" t="s">
        <v>168</v>
      </c>
      <c r="O924" t="s">
        <v>168</v>
      </c>
      <c r="P924" t="s">
        <v>420</v>
      </c>
      <c r="Q924" t="s">
        <v>408</v>
      </c>
      <c r="R924" t="s">
        <v>1905</v>
      </c>
      <c r="S924">
        <v>2022</v>
      </c>
      <c r="T924">
        <v>9</v>
      </c>
      <c r="U924" t="s">
        <v>1906</v>
      </c>
      <c r="V924" t="s">
        <v>408</v>
      </c>
      <c r="W924">
        <v>0</v>
      </c>
      <c r="X924">
        <v>0</v>
      </c>
      <c r="Y924" t="s">
        <v>408</v>
      </c>
      <c r="Z924">
        <v>2022</v>
      </c>
      <c r="AA924">
        <v>0</v>
      </c>
      <c r="AB924">
        <v>0.33044669302399998</v>
      </c>
      <c r="AC924">
        <v>0.66089338604900005</v>
      </c>
      <c r="AD924" t="s">
        <v>1907</v>
      </c>
      <c r="AE924" t="s">
        <v>400</v>
      </c>
      <c r="AF924" t="s">
        <v>400</v>
      </c>
      <c r="AG924" t="s">
        <v>411</v>
      </c>
      <c r="AH924" t="s">
        <v>400</v>
      </c>
      <c r="AI924" t="s">
        <v>400</v>
      </c>
      <c r="AJ924" t="s">
        <v>400</v>
      </c>
      <c r="AK924" t="s">
        <v>400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U924" t="s">
        <v>1897</v>
      </c>
      <c r="AV924" t="s">
        <v>410</v>
      </c>
      <c r="AW924" t="s">
        <v>400</v>
      </c>
      <c r="AX924">
        <v>0</v>
      </c>
      <c r="AY924" t="s">
        <v>17</v>
      </c>
      <c r="AZ924">
        <v>20</v>
      </c>
    </row>
    <row r="925" spans="1:52" x14ac:dyDescent="0.3">
      <c r="A925">
        <v>914</v>
      </c>
      <c r="B925" s="62" t="s">
        <v>926</v>
      </c>
      <c r="C925" t="s">
        <v>154</v>
      </c>
      <c r="D925" t="s">
        <v>927</v>
      </c>
      <c r="E925" t="s">
        <v>460</v>
      </c>
      <c r="F925" t="s">
        <v>400</v>
      </c>
      <c r="G925">
        <v>0</v>
      </c>
      <c r="H925">
        <v>0</v>
      </c>
      <c r="I925" t="s">
        <v>1908</v>
      </c>
      <c r="J925">
        <v>0</v>
      </c>
      <c r="K925">
        <v>0</v>
      </c>
      <c r="L925" t="s">
        <v>1908</v>
      </c>
      <c r="M925">
        <v>0</v>
      </c>
      <c r="N925" t="s">
        <v>168</v>
      </c>
      <c r="O925" t="s">
        <v>163</v>
      </c>
      <c r="P925" t="s">
        <v>420</v>
      </c>
      <c r="Q925" t="s">
        <v>408</v>
      </c>
      <c r="R925" t="s">
        <v>1905</v>
      </c>
      <c r="S925">
        <v>2022</v>
      </c>
      <c r="T925">
        <v>9</v>
      </c>
      <c r="U925" t="s">
        <v>1909</v>
      </c>
      <c r="V925" t="s">
        <v>408</v>
      </c>
      <c r="W925">
        <v>0</v>
      </c>
      <c r="X925">
        <v>0</v>
      </c>
      <c r="Y925" t="s">
        <v>408</v>
      </c>
      <c r="Z925">
        <v>2022</v>
      </c>
      <c r="AA925">
        <v>0</v>
      </c>
      <c r="AB925">
        <v>1.6231544692799998E-2</v>
      </c>
      <c r="AC925">
        <v>3.2463089385500001E-2</v>
      </c>
      <c r="AD925" t="s">
        <v>1907</v>
      </c>
      <c r="AE925" t="s">
        <v>152</v>
      </c>
      <c r="AF925" t="s">
        <v>400</v>
      </c>
      <c r="AG925" t="s">
        <v>400</v>
      </c>
      <c r="AH925" t="s">
        <v>400</v>
      </c>
      <c r="AI925" t="s">
        <v>470</v>
      </c>
      <c r="AJ925" t="s">
        <v>400</v>
      </c>
      <c r="AK925" t="s">
        <v>400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U925" t="s">
        <v>1897</v>
      </c>
      <c r="AV925" t="s">
        <v>410</v>
      </c>
      <c r="AW925" t="s">
        <v>411</v>
      </c>
      <c r="AX925">
        <v>0</v>
      </c>
      <c r="AY925" t="s">
        <v>17</v>
      </c>
      <c r="AZ925" t="s">
        <v>408</v>
      </c>
    </row>
    <row r="926" spans="1:52" x14ac:dyDescent="0.3">
      <c r="A926">
        <v>915</v>
      </c>
      <c r="B926" s="62" t="s">
        <v>1491</v>
      </c>
      <c r="C926" t="s">
        <v>152</v>
      </c>
      <c r="D926" t="s">
        <v>1492</v>
      </c>
      <c r="E926" t="s">
        <v>417</v>
      </c>
      <c r="F926" t="s">
        <v>152</v>
      </c>
      <c r="G926">
        <v>0</v>
      </c>
      <c r="H926">
        <v>0</v>
      </c>
      <c r="I926" t="s">
        <v>890</v>
      </c>
      <c r="J926">
        <v>0</v>
      </c>
      <c r="K926">
        <v>0</v>
      </c>
      <c r="L926" t="s">
        <v>1359</v>
      </c>
      <c r="M926">
        <v>0</v>
      </c>
      <c r="N926" t="s">
        <v>168</v>
      </c>
      <c r="O926" t="s">
        <v>168</v>
      </c>
      <c r="P926" t="s">
        <v>420</v>
      </c>
      <c r="Q926" t="s">
        <v>408</v>
      </c>
      <c r="R926" t="s">
        <v>1905</v>
      </c>
      <c r="S926">
        <v>2022</v>
      </c>
      <c r="T926">
        <v>9</v>
      </c>
      <c r="U926" t="s">
        <v>1906</v>
      </c>
      <c r="V926" t="s">
        <v>408</v>
      </c>
      <c r="W926">
        <v>0</v>
      </c>
      <c r="X926">
        <v>0</v>
      </c>
      <c r="Y926" t="s">
        <v>408</v>
      </c>
      <c r="Z926">
        <v>2022</v>
      </c>
      <c r="AA926">
        <v>0</v>
      </c>
      <c r="AB926">
        <v>0.23375449642400001</v>
      </c>
      <c r="AC926">
        <v>0.46750899284899999</v>
      </c>
      <c r="AD926" t="s">
        <v>1907</v>
      </c>
      <c r="AE926" t="s">
        <v>400</v>
      </c>
      <c r="AF926" t="s">
        <v>400</v>
      </c>
      <c r="AG926" t="s">
        <v>411</v>
      </c>
      <c r="AH926" t="s">
        <v>400</v>
      </c>
      <c r="AI926" t="s">
        <v>400</v>
      </c>
      <c r="AJ926" t="s">
        <v>400</v>
      </c>
      <c r="AK926" t="s">
        <v>400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U926" t="s">
        <v>1897</v>
      </c>
      <c r="AV926" t="s">
        <v>410</v>
      </c>
      <c r="AW926" t="s">
        <v>400</v>
      </c>
      <c r="AX926">
        <v>0</v>
      </c>
      <c r="AY926" t="s">
        <v>17</v>
      </c>
      <c r="AZ926">
        <v>20</v>
      </c>
    </row>
    <row r="927" spans="1:52" x14ac:dyDescent="0.3">
      <c r="A927">
        <v>916</v>
      </c>
      <c r="B927" s="62" t="s">
        <v>992</v>
      </c>
      <c r="C927" t="s">
        <v>154</v>
      </c>
      <c r="D927" t="s">
        <v>993</v>
      </c>
      <c r="E927" t="s">
        <v>466</v>
      </c>
      <c r="F927" t="s">
        <v>447</v>
      </c>
      <c r="G927">
        <v>0</v>
      </c>
      <c r="H927">
        <v>0</v>
      </c>
      <c r="I927" t="s">
        <v>1908</v>
      </c>
      <c r="J927">
        <v>0</v>
      </c>
      <c r="K927">
        <v>0</v>
      </c>
      <c r="L927" t="s">
        <v>1273</v>
      </c>
      <c r="M927">
        <v>0</v>
      </c>
      <c r="N927" t="s">
        <v>168</v>
      </c>
      <c r="O927" t="s">
        <v>170</v>
      </c>
      <c r="P927" t="s">
        <v>420</v>
      </c>
      <c r="Q927" t="s">
        <v>408</v>
      </c>
      <c r="R927" t="s">
        <v>1905</v>
      </c>
      <c r="S927">
        <v>2022</v>
      </c>
      <c r="T927">
        <v>9</v>
      </c>
      <c r="U927" t="s">
        <v>1910</v>
      </c>
      <c r="V927" t="s">
        <v>408</v>
      </c>
      <c r="W927">
        <v>0</v>
      </c>
      <c r="X927">
        <v>0</v>
      </c>
      <c r="Y927" t="s">
        <v>408</v>
      </c>
      <c r="Z927">
        <v>2022</v>
      </c>
      <c r="AA927">
        <v>0</v>
      </c>
      <c r="AB927">
        <v>0.125784217182</v>
      </c>
      <c r="AC927">
        <v>0.125784217182</v>
      </c>
      <c r="AD927" t="s">
        <v>1907</v>
      </c>
      <c r="AE927" t="s">
        <v>411</v>
      </c>
      <c r="AF927" t="s">
        <v>447</v>
      </c>
      <c r="AG927" t="s">
        <v>152</v>
      </c>
      <c r="AH927" t="s">
        <v>400</v>
      </c>
      <c r="AI927" t="s">
        <v>400</v>
      </c>
      <c r="AJ927" t="s">
        <v>400</v>
      </c>
      <c r="AK927" t="s">
        <v>400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0</v>
      </c>
      <c r="AU927" t="s">
        <v>1897</v>
      </c>
      <c r="AV927" t="s">
        <v>410</v>
      </c>
      <c r="AW927" t="s">
        <v>400</v>
      </c>
      <c r="AX927">
        <v>0</v>
      </c>
      <c r="AY927" t="s">
        <v>17</v>
      </c>
      <c r="AZ927" t="s">
        <v>408</v>
      </c>
    </row>
    <row r="928" spans="1:52" x14ac:dyDescent="0.3">
      <c r="A928">
        <v>917</v>
      </c>
      <c r="B928" s="62" t="s">
        <v>801</v>
      </c>
      <c r="C928" t="s">
        <v>152</v>
      </c>
      <c r="D928" t="s">
        <v>802</v>
      </c>
      <c r="E928" t="s">
        <v>460</v>
      </c>
      <c r="F928" t="s">
        <v>152</v>
      </c>
      <c r="G928">
        <v>0</v>
      </c>
      <c r="H928">
        <v>0</v>
      </c>
      <c r="I928" t="s">
        <v>1359</v>
      </c>
      <c r="J928">
        <v>0</v>
      </c>
      <c r="K928">
        <v>0</v>
      </c>
      <c r="L928" t="s">
        <v>1359</v>
      </c>
      <c r="M928">
        <v>0</v>
      </c>
      <c r="N928" t="s">
        <v>168</v>
      </c>
      <c r="O928" t="s">
        <v>163</v>
      </c>
      <c r="P928" t="s">
        <v>420</v>
      </c>
      <c r="Q928" t="s">
        <v>408</v>
      </c>
      <c r="R928" t="s">
        <v>1905</v>
      </c>
      <c r="S928">
        <v>2022</v>
      </c>
      <c r="T928">
        <v>9</v>
      </c>
      <c r="U928" t="s">
        <v>408</v>
      </c>
      <c r="V928" t="s">
        <v>408</v>
      </c>
      <c r="W928">
        <v>0</v>
      </c>
      <c r="X928">
        <v>0</v>
      </c>
      <c r="Y928" t="s">
        <v>408</v>
      </c>
      <c r="Z928">
        <v>2022</v>
      </c>
      <c r="AA928">
        <v>0</v>
      </c>
      <c r="AB928">
        <v>1.7912684557699999E-2</v>
      </c>
      <c r="AC928">
        <v>1.7912684557699999E-2</v>
      </c>
      <c r="AD928" t="s">
        <v>1907</v>
      </c>
      <c r="AE928" t="s">
        <v>411</v>
      </c>
      <c r="AF928" t="s">
        <v>152</v>
      </c>
      <c r="AG928" t="s">
        <v>152</v>
      </c>
      <c r="AH928" t="s">
        <v>400</v>
      </c>
      <c r="AI928" t="s">
        <v>470</v>
      </c>
      <c r="AJ928" t="s">
        <v>400</v>
      </c>
      <c r="AK928" t="s">
        <v>400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U928" t="s">
        <v>1897</v>
      </c>
      <c r="AV928" t="s">
        <v>410</v>
      </c>
      <c r="AW928" t="s">
        <v>411</v>
      </c>
      <c r="AX928">
        <v>0</v>
      </c>
      <c r="AY928" t="s">
        <v>17</v>
      </c>
      <c r="AZ928" t="s">
        <v>408</v>
      </c>
    </row>
    <row r="929" spans="1:52" x14ac:dyDescent="0.3">
      <c r="A929">
        <v>918</v>
      </c>
      <c r="B929" s="62" t="s">
        <v>992</v>
      </c>
      <c r="C929" t="s">
        <v>154</v>
      </c>
      <c r="D929" t="s">
        <v>993</v>
      </c>
      <c r="E929" t="s">
        <v>466</v>
      </c>
      <c r="F929" t="s">
        <v>154</v>
      </c>
      <c r="G929" t="s">
        <v>408</v>
      </c>
      <c r="H929">
        <v>0</v>
      </c>
      <c r="I929" t="s">
        <v>1359</v>
      </c>
      <c r="J929">
        <v>0</v>
      </c>
      <c r="K929">
        <v>0</v>
      </c>
      <c r="L929" t="s">
        <v>1908</v>
      </c>
      <c r="M929">
        <v>0</v>
      </c>
      <c r="N929" t="s">
        <v>168</v>
      </c>
      <c r="O929" t="s">
        <v>170</v>
      </c>
      <c r="P929" t="s">
        <v>420</v>
      </c>
      <c r="Q929" t="s">
        <v>408</v>
      </c>
      <c r="R929" t="s">
        <v>1905</v>
      </c>
      <c r="S929">
        <v>2022</v>
      </c>
      <c r="T929">
        <v>9</v>
      </c>
      <c r="U929" t="s">
        <v>408</v>
      </c>
      <c r="V929" t="s">
        <v>408</v>
      </c>
      <c r="W929">
        <v>0</v>
      </c>
      <c r="X929">
        <v>0</v>
      </c>
      <c r="Y929" t="s">
        <v>408</v>
      </c>
      <c r="Z929">
        <v>2022</v>
      </c>
      <c r="AA929">
        <v>0</v>
      </c>
      <c r="AB929">
        <v>5.4671171124099999E-2</v>
      </c>
      <c r="AC929">
        <v>0.117358711484</v>
      </c>
      <c r="AD929" t="s">
        <v>1907</v>
      </c>
      <c r="AE929" t="s">
        <v>411</v>
      </c>
      <c r="AF929" t="s">
        <v>154</v>
      </c>
      <c r="AG929" t="s">
        <v>152</v>
      </c>
      <c r="AH929" t="s">
        <v>400</v>
      </c>
      <c r="AI929" t="s">
        <v>400</v>
      </c>
      <c r="AJ929" t="s">
        <v>400</v>
      </c>
      <c r="AK929" t="s">
        <v>400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U929" t="s">
        <v>1897</v>
      </c>
      <c r="AV929" t="s">
        <v>410</v>
      </c>
      <c r="AW929" t="s">
        <v>152</v>
      </c>
      <c r="AX929">
        <v>0</v>
      </c>
      <c r="AY929" t="s">
        <v>17</v>
      </c>
      <c r="AZ929" t="s">
        <v>408</v>
      </c>
    </row>
    <row r="930" spans="1:52" x14ac:dyDescent="0.3">
      <c r="A930">
        <v>919</v>
      </c>
      <c r="B930" s="62" t="s">
        <v>1491</v>
      </c>
      <c r="C930" t="s">
        <v>152</v>
      </c>
      <c r="D930" t="s">
        <v>1492</v>
      </c>
      <c r="E930" t="s">
        <v>417</v>
      </c>
      <c r="F930" t="s">
        <v>400</v>
      </c>
      <c r="G930" t="s">
        <v>408</v>
      </c>
      <c r="H930">
        <v>0</v>
      </c>
      <c r="I930" t="s">
        <v>1359</v>
      </c>
      <c r="J930">
        <v>0</v>
      </c>
      <c r="K930">
        <v>0</v>
      </c>
      <c r="L930" t="s">
        <v>1359</v>
      </c>
      <c r="M930">
        <v>0</v>
      </c>
      <c r="N930" t="s">
        <v>168</v>
      </c>
      <c r="O930" t="s">
        <v>1911</v>
      </c>
      <c r="P930" t="s">
        <v>420</v>
      </c>
      <c r="Q930" t="s">
        <v>408</v>
      </c>
      <c r="R930" t="s">
        <v>1905</v>
      </c>
      <c r="S930">
        <v>2022</v>
      </c>
      <c r="T930">
        <v>9</v>
      </c>
      <c r="U930" t="s">
        <v>408</v>
      </c>
      <c r="V930" t="s">
        <v>408</v>
      </c>
      <c r="W930">
        <v>0</v>
      </c>
      <c r="X930">
        <v>0</v>
      </c>
      <c r="Y930" t="s">
        <v>408</v>
      </c>
      <c r="Z930">
        <v>2022</v>
      </c>
      <c r="AA930">
        <v>0</v>
      </c>
      <c r="AB930">
        <v>3.5932120672200002E-2</v>
      </c>
      <c r="AC930">
        <v>7.1864241344300001E-2</v>
      </c>
      <c r="AD930" t="s">
        <v>1907</v>
      </c>
      <c r="AE930" t="s">
        <v>400</v>
      </c>
      <c r="AF930" t="s">
        <v>400</v>
      </c>
      <c r="AG930" t="s">
        <v>400</v>
      </c>
      <c r="AH930" t="s">
        <v>400</v>
      </c>
      <c r="AI930" t="s">
        <v>400</v>
      </c>
      <c r="AJ930" t="s">
        <v>400</v>
      </c>
      <c r="AK930" t="s">
        <v>400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U930" t="s">
        <v>1897</v>
      </c>
      <c r="AV930" t="s">
        <v>410</v>
      </c>
      <c r="AW930" t="s">
        <v>400</v>
      </c>
      <c r="AX930">
        <v>0</v>
      </c>
      <c r="AY930" t="s">
        <v>17</v>
      </c>
      <c r="AZ930" t="s">
        <v>408</v>
      </c>
    </row>
    <row r="931" spans="1:52" x14ac:dyDescent="0.3">
      <c r="A931">
        <v>920</v>
      </c>
      <c r="B931" s="62" t="s">
        <v>1912</v>
      </c>
      <c r="C931" t="s">
        <v>154</v>
      </c>
      <c r="D931" t="s">
        <v>1913</v>
      </c>
      <c r="E931" t="s">
        <v>417</v>
      </c>
      <c r="F931" t="s">
        <v>447</v>
      </c>
      <c r="G931" t="s">
        <v>408</v>
      </c>
      <c r="H931">
        <v>0</v>
      </c>
      <c r="I931" t="s">
        <v>1908</v>
      </c>
      <c r="J931">
        <v>0</v>
      </c>
      <c r="K931">
        <v>0</v>
      </c>
      <c r="L931" t="s">
        <v>619</v>
      </c>
      <c r="M931">
        <v>0</v>
      </c>
      <c r="N931" t="s">
        <v>168</v>
      </c>
      <c r="O931" t="s">
        <v>168</v>
      </c>
      <c r="P931" t="s">
        <v>420</v>
      </c>
      <c r="Q931" t="s">
        <v>408</v>
      </c>
      <c r="R931" t="s">
        <v>1905</v>
      </c>
      <c r="S931">
        <v>2022</v>
      </c>
      <c r="T931">
        <v>9</v>
      </c>
      <c r="U931" t="s">
        <v>408</v>
      </c>
      <c r="V931" t="s">
        <v>408</v>
      </c>
      <c r="W931">
        <v>0</v>
      </c>
      <c r="X931">
        <v>0</v>
      </c>
      <c r="Y931" t="s">
        <v>408</v>
      </c>
      <c r="Z931">
        <v>2022</v>
      </c>
      <c r="AA931">
        <v>0</v>
      </c>
      <c r="AB931">
        <v>0.268638491915</v>
      </c>
      <c r="AC931">
        <v>0.53727698383</v>
      </c>
      <c r="AD931" t="s">
        <v>1914</v>
      </c>
      <c r="AE931" t="s">
        <v>152</v>
      </c>
      <c r="AF931" t="s">
        <v>400</v>
      </c>
      <c r="AG931" t="s">
        <v>411</v>
      </c>
      <c r="AH931" t="s">
        <v>400</v>
      </c>
      <c r="AI931" t="s">
        <v>400</v>
      </c>
      <c r="AJ931" t="s">
        <v>400</v>
      </c>
      <c r="AK931" t="s">
        <v>400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U931" t="s">
        <v>1897</v>
      </c>
      <c r="AV931" t="s">
        <v>410</v>
      </c>
      <c r="AW931" t="s">
        <v>400</v>
      </c>
      <c r="AX931">
        <v>0</v>
      </c>
      <c r="AY931" t="s">
        <v>17</v>
      </c>
      <c r="AZ931">
        <v>20</v>
      </c>
    </row>
    <row r="932" spans="1:52" x14ac:dyDescent="0.3">
      <c r="A932">
        <v>921</v>
      </c>
      <c r="B932" s="62" t="s">
        <v>977</v>
      </c>
      <c r="C932" t="s">
        <v>152</v>
      </c>
      <c r="D932" t="s">
        <v>978</v>
      </c>
      <c r="E932" t="s">
        <v>460</v>
      </c>
      <c r="F932" t="s">
        <v>400</v>
      </c>
      <c r="G932" t="s">
        <v>408</v>
      </c>
      <c r="H932">
        <v>0</v>
      </c>
      <c r="I932" t="s">
        <v>1915</v>
      </c>
      <c r="J932">
        <v>0</v>
      </c>
      <c r="K932">
        <v>0</v>
      </c>
      <c r="L932" t="s">
        <v>1915</v>
      </c>
      <c r="M932">
        <v>0</v>
      </c>
      <c r="N932" t="s">
        <v>168</v>
      </c>
      <c r="O932" t="s">
        <v>167</v>
      </c>
      <c r="P932" t="s">
        <v>420</v>
      </c>
      <c r="Q932" t="s">
        <v>408</v>
      </c>
      <c r="R932" t="s">
        <v>1905</v>
      </c>
      <c r="S932">
        <v>2022</v>
      </c>
      <c r="T932">
        <v>9</v>
      </c>
      <c r="U932" t="s">
        <v>1916</v>
      </c>
      <c r="V932" t="s">
        <v>408</v>
      </c>
      <c r="W932">
        <v>0</v>
      </c>
      <c r="X932">
        <v>0</v>
      </c>
      <c r="Y932" t="s">
        <v>408</v>
      </c>
      <c r="Z932">
        <v>2022</v>
      </c>
      <c r="AA932">
        <v>0</v>
      </c>
      <c r="AB932">
        <v>1.04935819118E-2</v>
      </c>
      <c r="AC932">
        <v>2.09871638236E-2</v>
      </c>
      <c r="AD932" t="s">
        <v>1914</v>
      </c>
      <c r="AE932" t="s">
        <v>152</v>
      </c>
      <c r="AF932" t="s">
        <v>400</v>
      </c>
      <c r="AG932" t="s">
        <v>400</v>
      </c>
      <c r="AH932" t="s">
        <v>400</v>
      </c>
      <c r="AI932" t="s">
        <v>400</v>
      </c>
      <c r="AJ932" t="s">
        <v>400</v>
      </c>
      <c r="AK932" t="s">
        <v>400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0</v>
      </c>
      <c r="AU932" t="s">
        <v>1897</v>
      </c>
      <c r="AV932" t="s">
        <v>410</v>
      </c>
      <c r="AW932" t="s">
        <v>411</v>
      </c>
      <c r="AX932">
        <v>0</v>
      </c>
      <c r="AY932" t="s">
        <v>408</v>
      </c>
      <c r="AZ932" t="s">
        <v>408</v>
      </c>
    </row>
    <row r="933" spans="1:52" x14ac:dyDescent="0.3">
      <c r="A933">
        <v>922</v>
      </c>
      <c r="B933" s="62" t="s">
        <v>1912</v>
      </c>
      <c r="C933" t="s">
        <v>154</v>
      </c>
      <c r="D933" t="s">
        <v>1913</v>
      </c>
      <c r="E933" t="s">
        <v>417</v>
      </c>
      <c r="F933" t="s">
        <v>400</v>
      </c>
      <c r="G933" t="s">
        <v>408</v>
      </c>
      <c r="H933">
        <v>0</v>
      </c>
      <c r="I933" t="s">
        <v>619</v>
      </c>
      <c r="J933">
        <v>0</v>
      </c>
      <c r="K933">
        <v>0</v>
      </c>
      <c r="L933" t="s">
        <v>568</v>
      </c>
      <c r="M933">
        <v>0</v>
      </c>
      <c r="N933" t="s">
        <v>168</v>
      </c>
      <c r="O933" t="s">
        <v>1917</v>
      </c>
      <c r="P933" t="s">
        <v>420</v>
      </c>
      <c r="Q933" t="s">
        <v>408</v>
      </c>
      <c r="R933" t="s">
        <v>1905</v>
      </c>
      <c r="S933">
        <v>2022</v>
      </c>
      <c r="T933">
        <v>9</v>
      </c>
      <c r="U933" t="s">
        <v>408</v>
      </c>
      <c r="V933" t="s">
        <v>408</v>
      </c>
      <c r="W933">
        <v>0</v>
      </c>
      <c r="X933">
        <v>0</v>
      </c>
      <c r="Y933" t="s">
        <v>408</v>
      </c>
      <c r="Z933">
        <v>2022</v>
      </c>
      <c r="AA933">
        <v>0</v>
      </c>
      <c r="AB933">
        <v>0.25164119903799997</v>
      </c>
      <c r="AC933">
        <v>0.50328239807599995</v>
      </c>
      <c r="AD933" t="s">
        <v>1914</v>
      </c>
      <c r="AE933" t="s">
        <v>400</v>
      </c>
      <c r="AF933" t="s">
        <v>400</v>
      </c>
      <c r="AG933" t="s">
        <v>400</v>
      </c>
      <c r="AH933" t="s">
        <v>400</v>
      </c>
      <c r="AI933" t="s">
        <v>400</v>
      </c>
      <c r="AJ933" t="s">
        <v>400</v>
      </c>
      <c r="AK933" t="s">
        <v>400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U933" t="s">
        <v>1897</v>
      </c>
      <c r="AV933" t="s">
        <v>410</v>
      </c>
      <c r="AW933" t="s">
        <v>400</v>
      </c>
      <c r="AX933">
        <v>0</v>
      </c>
      <c r="AY933" t="s">
        <v>17</v>
      </c>
      <c r="AZ933">
        <v>20</v>
      </c>
    </row>
    <row r="934" spans="1:52" x14ac:dyDescent="0.3">
      <c r="A934">
        <v>923</v>
      </c>
      <c r="B934" s="62" t="s">
        <v>1918</v>
      </c>
      <c r="C934" t="s">
        <v>154</v>
      </c>
      <c r="D934" t="s">
        <v>1919</v>
      </c>
      <c r="E934" t="s">
        <v>417</v>
      </c>
      <c r="F934" t="s">
        <v>1920</v>
      </c>
      <c r="G934" t="s">
        <v>408</v>
      </c>
      <c r="H934">
        <v>0</v>
      </c>
      <c r="I934" t="s">
        <v>1301</v>
      </c>
      <c r="J934">
        <v>0</v>
      </c>
      <c r="K934">
        <v>0</v>
      </c>
      <c r="L934" t="s">
        <v>1136</v>
      </c>
      <c r="M934">
        <v>0</v>
      </c>
      <c r="N934" t="s">
        <v>168</v>
      </c>
      <c r="O934" t="s">
        <v>1911</v>
      </c>
      <c r="P934" t="s">
        <v>420</v>
      </c>
      <c r="Q934" t="s">
        <v>408</v>
      </c>
      <c r="R934" t="s">
        <v>1895</v>
      </c>
      <c r="S934">
        <v>2022</v>
      </c>
      <c r="T934">
        <v>9</v>
      </c>
      <c r="U934" t="s">
        <v>1896</v>
      </c>
      <c r="V934" t="s">
        <v>408</v>
      </c>
      <c r="W934">
        <v>0</v>
      </c>
      <c r="X934">
        <v>0</v>
      </c>
      <c r="Y934" t="s">
        <v>408</v>
      </c>
      <c r="Z934">
        <v>2022</v>
      </c>
      <c r="AA934">
        <v>0</v>
      </c>
      <c r="AB934">
        <v>0.50005717326300003</v>
      </c>
      <c r="AC934">
        <v>0.50005717326300003</v>
      </c>
      <c r="AD934" t="s">
        <v>408</v>
      </c>
      <c r="AE934" t="s">
        <v>411</v>
      </c>
      <c r="AF934" t="s">
        <v>1920</v>
      </c>
      <c r="AG934" t="s">
        <v>152</v>
      </c>
      <c r="AH934" t="s">
        <v>400</v>
      </c>
      <c r="AI934" t="s">
        <v>400</v>
      </c>
      <c r="AJ934" t="s">
        <v>400</v>
      </c>
      <c r="AK934" t="s">
        <v>400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U934" t="s">
        <v>1897</v>
      </c>
      <c r="AV934" t="s">
        <v>410</v>
      </c>
      <c r="AW934" t="s">
        <v>400</v>
      </c>
      <c r="AX934">
        <v>0</v>
      </c>
      <c r="AY934" t="s">
        <v>17</v>
      </c>
      <c r="AZ934">
        <v>20</v>
      </c>
    </row>
    <row r="935" spans="1:52" x14ac:dyDescent="0.3">
      <c r="A935">
        <v>924</v>
      </c>
      <c r="B935" s="62" t="s">
        <v>1918</v>
      </c>
      <c r="C935" t="s">
        <v>154</v>
      </c>
      <c r="D935" t="s">
        <v>1919</v>
      </c>
      <c r="E935" t="s">
        <v>417</v>
      </c>
      <c r="F935" t="s">
        <v>1920</v>
      </c>
      <c r="G935" t="s">
        <v>408</v>
      </c>
      <c r="H935">
        <v>0</v>
      </c>
      <c r="I935" t="s">
        <v>1136</v>
      </c>
      <c r="J935">
        <v>0</v>
      </c>
      <c r="K935">
        <v>0</v>
      </c>
      <c r="L935" t="s">
        <v>1921</v>
      </c>
      <c r="M935">
        <v>0</v>
      </c>
      <c r="N935" t="s">
        <v>168</v>
      </c>
      <c r="O935" t="s">
        <v>167</v>
      </c>
      <c r="P935" t="s">
        <v>420</v>
      </c>
      <c r="Q935" t="s">
        <v>408</v>
      </c>
      <c r="R935" t="s">
        <v>1895</v>
      </c>
      <c r="S935">
        <v>2022</v>
      </c>
      <c r="T935">
        <v>9</v>
      </c>
      <c r="U935" t="s">
        <v>1896</v>
      </c>
      <c r="V935" t="s">
        <v>408</v>
      </c>
      <c r="W935">
        <v>0</v>
      </c>
      <c r="X935">
        <v>0</v>
      </c>
      <c r="Y935" t="s">
        <v>408</v>
      </c>
      <c r="Z935">
        <v>2022</v>
      </c>
      <c r="AA935">
        <v>0</v>
      </c>
      <c r="AB935">
        <v>0.76464774174600003</v>
      </c>
      <c r="AC935">
        <v>0.76464774174600003</v>
      </c>
      <c r="AD935" t="s">
        <v>408</v>
      </c>
      <c r="AE935" t="s">
        <v>411</v>
      </c>
      <c r="AF935" t="s">
        <v>1920</v>
      </c>
      <c r="AG935" t="s">
        <v>152</v>
      </c>
      <c r="AH935" t="s">
        <v>400</v>
      </c>
      <c r="AI935" t="s">
        <v>400</v>
      </c>
      <c r="AJ935" t="s">
        <v>400</v>
      </c>
      <c r="AK935" t="s">
        <v>400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U935" t="s">
        <v>1897</v>
      </c>
      <c r="AV935" t="s">
        <v>410</v>
      </c>
      <c r="AW935" t="s">
        <v>400</v>
      </c>
      <c r="AX935">
        <v>0</v>
      </c>
      <c r="AY935" t="s">
        <v>17</v>
      </c>
      <c r="AZ935">
        <v>20</v>
      </c>
    </row>
    <row r="936" spans="1:52" x14ac:dyDescent="0.3">
      <c r="A936">
        <v>925</v>
      </c>
      <c r="B936" s="62" t="s">
        <v>1922</v>
      </c>
      <c r="C936" t="s">
        <v>154</v>
      </c>
      <c r="D936" t="s">
        <v>1923</v>
      </c>
      <c r="E936" t="s">
        <v>417</v>
      </c>
      <c r="F936" t="s">
        <v>154</v>
      </c>
      <c r="G936" t="s">
        <v>408</v>
      </c>
      <c r="H936">
        <v>0</v>
      </c>
      <c r="I936" t="s">
        <v>1136</v>
      </c>
      <c r="J936">
        <v>0</v>
      </c>
      <c r="K936">
        <v>0</v>
      </c>
      <c r="L936" t="s">
        <v>1924</v>
      </c>
      <c r="M936">
        <v>0</v>
      </c>
      <c r="N936" t="s">
        <v>168</v>
      </c>
      <c r="O936" t="s">
        <v>167</v>
      </c>
      <c r="P936" t="s">
        <v>420</v>
      </c>
      <c r="Q936" t="s">
        <v>408</v>
      </c>
      <c r="R936" t="s">
        <v>1895</v>
      </c>
      <c r="S936">
        <v>2022</v>
      </c>
      <c r="T936">
        <v>9</v>
      </c>
      <c r="U936" t="s">
        <v>1896</v>
      </c>
      <c r="V936" t="s">
        <v>408</v>
      </c>
      <c r="W936">
        <v>0</v>
      </c>
      <c r="X936">
        <v>0</v>
      </c>
      <c r="Y936" t="s">
        <v>408</v>
      </c>
      <c r="Z936">
        <v>2022</v>
      </c>
      <c r="AA936">
        <v>0</v>
      </c>
      <c r="AB936">
        <v>0.12814590204199999</v>
      </c>
      <c r="AC936">
        <v>0.12814590204199999</v>
      </c>
      <c r="AD936" t="s">
        <v>408</v>
      </c>
      <c r="AE936" t="s">
        <v>411</v>
      </c>
      <c r="AF936" t="s">
        <v>154</v>
      </c>
      <c r="AG936" t="s">
        <v>152</v>
      </c>
      <c r="AH936" t="s">
        <v>400</v>
      </c>
      <c r="AI936" t="s">
        <v>400</v>
      </c>
      <c r="AJ936" t="s">
        <v>400</v>
      </c>
      <c r="AK936" t="s">
        <v>400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U936" t="s">
        <v>1897</v>
      </c>
      <c r="AV936" t="s">
        <v>410</v>
      </c>
      <c r="AW936" t="s">
        <v>400</v>
      </c>
      <c r="AX936">
        <v>0</v>
      </c>
      <c r="AY936" t="s">
        <v>17</v>
      </c>
      <c r="AZ936">
        <v>20</v>
      </c>
    </row>
    <row r="937" spans="1:52" x14ac:dyDescent="0.3">
      <c r="A937">
        <v>926</v>
      </c>
      <c r="B937" s="62" t="s">
        <v>1922</v>
      </c>
      <c r="C937" t="s">
        <v>154</v>
      </c>
      <c r="D937" t="s">
        <v>1923</v>
      </c>
      <c r="E937" t="s">
        <v>417</v>
      </c>
      <c r="F937" t="s">
        <v>154</v>
      </c>
      <c r="G937" t="s">
        <v>408</v>
      </c>
      <c r="H937">
        <v>0</v>
      </c>
      <c r="I937" t="s">
        <v>1301</v>
      </c>
      <c r="J937">
        <v>0</v>
      </c>
      <c r="K937">
        <v>0</v>
      </c>
      <c r="L937" t="s">
        <v>1136</v>
      </c>
      <c r="M937">
        <v>0</v>
      </c>
      <c r="N937" t="s">
        <v>168</v>
      </c>
      <c r="O937" t="s">
        <v>1911</v>
      </c>
      <c r="P937" t="s">
        <v>420</v>
      </c>
      <c r="Q937" t="s">
        <v>408</v>
      </c>
      <c r="R937" t="s">
        <v>1895</v>
      </c>
      <c r="S937">
        <v>2022</v>
      </c>
      <c r="T937">
        <v>9</v>
      </c>
      <c r="U937" t="s">
        <v>1896</v>
      </c>
      <c r="V937" t="s">
        <v>408</v>
      </c>
      <c r="W937">
        <v>0</v>
      </c>
      <c r="X937">
        <v>0</v>
      </c>
      <c r="Y937" t="s">
        <v>408</v>
      </c>
      <c r="Z937">
        <v>2022</v>
      </c>
      <c r="AA937">
        <v>0</v>
      </c>
      <c r="AB937">
        <v>0.49989791093800001</v>
      </c>
      <c r="AC937">
        <v>0.49989791093800001</v>
      </c>
      <c r="AD937" t="s">
        <v>408</v>
      </c>
      <c r="AE937" t="s">
        <v>411</v>
      </c>
      <c r="AF937" t="s">
        <v>154</v>
      </c>
      <c r="AG937" t="s">
        <v>152</v>
      </c>
      <c r="AH937" t="s">
        <v>400</v>
      </c>
      <c r="AI937" t="s">
        <v>400</v>
      </c>
      <c r="AJ937" t="s">
        <v>400</v>
      </c>
      <c r="AK937" t="s">
        <v>400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0</v>
      </c>
      <c r="AR937">
        <v>0</v>
      </c>
      <c r="AS937">
        <v>0</v>
      </c>
      <c r="AU937" t="s">
        <v>1897</v>
      </c>
      <c r="AV937" t="s">
        <v>410</v>
      </c>
      <c r="AW937" t="s">
        <v>400</v>
      </c>
      <c r="AX937">
        <v>0</v>
      </c>
      <c r="AY937" t="s">
        <v>17</v>
      </c>
      <c r="AZ937">
        <v>20</v>
      </c>
    </row>
    <row r="938" spans="1:52" x14ac:dyDescent="0.3">
      <c r="A938">
        <v>927</v>
      </c>
      <c r="B938" s="62" t="s">
        <v>1922</v>
      </c>
      <c r="C938" t="s">
        <v>154</v>
      </c>
      <c r="D938" t="s">
        <v>1923</v>
      </c>
      <c r="E938" t="s">
        <v>417</v>
      </c>
      <c r="F938" t="s">
        <v>400</v>
      </c>
      <c r="G938" t="s">
        <v>408</v>
      </c>
      <c r="H938">
        <v>0</v>
      </c>
      <c r="I938" t="s">
        <v>1924</v>
      </c>
      <c r="J938">
        <v>0</v>
      </c>
      <c r="K938">
        <v>0</v>
      </c>
      <c r="L938" t="s">
        <v>1921</v>
      </c>
      <c r="M938">
        <v>0</v>
      </c>
      <c r="N938" t="s">
        <v>168</v>
      </c>
      <c r="O938" t="s">
        <v>1911</v>
      </c>
      <c r="P938" t="s">
        <v>420</v>
      </c>
      <c r="Q938" t="s">
        <v>408</v>
      </c>
      <c r="R938" t="s">
        <v>1895</v>
      </c>
      <c r="S938">
        <v>2022</v>
      </c>
      <c r="T938">
        <v>9</v>
      </c>
      <c r="U938" t="s">
        <v>1896</v>
      </c>
      <c r="V938" t="s">
        <v>408</v>
      </c>
      <c r="W938">
        <v>0</v>
      </c>
      <c r="X938">
        <v>0</v>
      </c>
      <c r="Y938" t="s">
        <v>408</v>
      </c>
      <c r="Z938">
        <v>2022</v>
      </c>
      <c r="AA938">
        <v>0</v>
      </c>
      <c r="AB938">
        <v>0.63766896492000003</v>
      </c>
      <c r="AC938">
        <v>0.63766896492000003</v>
      </c>
      <c r="AD938" t="s">
        <v>408</v>
      </c>
      <c r="AE938" t="s">
        <v>152</v>
      </c>
      <c r="AF938" t="s">
        <v>400</v>
      </c>
      <c r="AG938" t="s">
        <v>400</v>
      </c>
      <c r="AH938" t="s">
        <v>400</v>
      </c>
      <c r="AI938" t="s">
        <v>400</v>
      </c>
      <c r="AJ938" t="s">
        <v>400</v>
      </c>
      <c r="AK938" t="s">
        <v>400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U938" t="s">
        <v>1897</v>
      </c>
      <c r="AV938" t="s">
        <v>410</v>
      </c>
      <c r="AW938" t="s">
        <v>400</v>
      </c>
      <c r="AX938">
        <v>0</v>
      </c>
      <c r="AY938" t="s">
        <v>17</v>
      </c>
      <c r="AZ938">
        <v>20</v>
      </c>
    </row>
    <row r="939" spans="1:52" x14ac:dyDescent="0.3">
      <c r="A939">
        <v>928</v>
      </c>
      <c r="B939" s="62" t="s">
        <v>1925</v>
      </c>
      <c r="C939" t="s">
        <v>155</v>
      </c>
      <c r="D939" t="s">
        <v>1926</v>
      </c>
      <c r="E939" t="s">
        <v>460</v>
      </c>
      <c r="F939" t="s">
        <v>400</v>
      </c>
      <c r="G939" t="s">
        <v>408</v>
      </c>
      <c r="H939">
        <v>0</v>
      </c>
      <c r="I939" t="s">
        <v>492</v>
      </c>
      <c r="J939">
        <v>0</v>
      </c>
      <c r="K939">
        <v>0</v>
      </c>
      <c r="L939" t="s">
        <v>1927</v>
      </c>
      <c r="M939">
        <v>0</v>
      </c>
      <c r="N939" t="s">
        <v>168</v>
      </c>
      <c r="O939" t="s">
        <v>170</v>
      </c>
      <c r="P939" t="s">
        <v>420</v>
      </c>
      <c r="Q939" t="s">
        <v>408</v>
      </c>
      <c r="R939" t="s">
        <v>408</v>
      </c>
      <c r="S939">
        <v>2022</v>
      </c>
      <c r="T939">
        <v>9</v>
      </c>
      <c r="U939" t="s">
        <v>1896</v>
      </c>
      <c r="V939" t="s">
        <v>408</v>
      </c>
      <c r="W939">
        <v>0</v>
      </c>
      <c r="X939">
        <v>0</v>
      </c>
      <c r="Y939" t="s">
        <v>408</v>
      </c>
      <c r="Z939">
        <v>2022</v>
      </c>
      <c r="AA939">
        <v>0</v>
      </c>
      <c r="AB939">
        <v>1.2762673637499999</v>
      </c>
      <c r="AC939">
        <v>2.5525347274999999</v>
      </c>
      <c r="AD939" t="s">
        <v>408</v>
      </c>
      <c r="AE939" t="s">
        <v>400</v>
      </c>
      <c r="AF939" t="s">
        <v>400</v>
      </c>
      <c r="AG939" t="s">
        <v>400</v>
      </c>
      <c r="AH939" t="s">
        <v>408</v>
      </c>
      <c r="AI939" t="s">
        <v>408</v>
      </c>
      <c r="AJ939" t="s">
        <v>408</v>
      </c>
      <c r="AK939" t="s">
        <v>408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U939" t="s">
        <v>1897</v>
      </c>
      <c r="AV939" t="s">
        <v>410</v>
      </c>
      <c r="AW939" t="s">
        <v>152</v>
      </c>
      <c r="AX939">
        <v>0</v>
      </c>
      <c r="AY939" t="s">
        <v>17</v>
      </c>
      <c r="AZ939">
        <v>20</v>
      </c>
    </row>
    <row r="940" spans="1:52" x14ac:dyDescent="0.3">
      <c r="A940">
        <v>929</v>
      </c>
      <c r="B940" s="62" t="s">
        <v>1925</v>
      </c>
      <c r="C940" t="s">
        <v>155</v>
      </c>
      <c r="D940" t="s">
        <v>1926</v>
      </c>
      <c r="E940" t="s">
        <v>460</v>
      </c>
      <c r="F940" t="s">
        <v>1928</v>
      </c>
      <c r="G940" t="s">
        <v>408</v>
      </c>
      <c r="H940">
        <v>0</v>
      </c>
      <c r="I940" t="s">
        <v>1927</v>
      </c>
      <c r="J940">
        <v>0</v>
      </c>
      <c r="K940">
        <v>0</v>
      </c>
      <c r="L940" t="s">
        <v>893</v>
      </c>
      <c r="M940">
        <v>0</v>
      </c>
      <c r="N940" t="s">
        <v>168</v>
      </c>
      <c r="O940" t="s">
        <v>168</v>
      </c>
      <c r="P940" t="s">
        <v>420</v>
      </c>
      <c r="Q940" t="s">
        <v>408</v>
      </c>
      <c r="R940" t="s">
        <v>408</v>
      </c>
      <c r="S940">
        <v>2022</v>
      </c>
      <c r="T940">
        <v>9</v>
      </c>
      <c r="U940" t="s">
        <v>1896</v>
      </c>
      <c r="V940" t="s">
        <v>408</v>
      </c>
      <c r="W940">
        <v>0</v>
      </c>
      <c r="X940">
        <v>0</v>
      </c>
      <c r="Y940" t="s">
        <v>408</v>
      </c>
      <c r="Z940">
        <v>2022</v>
      </c>
      <c r="AA940">
        <v>0</v>
      </c>
      <c r="AB940">
        <v>0.829872568486</v>
      </c>
      <c r="AC940">
        <v>1.65974513697</v>
      </c>
      <c r="AD940" t="s">
        <v>408</v>
      </c>
      <c r="AE940" t="s">
        <v>152</v>
      </c>
      <c r="AF940" t="s">
        <v>400</v>
      </c>
      <c r="AG940" t="s">
        <v>411</v>
      </c>
      <c r="AH940" t="s">
        <v>400</v>
      </c>
      <c r="AI940" t="s">
        <v>400</v>
      </c>
      <c r="AJ940" t="s">
        <v>400</v>
      </c>
      <c r="AK940" t="s">
        <v>400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0</v>
      </c>
      <c r="AR940">
        <v>0</v>
      </c>
      <c r="AS940">
        <v>0</v>
      </c>
      <c r="AU940" t="s">
        <v>1897</v>
      </c>
      <c r="AV940" t="s">
        <v>410</v>
      </c>
      <c r="AW940" t="s">
        <v>400</v>
      </c>
      <c r="AX940">
        <v>0</v>
      </c>
      <c r="AY940" t="s">
        <v>17</v>
      </c>
      <c r="AZ940">
        <v>20</v>
      </c>
    </row>
    <row r="941" spans="1:52" x14ac:dyDescent="0.3">
      <c r="A941">
        <v>930</v>
      </c>
      <c r="B941" s="62" t="s">
        <v>1925</v>
      </c>
      <c r="C941" t="s">
        <v>152</v>
      </c>
      <c r="D941" t="s">
        <v>1926</v>
      </c>
      <c r="E941" t="s">
        <v>460</v>
      </c>
      <c r="F941" t="s">
        <v>400</v>
      </c>
      <c r="G941" t="s">
        <v>408</v>
      </c>
      <c r="H941">
        <v>0</v>
      </c>
      <c r="I941" t="s">
        <v>893</v>
      </c>
      <c r="J941">
        <v>0</v>
      </c>
      <c r="K941">
        <v>0</v>
      </c>
      <c r="L941" t="s">
        <v>1929</v>
      </c>
      <c r="M941">
        <v>0</v>
      </c>
      <c r="N941" t="s">
        <v>168</v>
      </c>
      <c r="O941" t="s">
        <v>1911</v>
      </c>
      <c r="P941" t="s">
        <v>420</v>
      </c>
      <c r="Q941" t="s">
        <v>408</v>
      </c>
      <c r="R941" t="s">
        <v>408</v>
      </c>
      <c r="S941">
        <v>2022</v>
      </c>
      <c r="T941">
        <v>9</v>
      </c>
      <c r="U941" t="s">
        <v>1896</v>
      </c>
      <c r="V941" t="s">
        <v>408</v>
      </c>
      <c r="W941">
        <v>0</v>
      </c>
      <c r="X941">
        <v>0</v>
      </c>
      <c r="Y941" t="s">
        <v>408</v>
      </c>
      <c r="Z941">
        <v>2022</v>
      </c>
      <c r="AA941">
        <v>0</v>
      </c>
      <c r="AB941">
        <v>9.1045148312400001E-2</v>
      </c>
      <c r="AC941">
        <v>0.18209029662500001</v>
      </c>
      <c r="AD941" t="s">
        <v>408</v>
      </c>
      <c r="AE941" t="s">
        <v>400</v>
      </c>
      <c r="AF941" t="s">
        <v>400</v>
      </c>
      <c r="AG941" t="s">
        <v>400</v>
      </c>
      <c r="AH941" t="s">
        <v>400</v>
      </c>
      <c r="AI941" t="s">
        <v>400</v>
      </c>
      <c r="AJ941" t="s">
        <v>400</v>
      </c>
      <c r="AK941" t="s">
        <v>400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0</v>
      </c>
      <c r="AU941" t="s">
        <v>1897</v>
      </c>
      <c r="AV941" t="s">
        <v>410</v>
      </c>
      <c r="AW941" t="s">
        <v>152</v>
      </c>
      <c r="AX941">
        <v>0</v>
      </c>
      <c r="AY941" t="s">
        <v>17</v>
      </c>
      <c r="AZ941">
        <v>20</v>
      </c>
    </row>
    <row r="942" spans="1:52" x14ac:dyDescent="0.3">
      <c r="A942">
        <v>931</v>
      </c>
      <c r="B942" s="62" t="s">
        <v>1925</v>
      </c>
      <c r="C942" t="s">
        <v>152</v>
      </c>
      <c r="D942" t="s">
        <v>1926</v>
      </c>
      <c r="E942" t="s">
        <v>460</v>
      </c>
      <c r="F942" t="s">
        <v>155</v>
      </c>
      <c r="G942" t="s">
        <v>408</v>
      </c>
      <c r="H942">
        <v>0</v>
      </c>
      <c r="I942" t="s">
        <v>1929</v>
      </c>
      <c r="J942">
        <v>0</v>
      </c>
      <c r="K942">
        <v>0</v>
      </c>
      <c r="L942" t="s">
        <v>628</v>
      </c>
      <c r="M942">
        <v>0</v>
      </c>
      <c r="N942" t="s">
        <v>168</v>
      </c>
      <c r="O942" t="s">
        <v>168</v>
      </c>
      <c r="P942" t="s">
        <v>420</v>
      </c>
      <c r="Q942" t="s">
        <v>408</v>
      </c>
      <c r="R942" t="s">
        <v>408</v>
      </c>
      <c r="S942">
        <v>2022</v>
      </c>
      <c r="T942">
        <v>9</v>
      </c>
      <c r="U942" t="s">
        <v>1896</v>
      </c>
      <c r="V942" t="s">
        <v>408</v>
      </c>
      <c r="W942">
        <v>0</v>
      </c>
      <c r="X942">
        <v>0</v>
      </c>
      <c r="Y942" t="s">
        <v>408</v>
      </c>
      <c r="Z942">
        <v>2022</v>
      </c>
      <c r="AA942">
        <v>0</v>
      </c>
      <c r="AB942">
        <v>0.168489255729</v>
      </c>
      <c r="AC942">
        <v>0.33697851145800001</v>
      </c>
      <c r="AD942" t="s">
        <v>400</v>
      </c>
      <c r="AE942" t="s">
        <v>152</v>
      </c>
      <c r="AF942" t="s">
        <v>400</v>
      </c>
      <c r="AG942" t="s">
        <v>411</v>
      </c>
      <c r="AH942" t="s">
        <v>400</v>
      </c>
      <c r="AI942" t="s">
        <v>400</v>
      </c>
      <c r="AJ942" t="s">
        <v>400</v>
      </c>
      <c r="AK942" t="s">
        <v>400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U942" t="s">
        <v>1897</v>
      </c>
      <c r="AV942" t="s">
        <v>410</v>
      </c>
      <c r="AW942" t="s">
        <v>400</v>
      </c>
      <c r="AX942">
        <v>0</v>
      </c>
      <c r="AY942" t="s">
        <v>17</v>
      </c>
      <c r="AZ942">
        <v>20</v>
      </c>
    </row>
    <row r="943" spans="1:52" x14ac:dyDescent="0.3">
      <c r="A943">
        <v>932</v>
      </c>
      <c r="B943" s="62" t="s">
        <v>873</v>
      </c>
      <c r="C943" t="s">
        <v>154</v>
      </c>
      <c r="D943" t="s">
        <v>874</v>
      </c>
      <c r="E943" t="s">
        <v>417</v>
      </c>
      <c r="F943" t="s">
        <v>154</v>
      </c>
      <c r="G943">
        <v>501</v>
      </c>
      <c r="H943">
        <v>500</v>
      </c>
      <c r="I943" t="s">
        <v>1000</v>
      </c>
      <c r="J943">
        <v>0</v>
      </c>
      <c r="K943">
        <v>0</v>
      </c>
      <c r="L943" t="s">
        <v>1607</v>
      </c>
      <c r="M943">
        <v>4</v>
      </c>
      <c r="N943" t="s">
        <v>163</v>
      </c>
      <c r="O943" t="s">
        <v>163</v>
      </c>
      <c r="P943" t="s">
        <v>420</v>
      </c>
      <c r="Q943" t="s">
        <v>408</v>
      </c>
      <c r="R943" t="s">
        <v>505</v>
      </c>
      <c r="S943">
        <v>2016</v>
      </c>
      <c r="T943">
        <v>11</v>
      </c>
      <c r="U943" t="s">
        <v>408</v>
      </c>
      <c r="V943" t="s">
        <v>408</v>
      </c>
      <c r="W943">
        <v>0</v>
      </c>
      <c r="X943">
        <v>0</v>
      </c>
      <c r="Y943" t="s">
        <v>408</v>
      </c>
      <c r="Z943">
        <v>2016</v>
      </c>
      <c r="AA943">
        <v>0</v>
      </c>
      <c r="AB943">
        <v>7.5979754975200001E-2</v>
      </c>
      <c r="AC943">
        <v>7.5979754975200001E-2</v>
      </c>
      <c r="AD943" t="s">
        <v>505</v>
      </c>
      <c r="AE943" t="s">
        <v>411</v>
      </c>
      <c r="AF943" t="s">
        <v>154</v>
      </c>
      <c r="AG943" t="s">
        <v>152</v>
      </c>
      <c r="AH943" t="s">
        <v>408</v>
      </c>
      <c r="AI943" t="s">
        <v>1364</v>
      </c>
      <c r="AJ943" t="s">
        <v>400</v>
      </c>
      <c r="AK943" t="s">
        <v>411</v>
      </c>
      <c r="AL943">
        <v>2017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U943" t="s">
        <v>457</v>
      </c>
      <c r="AV943" t="s">
        <v>410</v>
      </c>
      <c r="AW943" t="s">
        <v>411</v>
      </c>
      <c r="AX943">
        <v>1</v>
      </c>
      <c r="AY943" t="s">
        <v>412</v>
      </c>
      <c r="AZ943" t="s">
        <v>408</v>
      </c>
    </row>
    <row r="944" spans="1:52" x14ac:dyDescent="0.3">
      <c r="A944">
        <v>933</v>
      </c>
      <c r="B944" s="62" t="s">
        <v>911</v>
      </c>
      <c r="C944" t="s">
        <v>154</v>
      </c>
      <c r="D944" t="s">
        <v>912</v>
      </c>
      <c r="E944" t="s">
        <v>417</v>
      </c>
      <c r="F944" t="s">
        <v>400</v>
      </c>
      <c r="G944" t="s">
        <v>408</v>
      </c>
      <c r="H944">
        <v>0</v>
      </c>
      <c r="I944" t="s">
        <v>1063</v>
      </c>
      <c r="J944">
        <v>0</v>
      </c>
      <c r="K944">
        <v>0</v>
      </c>
      <c r="L944" t="s">
        <v>1930</v>
      </c>
      <c r="M944">
        <v>0</v>
      </c>
      <c r="N944" t="s">
        <v>163</v>
      </c>
      <c r="O944" t="s">
        <v>163</v>
      </c>
      <c r="P944" t="s">
        <v>420</v>
      </c>
      <c r="Q944" t="s">
        <v>408</v>
      </c>
      <c r="R944" t="s">
        <v>971</v>
      </c>
      <c r="S944">
        <v>2021</v>
      </c>
      <c r="T944">
        <v>10</v>
      </c>
      <c r="U944" t="s">
        <v>452</v>
      </c>
      <c r="V944" t="s">
        <v>408</v>
      </c>
      <c r="W944">
        <v>0</v>
      </c>
      <c r="X944">
        <v>0</v>
      </c>
      <c r="Y944" t="s">
        <v>408</v>
      </c>
      <c r="Z944">
        <v>2021</v>
      </c>
      <c r="AA944">
        <v>0</v>
      </c>
      <c r="AB944">
        <v>5.09397551963E-2</v>
      </c>
      <c r="AC944">
        <v>0.101879510393</v>
      </c>
      <c r="AD944" t="s">
        <v>400</v>
      </c>
      <c r="AE944" t="s">
        <v>400</v>
      </c>
      <c r="AF944" t="s">
        <v>400</v>
      </c>
      <c r="AG944" t="s">
        <v>400</v>
      </c>
      <c r="AH944" t="s">
        <v>408</v>
      </c>
      <c r="AI944" t="s">
        <v>456</v>
      </c>
      <c r="AJ944" t="s">
        <v>400</v>
      </c>
      <c r="AK944" t="s">
        <v>408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U944" t="s">
        <v>457</v>
      </c>
      <c r="AV944" t="s">
        <v>410</v>
      </c>
      <c r="AW944" t="s">
        <v>411</v>
      </c>
      <c r="AX944">
        <v>0</v>
      </c>
      <c r="AY944" t="s">
        <v>412</v>
      </c>
      <c r="AZ944" t="s">
        <v>408</v>
      </c>
    </row>
    <row r="945" spans="1:52" x14ac:dyDescent="0.3">
      <c r="A945">
        <v>934</v>
      </c>
      <c r="B945" s="62" t="s">
        <v>432</v>
      </c>
      <c r="C945" t="s">
        <v>154</v>
      </c>
      <c r="D945" t="s">
        <v>433</v>
      </c>
      <c r="E945" t="s">
        <v>417</v>
      </c>
      <c r="F945" t="s">
        <v>408</v>
      </c>
      <c r="G945">
        <v>0</v>
      </c>
      <c r="H945">
        <v>0</v>
      </c>
      <c r="I945" t="s">
        <v>669</v>
      </c>
      <c r="J945">
        <v>3601</v>
      </c>
      <c r="K945">
        <v>3600</v>
      </c>
      <c r="L945" t="s">
        <v>1328</v>
      </c>
      <c r="M945">
        <v>3</v>
      </c>
      <c r="N945" t="s">
        <v>163</v>
      </c>
      <c r="O945" t="s">
        <v>163</v>
      </c>
      <c r="P945" t="s">
        <v>403</v>
      </c>
      <c r="Q945" t="s">
        <v>1476</v>
      </c>
      <c r="R945" t="s">
        <v>740</v>
      </c>
      <c r="S945">
        <v>2022</v>
      </c>
      <c r="T945">
        <v>10</v>
      </c>
      <c r="U945" t="s">
        <v>1477</v>
      </c>
      <c r="V945" t="s">
        <v>408</v>
      </c>
      <c r="W945">
        <v>0</v>
      </c>
      <c r="X945">
        <v>0</v>
      </c>
      <c r="Y945" t="s">
        <v>408</v>
      </c>
      <c r="Z945">
        <v>2014</v>
      </c>
      <c r="AA945">
        <v>2014</v>
      </c>
      <c r="AB945">
        <v>0.46440477806399999</v>
      </c>
      <c r="AC945">
        <v>0.92880955612799998</v>
      </c>
      <c r="AD945" t="s">
        <v>400</v>
      </c>
      <c r="AE945" t="s">
        <v>152</v>
      </c>
      <c r="AF945" t="s">
        <v>400</v>
      </c>
      <c r="AG945" t="s">
        <v>400</v>
      </c>
      <c r="AH945" t="s">
        <v>408</v>
      </c>
      <c r="AI945" t="s">
        <v>744</v>
      </c>
      <c r="AJ945" t="s">
        <v>400</v>
      </c>
      <c r="AK945" t="s">
        <v>408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U945" t="s">
        <v>457</v>
      </c>
      <c r="AV945" t="s">
        <v>410</v>
      </c>
      <c r="AW945" t="s">
        <v>411</v>
      </c>
      <c r="AX945">
        <v>1</v>
      </c>
      <c r="AY945" t="s">
        <v>412</v>
      </c>
      <c r="AZ945" t="s">
        <v>408</v>
      </c>
    </row>
    <row r="946" spans="1:52" x14ac:dyDescent="0.3">
      <c r="A946">
        <v>935</v>
      </c>
      <c r="B946" s="62" t="s">
        <v>667</v>
      </c>
      <c r="C946" t="s">
        <v>154</v>
      </c>
      <c r="D946" t="s">
        <v>668</v>
      </c>
      <c r="E946" t="s">
        <v>460</v>
      </c>
      <c r="F946" t="s">
        <v>400</v>
      </c>
      <c r="G946" t="s">
        <v>408</v>
      </c>
      <c r="H946">
        <v>0</v>
      </c>
      <c r="I946" t="s">
        <v>1046</v>
      </c>
      <c r="J946">
        <v>0</v>
      </c>
      <c r="K946">
        <v>0</v>
      </c>
      <c r="L946" t="s">
        <v>761</v>
      </c>
      <c r="M946">
        <v>0</v>
      </c>
      <c r="N946" t="s">
        <v>165</v>
      </c>
      <c r="O946" t="s">
        <v>165</v>
      </c>
      <c r="P946" t="s">
        <v>420</v>
      </c>
      <c r="Q946" t="s">
        <v>408</v>
      </c>
      <c r="R946" t="s">
        <v>596</v>
      </c>
      <c r="S946">
        <v>2022</v>
      </c>
      <c r="T946">
        <v>0</v>
      </c>
      <c r="U946" t="s">
        <v>408</v>
      </c>
      <c r="V946" t="s">
        <v>408</v>
      </c>
      <c r="W946">
        <v>0</v>
      </c>
      <c r="X946">
        <v>0</v>
      </c>
      <c r="Y946" t="s">
        <v>408</v>
      </c>
      <c r="Z946">
        <v>2022</v>
      </c>
      <c r="AA946">
        <v>2022</v>
      </c>
      <c r="AB946">
        <v>0.75429385664299997</v>
      </c>
      <c r="AC946">
        <v>1.5085877132900001</v>
      </c>
      <c r="AD946" t="s">
        <v>408</v>
      </c>
      <c r="AE946" t="s">
        <v>400</v>
      </c>
      <c r="AF946" t="s">
        <v>400</v>
      </c>
      <c r="AG946" t="s">
        <v>400</v>
      </c>
      <c r="AH946" t="s">
        <v>400</v>
      </c>
      <c r="AI946" t="s">
        <v>400</v>
      </c>
      <c r="AJ946" t="s">
        <v>400</v>
      </c>
      <c r="AK946" t="s">
        <v>400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U946" t="s">
        <v>457</v>
      </c>
      <c r="AV946" t="s">
        <v>410</v>
      </c>
      <c r="AW946" t="s">
        <v>400</v>
      </c>
      <c r="AX946">
        <v>0</v>
      </c>
      <c r="AY946" t="s">
        <v>1931</v>
      </c>
      <c r="AZ946">
        <v>30</v>
      </c>
    </row>
    <row r="947" spans="1:52" x14ac:dyDescent="0.3">
      <c r="A947">
        <v>936</v>
      </c>
      <c r="B947" s="62" t="s">
        <v>1091</v>
      </c>
      <c r="C947" t="s">
        <v>447</v>
      </c>
      <c r="D947" t="s">
        <v>1092</v>
      </c>
      <c r="E947" t="s">
        <v>417</v>
      </c>
      <c r="F947" t="s">
        <v>400</v>
      </c>
      <c r="G947" t="s">
        <v>408</v>
      </c>
      <c r="H947">
        <v>0</v>
      </c>
      <c r="I947" t="s">
        <v>1029</v>
      </c>
      <c r="J947">
        <v>0</v>
      </c>
      <c r="K947">
        <v>0</v>
      </c>
      <c r="L947" t="s">
        <v>1053</v>
      </c>
      <c r="M947">
        <v>0</v>
      </c>
      <c r="N947" t="s">
        <v>167</v>
      </c>
      <c r="O947" t="s">
        <v>167</v>
      </c>
      <c r="P947" t="s">
        <v>420</v>
      </c>
      <c r="Q947" t="s">
        <v>408</v>
      </c>
      <c r="R947" t="s">
        <v>1932</v>
      </c>
      <c r="S947">
        <v>2022</v>
      </c>
      <c r="T947">
        <v>0</v>
      </c>
      <c r="U947" t="s">
        <v>408</v>
      </c>
      <c r="V947" t="s">
        <v>408</v>
      </c>
      <c r="W947">
        <v>0</v>
      </c>
      <c r="X947">
        <v>0</v>
      </c>
      <c r="Y947" t="s">
        <v>408</v>
      </c>
      <c r="Z947">
        <v>2022</v>
      </c>
      <c r="AA947">
        <v>2022</v>
      </c>
      <c r="AB947">
        <v>0.93975733389399996</v>
      </c>
      <c r="AC947">
        <v>1.8795146677900001</v>
      </c>
      <c r="AD947" t="s">
        <v>400</v>
      </c>
      <c r="AE947" t="s">
        <v>400</v>
      </c>
      <c r="AF947" t="s">
        <v>400</v>
      </c>
      <c r="AG947" t="s">
        <v>400</v>
      </c>
      <c r="AH947" t="s">
        <v>400</v>
      </c>
      <c r="AI947" t="s">
        <v>400</v>
      </c>
      <c r="AJ947" t="s">
        <v>400</v>
      </c>
      <c r="AK947" t="s">
        <v>408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U947" t="s">
        <v>1933</v>
      </c>
      <c r="AV947" t="s">
        <v>410</v>
      </c>
      <c r="AW947" t="s">
        <v>400</v>
      </c>
      <c r="AX947">
        <v>0</v>
      </c>
      <c r="AY947" t="s">
        <v>1931</v>
      </c>
      <c r="AZ947">
        <v>30</v>
      </c>
    </row>
    <row r="948" spans="1:52" x14ac:dyDescent="0.3">
      <c r="A948">
        <v>937</v>
      </c>
      <c r="B948" s="62" t="s">
        <v>688</v>
      </c>
      <c r="C948" t="s">
        <v>155</v>
      </c>
      <c r="D948" t="s">
        <v>689</v>
      </c>
      <c r="E948" t="s">
        <v>426</v>
      </c>
      <c r="F948" t="s">
        <v>400</v>
      </c>
      <c r="G948">
        <v>7600</v>
      </c>
      <c r="H948">
        <v>7601</v>
      </c>
      <c r="I948" t="s">
        <v>1934</v>
      </c>
      <c r="J948">
        <v>6700</v>
      </c>
      <c r="K948">
        <v>6701</v>
      </c>
      <c r="L948" t="s">
        <v>1202</v>
      </c>
      <c r="M948">
        <v>0</v>
      </c>
      <c r="N948" t="s">
        <v>167</v>
      </c>
      <c r="O948" t="s">
        <v>167</v>
      </c>
      <c r="P948" t="s">
        <v>420</v>
      </c>
      <c r="Q948" t="s">
        <v>408</v>
      </c>
      <c r="R948" t="s">
        <v>1932</v>
      </c>
      <c r="S948">
        <v>2022</v>
      </c>
      <c r="T948">
        <v>0</v>
      </c>
      <c r="U948" t="s">
        <v>408</v>
      </c>
      <c r="V948" t="s">
        <v>408</v>
      </c>
      <c r="W948">
        <v>0</v>
      </c>
      <c r="X948">
        <v>0</v>
      </c>
      <c r="Y948" t="s">
        <v>408</v>
      </c>
      <c r="Z948">
        <v>2022</v>
      </c>
      <c r="AA948">
        <v>2022</v>
      </c>
      <c r="AB948">
        <v>1.1311123402700001</v>
      </c>
      <c r="AC948">
        <v>2.2622246805400001</v>
      </c>
      <c r="AD948" t="s">
        <v>400</v>
      </c>
      <c r="AE948" t="s">
        <v>400</v>
      </c>
      <c r="AF948" t="s">
        <v>400</v>
      </c>
      <c r="AG948" t="s">
        <v>400</v>
      </c>
      <c r="AH948" t="s">
        <v>400</v>
      </c>
      <c r="AI948" t="s">
        <v>400</v>
      </c>
      <c r="AJ948" t="s">
        <v>400</v>
      </c>
      <c r="AK948" t="s">
        <v>400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>
        <v>0</v>
      </c>
      <c r="AU948" t="s">
        <v>1933</v>
      </c>
      <c r="AV948" t="s">
        <v>410</v>
      </c>
      <c r="AW948" t="s">
        <v>400</v>
      </c>
      <c r="AX948">
        <v>0</v>
      </c>
      <c r="AY948" t="s">
        <v>1931</v>
      </c>
      <c r="AZ948">
        <v>30</v>
      </c>
    </row>
    <row r="949" spans="1:52" x14ac:dyDescent="0.3">
      <c r="A949">
        <v>938</v>
      </c>
      <c r="B949" s="62" t="s">
        <v>1935</v>
      </c>
      <c r="C949" t="s">
        <v>155</v>
      </c>
      <c r="D949" t="s">
        <v>1936</v>
      </c>
      <c r="E949" t="s">
        <v>460</v>
      </c>
      <c r="F949" t="s">
        <v>400</v>
      </c>
      <c r="G949">
        <v>8300</v>
      </c>
      <c r="H949">
        <v>8301</v>
      </c>
      <c r="I949" t="s">
        <v>1023</v>
      </c>
      <c r="J949">
        <v>7900</v>
      </c>
      <c r="K949">
        <v>7901</v>
      </c>
      <c r="L949" t="s">
        <v>551</v>
      </c>
      <c r="M949">
        <v>0</v>
      </c>
      <c r="N949" t="s">
        <v>167</v>
      </c>
      <c r="O949" t="s">
        <v>167</v>
      </c>
      <c r="P949" t="s">
        <v>420</v>
      </c>
      <c r="Q949" t="s">
        <v>408</v>
      </c>
      <c r="R949" t="s">
        <v>1937</v>
      </c>
      <c r="S949">
        <v>2022</v>
      </c>
      <c r="T949">
        <v>0</v>
      </c>
      <c r="U949" t="s">
        <v>408</v>
      </c>
      <c r="V949" t="s">
        <v>408</v>
      </c>
      <c r="W949">
        <v>0</v>
      </c>
      <c r="X949">
        <v>0</v>
      </c>
      <c r="Y949" t="s">
        <v>408</v>
      </c>
      <c r="Z949">
        <v>2022</v>
      </c>
      <c r="AA949">
        <v>2022</v>
      </c>
      <c r="AB949">
        <v>0.50181509992499995</v>
      </c>
      <c r="AC949">
        <v>1.0036301998499999</v>
      </c>
      <c r="AD949" t="s">
        <v>400</v>
      </c>
      <c r="AE949" t="s">
        <v>400</v>
      </c>
      <c r="AF949" t="s">
        <v>400</v>
      </c>
      <c r="AG949" t="s">
        <v>400</v>
      </c>
      <c r="AH949" t="s">
        <v>400</v>
      </c>
      <c r="AI949" t="s">
        <v>400</v>
      </c>
      <c r="AJ949" t="s">
        <v>400</v>
      </c>
      <c r="AK949" t="s">
        <v>400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U949" t="s">
        <v>1933</v>
      </c>
      <c r="AV949" t="s">
        <v>410</v>
      </c>
      <c r="AW949" t="s">
        <v>400</v>
      </c>
      <c r="AX949">
        <v>0</v>
      </c>
      <c r="AY949" t="s">
        <v>1931</v>
      </c>
      <c r="AZ949">
        <v>30</v>
      </c>
    </row>
    <row r="950" spans="1:52" x14ac:dyDescent="0.3">
      <c r="A950">
        <v>939</v>
      </c>
      <c r="B950" s="62" t="s">
        <v>720</v>
      </c>
      <c r="C950" t="s">
        <v>152</v>
      </c>
      <c r="D950" t="s">
        <v>721</v>
      </c>
      <c r="E950" t="s">
        <v>460</v>
      </c>
      <c r="F950" t="s">
        <v>400</v>
      </c>
      <c r="G950">
        <v>2600</v>
      </c>
      <c r="H950">
        <v>2601</v>
      </c>
      <c r="I950" t="s">
        <v>474</v>
      </c>
      <c r="J950">
        <v>2800</v>
      </c>
      <c r="K950">
        <v>2801</v>
      </c>
      <c r="L950" t="s">
        <v>891</v>
      </c>
      <c r="M950">
        <v>2</v>
      </c>
      <c r="N950" t="s">
        <v>165</v>
      </c>
      <c r="O950" t="s">
        <v>165</v>
      </c>
      <c r="P950" t="s">
        <v>403</v>
      </c>
      <c r="Q950" t="s">
        <v>408</v>
      </c>
      <c r="R950" t="s">
        <v>526</v>
      </c>
      <c r="S950">
        <v>2014</v>
      </c>
      <c r="T950">
        <v>9</v>
      </c>
      <c r="U950" t="s">
        <v>408</v>
      </c>
      <c r="V950" t="s">
        <v>778</v>
      </c>
      <c r="W950">
        <v>2017</v>
      </c>
      <c r="X950">
        <v>7</v>
      </c>
      <c r="Y950" t="s">
        <v>370</v>
      </c>
      <c r="Z950">
        <v>2017</v>
      </c>
      <c r="AA950">
        <v>2017</v>
      </c>
      <c r="AB950">
        <v>0.20621753556899999</v>
      </c>
      <c r="AC950">
        <v>0.41243600000000002</v>
      </c>
      <c r="AD950" t="s">
        <v>400</v>
      </c>
      <c r="AE950" t="s">
        <v>152</v>
      </c>
      <c r="AF950" t="s">
        <v>400</v>
      </c>
      <c r="AG950" t="s">
        <v>400</v>
      </c>
      <c r="AH950" t="s">
        <v>400</v>
      </c>
      <c r="AI950" t="s">
        <v>400</v>
      </c>
      <c r="AJ950" t="s">
        <v>400</v>
      </c>
      <c r="AK950" t="s">
        <v>400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U950" t="s">
        <v>439</v>
      </c>
      <c r="AV950" t="s">
        <v>410</v>
      </c>
      <c r="AW950" t="s">
        <v>152</v>
      </c>
      <c r="AX950">
        <v>2</v>
      </c>
      <c r="AY950" t="s">
        <v>412</v>
      </c>
      <c r="AZ950">
        <v>30</v>
      </c>
    </row>
    <row r="951" spans="1:52" x14ac:dyDescent="0.3">
      <c r="A951">
        <v>940</v>
      </c>
      <c r="B951" s="62" t="s">
        <v>1938</v>
      </c>
      <c r="C951" t="s">
        <v>155</v>
      </c>
      <c r="D951" t="s">
        <v>1939</v>
      </c>
      <c r="E951" t="s">
        <v>460</v>
      </c>
      <c r="F951" t="s">
        <v>400</v>
      </c>
      <c r="G951">
        <v>2200</v>
      </c>
      <c r="H951">
        <v>2201</v>
      </c>
      <c r="I951" t="s">
        <v>492</v>
      </c>
      <c r="J951">
        <v>1850</v>
      </c>
      <c r="K951">
        <v>1850</v>
      </c>
      <c r="L951" t="s">
        <v>583</v>
      </c>
      <c r="M951">
        <v>0</v>
      </c>
      <c r="N951" t="s">
        <v>170</v>
      </c>
      <c r="O951" t="s">
        <v>170</v>
      </c>
      <c r="P951" t="s">
        <v>420</v>
      </c>
      <c r="Q951" t="s">
        <v>1940</v>
      </c>
      <c r="R951" t="s">
        <v>408</v>
      </c>
      <c r="S951">
        <v>2022</v>
      </c>
      <c r="T951">
        <v>11</v>
      </c>
      <c r="U951" t="s">
        <v>408</v>
      </c>
      <c r="V951" t="s">
        <v>408</v>
      </c>
      <c r="W951">
        <v>2022</v>
      </c>
      <c r="X951">
        <v>11</v>
      </c>
      <c r="Y951" t="s">
        <v>408</v>
      </c>
      <c r="Z951">
        <v>2022</v>
      </c>
      <c r="AA951">
        <v>0</v>
      </c>
      <c r="AB951">
        <v>0.32177794605499999</v>
      </c>
      <c r="AC951">
        <v>0.64355600000000002</v>
      </c>
      <c r="AD951" t="s">
        <v>400</v>
      </c>
      <c r="AE951" t="s">
        <v>400</v>
      </c>
      <c r="AF951" t="s">
        <v>400</v>
      </c>
      <c r="AG951" t="s">
        <v>400</v>
      </c>
      <c r="AH951" t="s">
        <v>400</v>
      </c>
      <c r="AI951" t="s">
        <v>400</v>
      </c>
      <c r="AJ951" t="s">
        <v>400</v>
      </c>
      <c r="AK951" t="s">
        <v>400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U951" t="s">
        <v>439</v>
      </c>
      <c r="AV951" t="s">
        <v>410</v>
      </c>
      <c r="AW951" t="s">
        <v>400</v>
      </c>
      <c r="AX951">
        <v>0</v>
      </c>
      <c r="AY951" t="s">
        <v>17</v>
      </c>
      <c r="AZ951">
        <v>30</v>
      </c>
    </row>
    <row r="952" spans="1:52" x14ac:dyDescent="0.3">
      <c r="A952">
        <v>941</v>
      </c>
      <c r="B952" s="62" t="s">
        <v>1938</v>
      </c>
      <c r="C952" t="s">
        <v>155</v>
      </c>
      <c r="D952" t="s">
        <v>1939</v>
      </c>
      <c r="E952" t="s">
        <v>460</v>
      </c>
      <c r="F952" t="s">
        <v>400</v>
      </c>
      <c r="G952">
        <v>1850</v>
      </c>
      <c r="H952">
        <v>1851</v>
      </c>
      <c r="I952" t="s">
        <v>1941</v>
      </c>
      <c r="J952">
        <v>0</v>
      </c>
      <c r="K952">
        <v>0</v>
      </c>
      <c r="L952" t="s">
        <v>408</v>
      </c>
      <c r="M952">
        <v>0</v>
      </c>
      <c r="N952" t="s">
        <v>167</v>
      </c>
      <c r="O952" t="s">
        <v>167</v>
      </c>
      <c r="P952" t="s">
        <v>420</v>
      </c>
      <c r="Q952" t="s">
        <v>1940</v>
      </c>
      <c r="R952" t="s">
        <v>408</v>
      </c>
      <c r="S952">
        <v>2022</v>
      </c>
      <c r="T952">
        <v>11</v>
      </c>
      <c r="U952" t="s">
        <v>408</v>
      </c>
      <c r="V952" t="s">
        <v>408</v>
      </c>
      <c r="W952">
        <v>2022</v>
      </c>
      <c r="X952">
        <v>11</v>
      </c>
      <c r="Y952" t="s">
        <v>408</v>
      </c>
      <c r="Z952">
        <v>2022</v>
      </c>
      <c r="AA952">
        <v>0</v>
      </c>
      <c r="AB952">
        <v>0.71198871012700005</v>
      </c>
      <c r="AC952">
        <v>1.423978</v>
      </c>
      <c r="AD952" t="s">
        <v>400</v>
      </c>
      <c r="AE952" t="s">
        <v>400</v>
      </c>
      <c r="AF952" t="s">
        <v>400</v>
      </c>
      <c r="AG952" t="s">
        <v>400</v>
      </c>
      <c r="AH952" t="s">
        <v>400</v>
      </c>
      <c r="AI952" t="s">
        <v>400</v>
      </c>
      <c r="AJ952" t="s">
        <v>400</v>
      </c>
      <c r="AK952" t="s">
        <v>400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U952" t="s">
        <v>439</v>
      </c>
      <c r="AV952" t="s">
        <v>410</v>
      </c>
      <c r="AW952" t="s">
        <v>400</v>
      </c>
      <c r="AX952">
        <v>0</v>
      </c>
      <c r="AY952" t="s">
        <v>17</v>
      </c>
      <c r="AZ952">
        <v>30</v>
      </c>
    </row>
    <row r="953" spans="1:52" x14ac:dyDescent="0.3">
      <c r="A953">
        <v>942</v>
      </c>
      <c r="B953" s="62" t="s">
        <v>1609</v>
      </c>
      <c r="C953" t="s">
        <v>155</v>
      </c>
      <c r="D953" t="s">
        <v>1610</v>
      </c>
      <c r="E953" t="s">
        <v>460</v>
      </c>
      <c r="F953" t="s">
        <v>408</v>
      </c>
      <c r="G953">
        <v>1901</v>
      </c>
      <c r="H953">
        <v>1900</v>
      </c>
      <c r="I953" t="s">
        <v>651</v>
      </c>
      <c r="J953">
        <v>1701</v>
      </c>
      <c r="K953">
        <v>1700</v>
      </c>
      <c r="L953" t="s">
        <v>1277</v>
      </c>
      <c r="M953">
        <v>4</v>
      </c>
      <c r="N953" t="s">
        <v>165</v>
      </c>
      <c r="O953" t="s">
        <v>165</v>
      </c>
      <c r="P953" t="s">
        <v>420</v>
      </c>
      <c r="Q953" t="s">
        <v>408</v>
      </c>
      <c r="R953" t="s">
        <v>1612</v>
      </c>
      <c r="S953">
        <v>2017</v>
      </c>
      <c r="T953">
        <v>8</v>
      </c>
      <c r="U953" t="s">
        <v>408</v>
      </c>
      <c r="V953" t="s">
        <v>408</v>
      </c>
      <c r="W953">
        <v>0</v>
      </c>
      <c r="X953">
        <v>0</v>
      </c>
      <c r="Y953" t="s">
        <v>408</v>
      </c>
      <c r="Z953">
        <v>2017</v>
      </c>
      <c r="AA953">
        <v>2017</v>
      </c>
      <c r="AB953">
        <v>7.7667966608199995E-2</v>
      </c>
      <c r="AC953">
        <v>0.155336</v>
      </c>
      <c r="AD953" t="s">
        <v>408</v>
      </c>
      <c r="AE953" t="s">
        <v>400</v>
      </c>
      <c r="AF953" t="s">
        <v>400</v>
      </c>
      <c r="AG953" t="s">
        <v>400</v>
      </c>
      <c r="AH953" t="s">
        <v>408</v>
      </c>
      <c r="AI953" t="s">
        <v>408</v>
      </c>
      <c r="AJ953" t="s">
        <v>408</v>
      </c>
      <c r="AK953" t="s">
        <v>408</v>
      </c>
      <c r="AL953">
        <v>0</v>
      </c>
      <c r="AM953">
        <v>0</v>
      </c>
      <c r="AN953">
        <v>0</v>
      </c>
      <c r="AO953">
        <v>0</v>
      </c>
      <c r="AP953">
        <v>0.5</v>
      </c>
      <c r="AQ953">
        <v>0</v>
      </c>
      <c r="AR953">
        <v>0</v>
      </c>
      <c r="AS953">
        <v>0.5</v>
      </c>
      <c r="AU953" t="s">
        <v>439</v>
      </c>
      <c r="AV953" t="s">
        <v>410</v>
      </c>
      <c r="AW953" t="s">
        <v>152</v>
      </c>
      <c r="AX953">
        <v>2</v>
      </c>
      <c r="AY953" t="s">
        <v>412</v>
      </c>
      <c r="AZ953" t="s">
        <v>408</v>
      </c>
    </row>
    <row r="954" spans="1:52" x14ac:dyDescent="0.3">
      <c r="A954">
        <v>943</v>
      </c>
      <c r="B954" s="62" t="s">
        <v>440</v>
      </c>
      <c r="C954" t="s">
        <v>155</v>
      </c>
      <c r="D954" t="s">
        <v>441</v>
      </c>
      <c r="E954" t="s">
        <v>417</v>
      </c>
      <c r="F954" t="s">
        <v>400</v>
      </c>
      <c r="G954">
        <v>1600</v>
      </c>
      <c r="H954">
        <v>1601</v>
      </c>
      <c r="I954" t="s">
        <v>1611</v>
      </c>
      <c r="J954">
        <v>900</v>
      </c>
      <c r="K954">
        <v>901</v>
      </c>
      <c r="L954" t="s">
        <v>1679</v>
      </c>
      <c r="M954">
        <v>0</v>
      </c>
      <c r="N954" t="s">
        <v>163</v>
      </c>
      <c r="O954" t="s">
        <v>163</v>
      </c>
      <c r="P954" t="s">
        <v>420</v>
      </c>
      <c r="Q954" t="s">
        <v>400</v>
      </c>
      <c r="R954" t="s">
        <v>1612</v>
      </c>
      <c r="S954">
        <v>2022</v>
      </c>
      <c r="T954">
        <v>11</v>
      </c>
      <c r="U954" t="s">
        <v>408</v>
      </c>
      <c r="V954" t="s">
        <v>408</v>
      </c>
      <c r="W954">
        <v>0</v>
      </c>
      <c r="X954">
        <v>0</v>
      </c>
      <c r="Y954" t="s">
        <v>408</v>
      </c>
      <c r="Z954">
        <v>2022</v>
      </c>
      <c r="AA954">
        <v>2022</v>
      </c>
      <c r="AB954">
        <v>0.78171805733999999</v>
      </c>
      <c r="AC954">
        <v>1.563436</v>
      </c>
      <c r="AD954" t="s">
        <v>400</v>
      </c>
      <c r="AE954" t="s">
        <v>400</v>
      </c>
      <c r="AF954" t="s">
        <v>400</v>
      </c>
      <c r="AG954" t="s">
        <v>400</v>
      </c>
      <c r="AH954" t="s">
        <v>400</v>
      </c>
      <c r="AI954" t="s">
        <v>1364</v>
      </c>
      <c r="AJ954" t="s">
        <v>400</v>
      </c>
      <c r="AK954" t="s">
        <v>408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U954" t="s">
        <v>439</v>
      </c>
      <c r="AV954" t="s">
        <v>410</v>
      </c>
      <c r="AW954" t="s">
        <v>400</v>
      </c>
      <c r="AX954">
        <v>0</v>
      </c>
      <c r="AY954" t="s">
        <v>412</v>
      </c>
      <c r="AZ954" t="s">
        <v>408</v>
      </c>
    </row>
    <row r="955" spans="1:52" x14ac:dyDescent="0.3">
      <c r="A955">
        <v>944</v>
      </c>
      <c r="B955" s="62" t="s">
        <v>440</v>
      </c>
      <c r="C955" t="s">
        <v>155</v>
      </c>
      <c r="D955" t="s">
        <v>441</v>
      </c>
      <c r="E955" t="s">
        <v>417</v>
      </c>
      <c r="F955" t="s">
        <v>400</v>
      </c>
      <c r="G955">
        <v>900</v>
      </c>
      <c r="H955">
        <v>901</v>
      </c>
      <c r="I955" t="s">
        <v>1679</v>
      </c>
      <c r="J955">
        <v>550</v>
      </c>
      <c r="K955">
        <v>551</v>
      </c>
      <c r="L955" t="s">
        <v>535</v>
      </c>
      <c r="M955">
        <v>0</v>
      </c>
      <c r="N955" t="s">
        <v>170</v>
      </c>
      <c r="O955" t="s">
        <v>170</v>
      </c>
      <c r="P955" t="s">
        <v>420</v>
      </c>
      <c r="Q955" t="s">
        <v>408</v>
      </c>
      <c r="R955" t="s">
        <v>1612</v>
      </c>
      <c r="S955">
        <v>2022</v>
      </c>
      <c r="T955">
        <v>11</v>
      </c>
      <c r="U955" t="s">
        <v>408</v>
      </c>
      <c r="V955" t="s">
        <v>408</v>
      </c>
      <c r="W955">
        <v>0</v>
      </c>
      <c r="X955">
        <v>0</v>
      </c>
      <c r="Y955" t="s">
        <v>408</v>
      </c>
      <c r="Z955">
        <v>2022</v>
      </c>
      <c r="AA955">
        <v>2022</v>
      </c>
      <c r="AB955">
        <v>0.24696691008999999</v>
      </c>
      <c r="AC955">
        <v>0.49393399999999998</v>
      </c>
      <c r="AD955" t="s">
        <v>400</v>
      </c>
      <c r="AE955" t="s">
        <v>400</v>
      </c>
      <c r="AF955" t="s">
        <v>400</v>
      </c>
      <c r="AG955" t="s">
        <v>400</v>
      </c>
      <c r="AH955" t="s">
        <v>400</v>
      </c>
      <c r="AI955" t="s">
        <v>400</v>
      </c>
      <c r="AJ955" t="s">
        <v>400</v>
      </c>
      <c r="AK955" t="s">
        <v>400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U955" t="s">
        <v>439</v>
      </c>
      <c r="AV955" t="s">
        <v>410</v>
      </c>
      <c r="AW955" t="s">
        <v>400</v>
      </c>
      <c r="AX955">
        <v>0</v>
      </c>
      <c r="AY955" t="s">
        <v>412</v>
      </c>
      <c r="AZ955" t="s">
        <v>408</v>
      </c>
    </row>
    <row r="956" spans="1:52" x14ac:dyDescent="0.3">
      <c r="A956">
        <v>945</v>
      </c>
      <c r="B956" s="62" t="s">
        <v>720</v>
      </c>
      <c r="C956" t="s">
        <v>152</v>
      </c>
      <c r="D956" t="s">
        <v>721</v>
      </c>
      <c r="E956" t="s">
        <v>460</v>
      </c>
      <c r="F956" t="s">
        <v>400</v>
      </c>
      <c r="G956">
        <v>4800</v>
      </c>
      <c r="H956">
        <v>4801</v>
      </c>
      <c r="I956" t="s">
        <v>826</v>
      </c>
      <c r="J956">
        <v>5200</v>
      </c>
      <c r="K956">
        <v>5201</v>
      </c>
      <c r="L956" t="s">
        <v>1019</v>
      </c>
      <c r="M956">
        <v>0</v>
      </c>
      <c r="N956" t="s">
        <v>167</v>
      </c>
      <c r="O956" t="s">
        <v>569</v>
      </c>
      <c r="P956" t="s">
        <v>420</v>
      </c>
      <c r="Q956" t="s">
        <v>906</v>
      </c>
      <c r="R956" t="s">
        <v>53</v>
      </c>
      <c r="S956">
        <v>2022</v>
      </c>
      <c r="T956">
        <v>11</v>
      </c>
      <c r="U956" t="s">
        <v>408</v>
      </c>
      <c r="V956" t="s">
        <v>408</v>
      </c>
      <c r="W956">
        <v>0</v>
      </c>
      <c r="X956">
        <v>0</v>
      </c>
      <c r="Y956" t="s">
        <v>408</v>
      </c>
      <c r="Z956">
        <v>2022</v>
      </c>
      <c r="AA956">
        <v>0</v>
      </c>
      <c r="AB956">
        <v>0.503653346487</v>
      </c>
      <c r="AC956">
        <v>1.007306</v>
      </c>
      <c r="AD956" t="s">
        <v>400</v>
      </c>
      <c r="AE956" t="s">
        <v>400</v>
      </c>
      <c r="AF956" t="s">
        <v>400</v>
      </c>
      <c r="AG956" t="s">
        <v>400</v>
      </c>
      <c r="AH956" t="s">
        <v>400</v>
      </c>
      <c r="AI956" t="s">
        <v>400</v>
      </c>
      <c r="AJ956" t="s">
        <v>400</v>
      </c>
      <c r="AK956" t="s">
        <v>400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U956" t="s">
        <v>666</v>
      </c>
      <c r="AV956" t="s">
        <v>410</v>
      </c>
      <c r="AW956" t="s">
        <v>400</v>
      </c>
      <c r="AX956">
        <v>2</v>
      </c>
      <c r="AY956" t="s">
        <v>412</v>
      </c>
      <c r="AZ956">
        <v>30</v>
      </c>
    </row>
    <row r="957" spans="1:52" x14ac:dyDescent="0.3">
      <c r="A957">
        <v>946</v>
      </c>
      <c r="B957" s="62" t="s">
        <v>1538</v>
      </c>
      <c r="C957" t="s">
        <v>155</v>
      </c>
      <c r="D957" t="s">
        <v>1539</v>
      </c>
      <c r="E957" t="s">
        <v>466</v>
      </c>
      <c r="F957" t="s">
        <v>400</v>
      </c>
      <c r="G957">
        <v>2</v>
      </c>
      <c r="H957">
        <v>1</v>
      </c>
      <c r="I957" t="s">
        <v>536</v>
      </c>
      <c r="J957">
        <v>33</v>
      </c>
      <c r="K957">
        <v>34</v>
      </c>
      <c r="L957" t="s">
        <v>893</v>
      </c>
      <c r="M957">
        <v>3</v>
      </c>
      <c r="N957" t="s">
        <v>167</v>
      </c>
      <c r="O957" t="s">
        <v>170</v>
      </c>
      <c r="P957" t="s">
        <v>403</v>
      </c>
      <c r="Q957" t="s">
        <v>400</v>
      </c>
      <c r="R957" t="s">
        <v>1588</v>
      </c>
      <c r="S957">
        <v>2022</v>
      </c>
      <c r="T957">
        <v>11</v>
      </c>
      <c r="U957" t="s">
        <v>408</v>
      </c>
      <c r="V957" t="s">
        <v>408</v>
      </c>
      <c r="W957">
        <v>0</v>
      </c>
      <c r="X957">
        <v>0</v>
      </c>
      <c r="Y957" t="s">
        <v>408</v>
      </c>
      <c r="Z957">
        <v>2022</v>
      </c>
      <c r="AA957">
        <v>2022</v>
      </c>
      <c r="AB957">
        <v>7.6519376152600002E-2</v>
      </c>
      <c r="AC957">
        <v>0.15303800000000001</v>
      </c>
      <c r="AD957" t="s">
        <v>400</v>
      </c>
      <c r="AE957" t="s">
        <v>400</v>
      </c>
      <c r="AF957" t="s">
        <v>400</v>
      </c>
      <c r="AG957" t="s">
        <v>400</v>
      </c>
      <c r="AH957" t="s">
        <v>400</v>
      </c>
      <c r="AI957" t="s">
        <v>400</v>
      </c>
      <c r="AJ957" t="s">
        <v>400</v>
      </c>
      <c r="AK957" t="s">
        <v>400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U957" t="s">
        <v>666</v>
      </c>
      <c r="AV957" t="s">
        <v>410</v>
      </c>
      <c r="AW957" t="s">
        <v>152</v>
      </c>
      <c r="AX957">
        <v>2</v>
      </c>
      <c r="AY957" t="s">
        <v>412</v>
      </c>
      <c r="AZ957">
        <v>30</v>
      </c>
    </row>
    <row r="958" spans="1:52" x14ac:dyDescent="0.3">
      <c r="A958">
        <v>947</v>
      </c>
      <c r="B958" s="62" t="s">
        <v>1942</v>
      </c>
      <c r="C958" t="s">
        <v>155</v>
      </c>
      <c r="D958" t="s">
        <v>1943</v>
      </c>
      <c r="E958" t="s">
        <v>460</v>
      </c>
      <c r="F958" t="s">
        <v>400</v>
      </c>
      <c r="G958">
        <v>10000</v>
      </c>
      <c r="H958">
        <v>10001</v>
      </c>
      <c r="I958" t="s">
        <v>1944</v>
      </c>
      <c r="J958">
        <v>9400</v>
      </c>
      <c r="K958">
        <v>9401</v>
      </c>
      <c r="L958" t="s">
        <v>1718</v>
      </c>
      <c r="M958">
        <v>0</v>
      </c>
      <c r="N958" t="s">
        <v>165</v>
      </c>
      <c r="O958" t="s">
        <v>165</v>
      </c>
      <c r="P958" t="s">
        <v>420</v>
      </c>
      <c r="Q958" t="s">
        <v>400</v>
      </c>
      <c r="R958" t="s">
        <v>1588</v>
      </c>
      <c r="S958">
        <v>2022</v>
      </c>
      <c r="T958">
        <v>11</v>
      </c>
      <c r="U958" t="s">
        <v>408</v>
      </c>
      <c r="V958" t="s">
        <v>408</v>
      </c>
      <c r="W958">
        <v>0</v>
      </c>
      <c r="X958">
        <v>0</v>
      </c>
      <c r="Y958" t="s">
        <v>408</v>
      </c>
      <c r="Z958">
        <v>2022</v>
      </c>
      <c r="AA958">
        <v>2022</v>
      </c>
      <c r="AB958">
        <v>0.76318341778800003</v>
      </c>
      <c r="AC958">
        <v>1.5263659999999999</v>
      </c>
      <c r="AD958" t="s">
        <v>400</v>
      </c>
      <c r="AE958" t="s">
        <v>400</v>
      </c>
      <c r="AF958" t="s">
        <v>400</v>
      </c>
      <c r="AG958" t="s">
        <v>400</v>
      </c>
      <c r="AH958" t="s">
        <v>400</v>
      </c>
      <c r="AI958" t="s">
        <v>400</v>
      </c>
      <c r="AJ958" t="s">
        <v>400</v>
      </c>
      <c r="AK958" t="s">
        <v>400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U958" t="s">
        <v>666</v>
      </c>
      <c r="AV958" t="s">
        <v>410</v>
      </c>
      <c r="AW958" t="s">
        <v>400</v>
      </c>
      <c r="AX958">
        <v>0</v>
      </c>
      <c r="AY958" t="s">
        <v>412</v>
      </c>
      <c r="AZ958">
        <v>30</v>
      </c>
    </row>
    <row r="959" spans="1:52" x14ac:dyDescent="0.3">
      <c r="A959">
        <v>948</v>
      </c>
      <c r="B959" s="62" t="s">
        <v>1849</v>
      </c>
      <c r="C959" t="s">
        <v>154</v>
      </c>
      <c r="D959" t="s">
        <v>1850</v>
      </c>
      <c r="E959" t="s">
        <v>460</v>
      </c>
      <c r="F959" t="s">
        <v>400</v>
      </c>
      <c r="G959">
        <v>0</v>
      </c>
      <c r="H959">
        <v>0</v>
      </c>
      <c r="I959" t="s">
        <v>1083</v>
      </c>
      <c r="J959">
        <v>2400</v>
      </c>
      <c r="K959">
        <v>2401</v>
      </c>
      <c r="L959" t="s">
        <v>619</v>
      </c>
      <c r="M959">
        <v>0</v>
      </c>
      <c r="N959" t="s">
        <v>167</v>
      </c>
      <c r="O959" t="s">
        <v>1945</v>
      </c>
      <c r="P959" t="s">
        <v>420</v>
      </c>
      <c r="Q959" t="s">
        <v>1946</v>
      </c>
      <c r="R959" t="s">
        <v>408</v>
      </c>
      <c r="S959">
        <v>2022</v>
      </c>
      <c r="T959">
        <v>11</v>
      </c>
      <c r="U959" t="s">
        <v>408</v>
      </c>
      <c r="V959" t="s">
        <v>408</v>
      </c>
      <c r="W959">
        <v>0</v>
      </c>
      <c r="X959">
        <v>0</v>
      </c>
      <c r="Y959" t="s">
        <v>408</v>
      </c>
      <c r="Z959">
        <v>2022</v>
      </c>
      <c r="AA959">
        <v>0</v>
      </c>
      <c r="AB959">
        <v>0.29800734825699998</v>
      </c>
      <c r="AC959">
        <v>0.59601400000000004</v>
      </c>
      <c r="AD959" t="s">
        <v>400</v>
      </c>
      <c r="AE959" t="s">
        <v>400</v>
      </c>
      <c r="AF959" t="s">
        <v>400</v>
      </c>
      <c r="AG959" t="s">
        <v>400</v>
      </c>
      <c r="AH959" t="s">
        <v>400</v>
      </c>
      <c r="AI959" t="s">
        <v>400</v>
      </c>
      <c r="AJ959" t="s">
        <v>400</v>
      </c>
      <c r="AK959" t="s">
        <v>400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U959" t="s">
        <v>666</v>
      </c>
      <c r="AV959" t="s">
        <v>410</v>
      </c>
      <c r="AW959" t="s">
        <v>400</v>
      </c>
      <c r="AX959">
        <v>0</v>
      </c>
      <c r="AY959" t="s">
        <v>412</v>
      </c>
      <c r="AZ959" t="s">
        <v>408</v>
      </c>
    </row>
    <row r="960" spans="1:52" x14ac:dyDescent="0.3">
      <c r="A960">
        <v>949</v>
      </c>
      <c r="B960" s="62" t="s">
        <v>1849</v>
      </c>
      <c r="C960" t="s">
        <v>154</v>
      </c>
      <c r="D960" t="s">
        <v>1850</v>
      </c>
      <c r="E960" t="s">
        <v>460</v>
      </c>
      <c r="F960" t="s">
        <v>400</v>
      </c>
      <c r="G960">
        <v>2800</v>
      </c>
      <c r="H960">
        <v>2801</v>
      </c>
      <c r="I960" t="s">
        <v>683</v>
      </c>
      <c r="J960">
        <v>0</v>
      </c>
      <c r="K960">
        <v>0</v>
      </c>
      <c r="L960" t="s">
        <v>1083</v>
      </c>
      <c r="M960">
        <v>0</v>
      </c>
      <c r="N960" t="s">
        <v>167</v>
      </c>
      <c r="O960" t="s">
        <v>1945</v>
      </c>
      <c r="P960" t="s">
        <v>420</v>
      </c>
      <c r="Q960" t="s">
        <v>1946</v>
      </c>
      <c r="R960" t="s">
        <v>408</v>
      </c>
      <c r="S960">
        <v>2022</v>
      </c>
      <c r="T960">
        <v>11</v>
      </c>
      <c r="U960" t="s">
        <v>408</v>
      </c>
      <c r="V960" t="s">
        <v>408</v>
      </c>
      <c r="W960">
        <v>0</v>
      </c>
      <c r="X960">
        <v>0</v>
      </c>
      <c r="Y960" t="s">
        <v>408</v>
      </c>
      <c r="Z960">
        <v>2022</v>
      </c>
      <c r="AA960">
        <v>0</v>
      </c>
      <c r="AB960">
        <v>0.17715304678499999</v>
      </c>
      <c r="AC960">
        <v>0.35430600000000001</v>
      </c>
      <c r="AD960" t="s">
        <v>400</v>
      </c>
      <c r="AE960" t="s">
        <v>400</v>
      </c>
      <c r="AF960" t="s">
        <v>400</v>
      </c>
      <c r="AG960" t="s">
        <v>400</v>
      </c>
      <c r="AH960" t="s">
        <v>400</v>
      </c>
      <c r="AI960" t="s">
        <v>400</v>
      </c>
      <c r="AJ960" t="s">
        <v>400</v>
      </c>
      <c r="AK960" t="s">
        <v>400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U960" t="s">
        <v>666</v>
      </c>
      <c r="AV960" t="s">
        <v>410</v>
      </c>
      <c r="AW960" t="s">
        <v>400</v>
      </c>
      <c r="AX960">
        <v>0</v>
      </c>
      <c r="AY960" t="s">
        <v>412</v>
      </c>
      <c r="AZ960" t="s">
        <v>408</v>
      </c>
    </row>
    <row r="961" spans="1:52" x14ac:dyDescent="0.3">
      <c r="A961">
        <v>950</v>
      </c>
      <c r="B961" s="62" t="s">
        <v>1849</v>
      </c>
      <c r="C961" t="s">
        <v>154</v>
      </c>
      <c r="D961" t="s">
        <v>1850</v>
      </c>
      <c r="E961" t="s">
        <v>460</v>
      </c>
      <c r="F961" t="s">
        <v>400</v>
      </c>
      <c r="G961">
        <v>0</v>
      </c>
      <c r="H961">
        <v>0</v>
      </c>
      <c r="I961" t="s">
        <v>1083</v>
      </c>
      <c r="J961">
        <v>0</v>
      </c>
      <c r="K961">
        <v>0</v>
      </c>
      <c r="L961" t="s">
        <v>1083</v>
      </c>
      <c r="M961">
        <v>0</v>
      </c>
      <c r="N961" t="s">
        <v>163</v>
      </c>
      <c r="O961" t="s">
        <v>163</v>
      </c>
      <c r="P961" t="s">
        <v>420</v>
      </c>
      <c r="Q961" t="s">
        <v>1946</v>
      </c>
      <c r="R961" t="s">
        <v>408</v>
      </c>
      <c r="S961">
        <v>2022</v>
      </c>
      <c r="T961">
        <v>11</v>
      </c>
      <c r="U961" t="s">
        <v>408</v>
      </c>
      <c r="V961" t="s">
        <v>408</v>
      </c>
      <c r="W961">
        <v>0</v>
      </c>
      <c r="X961">
        <v>0</v>
      </c>
      <c r="Y961" t="s">
        <v>408</v>
      </c>
      <c r="Z961">
        <v>2022</v>
      </c>
      <c r="AA961">
        <v>0</v>
      </c>
      <c r="AB961">
        <v>2.96865341523E-2</v>
      </c>
      <c r="AC961">
        <v>5.9374000000000003E-2</v>
      </c>
      <c r="AD961" t="s">
        <v>400</v>
      </c>
      <c r="AE961" t="s">
        <v>400</v>
      </c>
      <c r="AF961" t="s">
        <v>400</v>
      </c>
      <c r="AG961" t="s">
        <v>400</v>
      </c>
      <c r="AH961" t="s">
        <v>400</v>
      </c>
      <c r="AI961" t="s">
        <v>470</v>
      </c>
      <c r="AJ961" t="s">
        <v>400</v>
      </c>
      <c r="AK961" t="s">
        <v>400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U961" t="s">
        <v>666</v>
      </c>
      <c r="AV961" t="s">
        <v>410</v>
      </c>
      <c r="AW961" t="s">
        <v>411</v>
      </c>
      <c r="AX961">
        <v>0</v>
      </c>
      <c r="AY961" t="s">
        <v>412</v>
      </c>
      <c r="AZ961" t="s">
        <v>408</v>
      </c>
    </row>
    <row r="962" spans="1:52" x14ac:dyDescent="0.3">
      <c r="A962">
        <v>951</v>
      </c>
      <c r="B962" s="62" t="s">
        <v>1947</v>
      </c>
      <c r="C962" t="s">
        <v>154</v>
      </c>
      <c r="D962" t="s">
        <v>1948</v>
      </c>
      <c r="E962" t="s">
        <v>460</v>
      </c>
      <c r="F962" t="s">
        <v>400</v>
      </c>
      <c r="G962">
        <v>1600</v>
      </c>
      <c r="H962">
        <v>1601</v>
      </c>
      <c r="I962" t="s">
        <v>545</v>
      </c>
      <c r="J962">
        <v>800</v>
      </c>
      <c r="K962">
        <v>801</v>
      </c>
      <c r="L962" t="s">
        <v>502</v>
      </c>
      <c r="M962">
        <v>0</v>
      </c>
      <c r="N962" t="s">
        <v>167</v>
      </c>
      <c r="O962" t="s">
        <v>569</v>
      </c>
      <c r="P962" t="s">
        <v>420</v>
      </c>
      <c r="Q962" t="s">
        <v>408</v>
      </c>
      <c r="R962" t="s">
        <v>408</v>
      </c>
      <c r="S962">
        <v>2022</v>
      </c>
      <c r="T962">
        <v>12</v>
      </c>
      <c r="U962" t="s">
        <v>408</v>
      </c>
      <c r="V962" t="s">
        <v>408</v>
      </c>
      <c r="W962">
        <v>0</v>
      </c>
      <c r="X962">
        <v>0</v>
      </c>
      <c r="Y962" t="s">
        <v>408</v>
      </c>
      <c r="Z962">
        <v>2022</v>
      </c>
      <c r="AA962">
        <v>2022</v>
      </c>
      <c r="AB962">
        <v>0.99962707953800001</v>
      </c>
      <c r="AC962">
        <v>1.9992540000000001</v>
      </c>
      <c r="AD962" t="s">
        <v>400</v>
      </c>
      <c r="AE962" t="s">
        <v>400</v>
      </c>
      <c r="AF962" t="s">
        <v>400</v>
      </c>
      <c r="AG962" t="s">
        <v>400</v>
      </c>
      <c r="AH962" t="s">
        <v>400</v>
      </c>
      <c r="AI962" t="s">
        <v>400</v>
      </c>
      <c r="AJ962" t="s">
        <v>400</v>
      </c>
      <c r="AK962" t="s">
        <v>400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U962" t="s">
        <v>666</v>
      </c>
      <c r="AV962" t="s">
        <v>410</v>
      </c>
      <c r="AW962" t="s">
        <v>400</v>
      </c>
      <c r="AX962">
        <v>0</v>
      </c>
      <c r="AY962" t="s">
        <v>412</v>
      </c>
      <c r="AZ962">
        <v>30</v>
      </c>
    </row>
    <row r="1011" spans="1:50" x14ac:dyDescent="0.3">
      <c r="A1011" s="56" t="s">
        <v>4</v>
      </c>
      <c r="B1011" s="65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</row>
  </sheetData>
  <conditionalFormatting sqref="AT11:AT903">
    <cfRule type="expression" dxfId="0" priority="1">
      <formula>AT11&lt;&gt;1</formula>
    </cfRule>
  </conditionalFormatting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CAA8-0403-4905-9E71-20EE7065C5F2}">
  <sheetPr codeName="Sheet1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A4C8-258E-4D93-9165-EC0F25F4779C}">
  <sheetPr codeName="Sheet17"/>
  <dimension ref="A1"/>
  <sheetViews>
    <sheetView workbookViewId="0">
      <selection activeCell="Q45" sqref="Q45"/>
    </sheetView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4642-6DDF-40B3-8260-B325F0BDE9D4}">
  <sheetPr codeName="Sheet18"/>
  <dimension ref="A1"/>
  <sheetViews>
    <sheetView workbookViewId="0">
      <selection activeCell="K47" sqref="K47"/>
    </sheetView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664B-4477-495C-9E9C-59FD7734C2DE}">
  <sheetPr codeName="Sheet19"/>
  <dimension ref="A1"/>
  <sheetViews>
    <sheetView workbookViewId="0">
      <selection activeCell="G23" sqref="G2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3F38FBD54E047AB3A6A1A34C604F7" ma:contentTypeVersion="16" ma:contentTypeDescription="Create a new document." ma:contentTypeScope="" ma:versionID="126ccf3739daa4a46e79f01ad8ed1db9">
  <xsd:schema xmlns:xsd="http://www.w3.org/2001/XMLSchema" xmlns:xs="http://www.w3.org/2001/XMLSchema" xmlns:p="http://schemas.microsoft.com/office/2006/metadata/properties" xmlns:ns2="ae1a37bc-7cf4-4dde-afa4-3422cb02ba97" xmlns:ns3="d1e273cb-de8a-4719-97a0-5a6afbd1fd41" xmlns:ns4="1ecc9e71-491a-4f8c-a018-e450f770efd4" targetNamespace="http://schemas.microsoft.com/office/2006/metadata/properties" ma:root="true" ma:fieldsID="98b1c33cc613f7e937983047e0245b67" ns2:_="" ns3:_="" ns4:_="">
    <xsd:import namespace="ae1a37bc-7cf4-4dde-afa4-3422cb02ba97"/>
    <xsd:import namespace="d1e273cb-de8a-4719-97a0-5a6afbd1fd41"/>
    <xsd:import namespace="1ecc9e71-491a-4f8c-a018-e450f770ef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a37bc-7cf4-4dde-afa4-3422cb02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0d1f32-acc0-4b18-a898-8579d5c617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273cb-de8a-4719-97a0-5a6afbd1fd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c87cdb3-01ff-4eb8-84ee-6c356b3a77fc}" ma:internalName="TaxCatchAll" ma:readOnly="false" ma:showField="CatchAllData" ma:web="d1e273cb-de8a-4719-97a0-5a6afbd1f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c9e71-491a-4f8c-a018-e450f770efd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1a37bc-7cf4-4dde-afa4-3422cb02ba97">
      <Terms xmlns="http://schemas.microsoft.com/office/infopath/2007/PartnerControls"/>
    </lcf76f155ced4ddcb4097134ff3c332f>
    <TaxCatchAll xmlns="d1e273cb-de8a-4719-97a0-5a6afbd1fd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6A7255-1EA9-4CBF-87EB-5FEB3FFF1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1a37bc-7cf4-4dde-afa4-3422cb02ba97"/>
    <ds:schemaRef ds:uri="d1e273cb-de8a-4719-97a0-5a6afbd1fd41"/>
    <ds:schemaRef ds:uri="1ecc9e71-491a-4f8c-a018-e450f770ef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49F50C-E1B8-4B86-84F7-73361DD383AB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ae1a37bc-7cf4-4dde-afa4-3422cb02ba97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1ecc9e71-491a-4f8c-a018-e450f770efd4"/>
    <ds:schemaRef ds:uri="d1e273cb-de8a-4719-97a0-5a6afbd1fd4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A9EA866-8452-45B0-A53A-9A7133D983A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36cda9-062d-4151-8144-97ddc56e7027}" enabled="0" method="" siteId="{7036cda9-062d-4151-8144-97ddc56e70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Dashboard</vt:lpstr>
      <vt:lpstr>R_Dashboard</vt:lpstr>
      <vt:lpstr>Equity</vt:lpstr>
      <vt:lpstr>Geographies</vt:lpstr>
      <vt:lpstr>Tract_2000</vt:lpstr>
      <vt:lpstr>Tract_2010</vt:lpstr>
      <vt:lpstr>Tract_2020</vt:lpstr>
      <vt:lpstr>CA</vt:lpstr>
      <vt:lpstr>ACS Mode Share</vt:lpstr>
      <vt:lpstr>ACS Vehicles</vt:lpstr>
      <vt:lpstr>ACS Car Households</vt:lpstr>
      <vt:lpstr>Bus Ridership</vt:lpstr>
      <vt:lpstr>Rail Ridership</vt:lpstr>
      <vt:lpstr>NTD</vt:lpstr>
      <vt:lpstr>Network_Bikeways</vt:lpstr>
      <vt:lpstr>Network_Bus Lanes</vt:lpstr>
      <vt:lpstr>Network_Bus Bulbs</vt:lpstr>
      <vt:lpstr>Crashes_Citywide</vt:lpstr>
      <vt:lpstr>Divvy</vt:lpstr>
      <vt:lpstr>Date_End</vt:lpstr>
      <vt:lpstr>Date_Start</vt:lpstr>
    </vt:vector>
  </TitlesOfParts>
  <Manager/>
  <Company>City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John Pickering</cp:lastModifiedBy>
  <cp:revision/>
  <dcterms:created xsi:type="dcterms:W3CDTF">2012-06-07T16:35:03Z</dcterms:created>
  <dcterms:modified xsi:type="dcterms:W3CDTF">2026-07-15T17:33:02Z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0x010100D2E3F38FBD54E047AB3A6A1A34C604F7</vt:lpwstr>
  </property>
  <property fmtid="{D5CDD505-2E9C-101B-9397-08002B2CF9AE}" pid="3" name="MediaServiceImageTags">
    <vt:lpwstr/>
  </property>
</Properties>
</file>